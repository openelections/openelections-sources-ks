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showInkAnnotation="0" defaultThemeVersion="124226"/>
  <mc:AlternateContent xmlns:mc="http://schemas.openxmlformats.org/markup-compatibility/2006">
    <mc:Choice Requires="x15">
      <x15ac:absPath xmlns:x15ac="http://schemas.microsoft.com/office/spreadsheetml/2010/11/ac" url="\\fordserv\Users$\clerk\dcox\My Documents\"/>
    </mc:Choice>
  </mc:AlternateContent>
  <xr:revisionPtr revIDLastSave="0" documentId="8_{71FF5E92-64A4-43A5-8D86-01F46FA25390}"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ign Page" sheetId="3" r:id="rId3"/>
  </sheets>
  <definedNames>
    <definedName name="_xlnm.Print_Area" localSheetId="0">Sheet1!$A$1:$AT$120</definedName>
    <definedName name="_xlnm.Print_Titles" localSheetId="0">Sheet1!$1:$2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70" i="1" l="1"/>
  <c r="AT369" i="1"/>
  <c r="AT364" i="1"/>
  <c r="AT534" i="1"/>
  <c r="AT528" i="1"/>
  <c r="AT396" i="1"/>
  <c r="AT395" i="1"/>
  <c r="AT392" i="1"/>
  <c r="AT391" i="1"/>
  <c r="AT334" i="1"/>
  <c r="AT335" i="1"/>
  <c r="AT339" i="1"/>
  <c r="AT340" i="1"/>
  <c r="AT254" i="1"/>
  <c r="AT253" i="1"/>
  <c r="AT252" i="1"/>
  <c r="AT251" i="1"/>
  <c r="AT256" i="1"/>
  <c r="AT255" i="1"/>
  <c r="AT247" i="1"/>
  <c r="AT245" i="1"/>
  <c r="AT258" i="1"/>
  <c r="AT246" i="1"/>
  <c r="AT525" i="1"/>
  <c r="AT524" i="1"/>
  <c r="AT521" i="1"/>
  <c r="AT520" i="1"/>
  <c r="AT239" i="1"/>
  <c r="AT238" i="1"/>
  <c r="AT231" i="1"/>
  <c r="AT233" i="1"/>
  <c r="AT232" i="1"/>
  <c r="AT475" i="1"/>
  <c r="AT345" i="1"/>
  <c r="AT344" i="1"/>
  <c r="AT157" i="1"/>
  <c r="AT156" i="1"/>
  <c r="AT158" i="1"/>
  <c r="AT153" i="1"/>
  <c r="AT152" i="1"/>
  <c r="AT154" i="1"/>
  <c r="AT359" i="1"/>
  <c r="AT354" i="1"/>
  <c r="AT170" i="1"/>
  <c r="AT228" i="1" l="1"/>
  <c r="AT243" i="1"/>
  <c r="AT257" i="1"/>
  <c r="AT249" i="1"/>
  <c r="AT274" i="1"/>
  <c r="AT272" i="1"/>
  <c r="AT270" i="1"/>
  <c r="AT268" i="1"/>
  <c r="AT266" i="1"/>
  <c r="AT264" i="1"/>
  <c r="AT341" i="1"/>
  <c r="AT337" i="1"/>
  <c r="AT332" i="1"/>
  <c r="AT408" i="1"/>
  <c r="AT406" i="1"/>
  <c r="AT412" i="1"/>
  <c r="AT410" i="1"/>
  <c r="AT444" i="1"/>
  <c r="AT442" i="1"/>
  <c r="AT470" i="1"/>
  <c r="AT226" i="1"/>
  <c r="AT219" i="1"/>
  <c r="AT201" i="1"/>
  <c r="AT197" i="1"/>
  <c r="AT193" i="1"/>
  <c r="AT189" i="1"/>
  <c r="AT185" i="1"/>
  <c r="AT181" i="1"/>
  <c r="AT178" i="1"/>
  <c r="AT174" i="1"/>
  <c r="AT205" i="1"/>
  <c r="AT209" i="1"/>
  <c r="AT213" i="1"/>
  <c r="AT217" i="1"/>
  <c r="AT221" i="1"/>
  <c r="Y90" i="1"/>
  <c r="AT90" i="1" s="1"/>
  <c r="Y86" i="1"/>
  <c r="AT86" i="1" s="1"/>
  <c r="Y58" i="1"/>
  <c r="AT58" i="1" s="1"/>
  <c r="Y54" i="1"/>
  <c r="AT54" i="1" s="1"/>
  <c r="Y50" i="1"/>
  <c r="AT50" i="1" s="1"/>
  <c r="Y46" i="1"/>
  <c r="AT46" i="1" s="1"/>
  <c r="Y42" i="1"/>
  <c r="Y32" i="1"/>
  <c r="Y27" i="1"/>
  <c r="AT27" i="1" s="1"/>
  <c r="Y15" i="1"/>
  <c r="AT15" i="1" s="1"/>
  <c r="Y10" i="1"/>
  <c r="AT10" i="1" s="1"/>
  <c r="AW6" i="1"/>
  <c r="AT6" i="1"/>
  <c r="Y5" i="1"/>
  <c r="AT5" i="1" s="1"/>
  <c r="AT575" i="1"/>
  <c r="AT574" i="1"/>
  <c r="AT571" i="1"/>
  <c r="AT570" i="1"/>
  <c r="AT567" i="1"/>
  <c r="AT566" i="1"/>
  <c r="AT563" i="1"/>
  <c r="AT562" i="1"/>
  <c r="AT559" i="1"/>
  <c r="AT558" i="1"/>
  <c r="AT555" i="1"/>
  <c r="AT554" i="1"/>
  <c r="AT551" i="1"/>
  <c r="AT550" i="1"/>
  <c r="AT547" i="1"/>
  <c r="AT546" i="1"/>
  <c r="AT543" i="1"/>
  <c r="AT542" i="1"/>
  <c r="AT539" i="1"/>
  <c r="AT538" i="1"/>
  <c r="AT535" i="1"/>
  <c r="AT533" i="1"/>
  <c r="AT530" i="1"/>
  <c r="AT529" i="1"/>
  <c r="AT517" i="1"/>
  <c r="AT516" i="1"/>
  <c r="AT513" i="1"/>
  <c r="AT512" i="1"/>
  <c r="AT509" i="1"/>
  <c r="AT508" i="1"/>
  <c r="AT505" i="1"/>
  <c r="AT504" i="1"/>
  <c r="AT501" i="1"/>
  <c r="AT500" i="1"/>
  <c r="AT497" i="1"/>
  <c r="AT496" i="1"/>
  <c r="AT493" i="1"/>
  <c r="AT492" i="1"/>
  <c r="AT489" i="1"/>
  <c r="AT488" i="1"/>
  <c r="AT485" i="1"/>
  <c r="AT484" i="1"/>
  <c r="AT481" i="1"/>
  <c r="AT480" i="1"/>
  <c r="AT477" i="1"/>
  <c r="AT476" i="1"/>
  <c r="AT472" i="1"/>
  <c r="AT468" i="1"/>
  <c r="AT467" i="1"/>
  <c r="AT464" i="1"/>
  <c r="AT463" i="1"/>
  <c r="AT460" i="1"/>
  <c r="AT459" i="1"/>
  <c r="AT456" i="1"/>
  <c r="AT455" i="1"/>
  <c r="AT452" i="1"/>
  <c r="AT451" i="1"/>
  <c r="AT448" i="1"/>
  <c r="AT447" i="1"/>
  <c r="AT440" i="1"/>
  <c r="AT439" i="1"/>
  <c r="AT436" i="1"/>
  <c r="AT435" i="1"/>
  <c r="AT432" i="1"/>
  <c r="AT431" i="1"/>
  <c r="AT428" i="1"/>
  <c r="AT427" i="1"/>
  <c r="AT424" i="1"/>
  <c r="AT423" i="1"/>
  <c r="AT420" i="1"/>
  <c r="AT419" i="1"/>
  <c r="AT416" i="1"/>
  <c r="AT415" i="1"/>
  <c r="AT404" i="1"/>
  <c r="AT403" i="1"/>
  <c r="AT400" i="1"/>
  <c r="AT399" i="1"/>
  <c r="AT388" i="1"/>
  <c r="AT387" i="1"/>
  <c r="AT384" i="1"/>
  <c r="AT383" i="1"/>
  <c r="AT380" i="1"/>
  <c r="AT379" i="1"/>
  <c r="AT376" i="1"/>
  <c r="AT375" i="1"/>
  <c r="AT372" i="1"/>
  <c r="AT371" i="1"/>
  <c r="AT366" i="1"/>
  <c r="AT365" i="1"/>
  <c r="AT361" i="1"/>
  <c r="AT360" i="1"/>
  <c r="AT356" i="1"/>
  <c r="AT355" i="1"/>
  <c r="AT351" i="1"/>
  <c r="AT350" i="1"/>
  <c r="AT347" i="1"/>
  <c r="AT346" i="1"/>
  <c r="AT330" i="1"/>
  <c r="AT329" i="1"/>
  <c r="AT326" i="1"/>
  <c r="AT325" i="1"/>
  <c r="AT322" i="1"/>
  <c r="AT321" i="1"/>
  <c r="AT318" i="1"/>
  <c r="AT317" i="1"/>
  <c r="AT314" i="1"/>
  <c r="AT313" i="1"/>
  <c r="AT310" i="1"/>
  <c r="AT309" i="1"/>
  <c r="AT306" i="1"/>
  <c r="AT305" i="1"/>
  <c r="AT302" i="1"/>
  <c r="AT301" i="1"/>
  <c r="AT298" i="1"/>
  <c r="AT297" i="1"/>
  <c r="AT294" i="1"/>
  <c r="AT293" i="1"/>
  <c r="AT290" i="1"/>
  <c r="AT289" i="1"/>
  <c r="AT286" i="1"/>
  <c r="AT285" i="1"/>
  <c r="AT282" i="1"/>
  <c r="AT281" i="1"/>
  <c r="AT278" i="1"/>
  <c r="AT277" i="1"/>
  <c r="AT262" i="1"/>
  <c r="AT261" i="1"/>
  <c r="AT241" i="1"/>
  <c r="AT240" i="1"/>
  <c r="AT235" i="1"/>
  <c r="AT234" i="1"/>
  <c r="AT224" i="1"/>
  <c r="AT222" i="1"/>
  <c r="AT215" i="1"/>
  <c r="AT211" i="1"/>
  <c r="AT207" i="1"/>
  <c r="AT203" i="1"/>
  <c r="AT199" i="1"/>
  <c r="AT195" i="1"/>
  <c r="AT191" i="1"/>
  <c r="AT187" i="1"/>
  <c r="AT183" i="1"/>
  <c r="AT179" i="1"/>
  <c r="AT175" i="1"/>
  <c r="AT171" i="1"/>
  <c r="AT168" i="1"/>
  <c r="AT166" i="1"/>
  <c r="AT164" i="1"/>
  <c r="AT162" i="1"/>
  <c r="AT160" i="1"/>
  <c r="AT155" i="1"/>
  <c r="AT150" i="1"/>
  <c r="AT148" i="1"/>
  <c r="AT146" i="1"/>
  <c r="AT144" i="1"/>
  <c r="AT142" i="1"/>
  <c r="AT140" i="1"/>
  <c r="AT138" i="1"/>
  <c r="AT136" i="1"/>
  <c r="AT134" i="1"/>
  <c r="AT132" i="1"/>
  <c r="AT130" i="1"/>
  <c r="AT128" i="1"/>
  <c r="AT126" i="1"/>
  <c r="AT124" i="1"/>
  <c r="AT122" i="1"/>
  <c r="AT120" i="1"/>
  <c r="AT118" i="1"/>
  <c r="AT116" i="1"/>
  <c r="AT114" i="1"/>
  <c r="AT112" i="1"/>
  <c r="AT110" i="1"/>
  <c r="AT108" i="1"/>
  <c r="AT106" i="1"/>
  <c r="AT104" i="1"/>
  <c r="AT102" i="1"/>
  <c r="AT100" i="1"/>
  <c r="AT99" i="1"/>
  <c r="AT96" i="1"/>
  <c r="AT95" i="1"/>
  <c r="AT92" i="1"/>
  <c r="AT88" i="1"/>
  <c r="AT84" i="1"/>
  <c r="AT82" i="1"/>
  <c r="AT80" i="1"/>
  <c r="AT78" i="1"/>
  <c r="AT76" i="1"/>
  <c r="AT74" i="1"/>
  <c r="AT72" i="1"/>
  <c r="AT70" i="1"/>
  <c r="AT68" i="1"/>
  <c r="AT66" i="1"/>
  <c r="AT64" i="1"/>
  <c r="AT63" i="1"/>
  <c r="AT60" i="1"/>
  <c r="AT56" i="1"/>
  <c r="AT52" i="1"/>
  <c r="AT48" i="1"/>
  <c r="AT44" i="1"/>
  <c r="AT42" i="1"/>
  <c r="AT40" i="1"/>
  <c r="AT38" i="1"/>
  <c r="AT37" i="1"/>
  <c r="AT36" i="1"/>
  <c r="AT34" i="1"/>
  <c r="AT32" i="1"/>
  <c r="AT31" i="1"/>
  <c r="AT29" i="1"/>
  <c r="AT25" i="1"/>
  <c r="AT23" i="1"/>
  <c r="AT21" i="1"/>
  <c r="AT19" i="1"/>
  <c r="AT17" i="1"/>
  <c r="AT13" i="1"/>
  <c r="AT11" i="1"/>
  <c r="AT8" i="1"/>
  <c r="AT4" i="1"/>
</calcChain>
</file>

<file path=xl/sharedStrings.xml><?xml version="1.0" encoding="utf-8"?>
<sst xmlns="http://schemas.openxmlformats.org/spreadsheetml/2006/main" count="775" uniqueCount="422">
  <si>
    <t>NAME OF OFFICE</t>
  </si>
  <si>
    <t>NAME OF CANDIDATE</t>
  </si>
  <si>
    <t>POLITICAL PARTY</t>
  </si>
  <si>
    <t>BLOOM TWP</t>
  </si>
  <si>
    <t>BUCKLIN TWP</t>
  </si>
  <si>
    <t>BUCKLIN CITY</t>
  </si>
  <si>
    <t>CONCORD TWP</t>
  </si>
  <si>
    <t>DODGE TWP-115</t>
  </si>
  <si>
    <t>DODGE TWP-119</t>
  </si>
  <si>
    <t>DODGE TWP-3</t>
  </si>
  <si>
    <t>ENTERPRISE TWP-115</t>
  </si>
  <si>
    <t>FAIRVIEW TWP</t>
  </si>
  <si>
    <t>FORD TWP</t>
  </si>
  <si>
    <t>FORD CITY</t>
  </si>
  <si>
    <t>GRANDVIEW TWP-115</t>
  </si>
  <si>
    <t>DODGE CITY PCT 1</t>
  </si>
  <si>
    <t>DODGE CITY PCT 2</t>
  </si>
  <si>
    <t>DODGE CITY PCT 3</t>
  </si>
  <si>
    <t>DODGE CITY PCT 4</t>
  </si>
  <si>
    <t>DODGE CITY PCT 5</t>
  </si>
  <si>
    <t>DODGE CITY PCT 6</t>
  </si>
  <si>
    <t>DODGE CITY PCT 7</t>
  </si>
  <si>
    <t>DODGE CITY PCT 8</t>
  </si>
  <si>
    <t>DODGE CITY PCT 9</t>
  </si>
  <si>
    <t>ENTERPRISE TWP-119</t>
  </si>
  <si>
    <t>GRANDVIEW TWP-119</t>
  </si>
  <si>
    <t>GRANDVIEW TWP-2-115</t>
  </si>
  <si>
    <t>GRANDVIEW TWP-2-119</t>
  </si>
  <si>
    <t>RICHLAND TWP</t>
  </si>
  <si>
    <t>ROYAL TWP</t>
  </si>
  <si>
    <t>SODVILLE TWP</t>
  </si>
  <si>
    <t>SPEARVILLE TWP</t>
  </si>
  <si>
    <t>SPEARVILLE CITY</t>
  </si>
  <si>
    <t>WHEATLAND TWP</t>
  </si>
  <si>
    <t>WILBURN TWP</t>
  </si>
  <si>
    <t>TOTAL</t>
  </si>
  <si>
    <t>STATE OF KANSAS, FORD COUNTY. ss.</t>
  </si>
  <si>
    <t>WITNESS OUR HANDS, this ____day of ____________A.D. _________</t>
  </si>
  <si>
    <t>ATTEST:</t>
  </si>
  <si>
    <t>Chris Boys, Chairman</t>
  </si>
  <si>
    <t xml:space="preserve"> </t>
  </si>
  <si>
    <t xml:space="preserve">                 </t>
  </si>
  <si>
    <t>Shawn Tasset,Commissioner</t>
  </si>
  <si>
    <t>Dodge TWP H115 Committeewoman</t>
  </si>
  <si>
    <t>Dodge TWP W H119 Committeeman</t>
  </si>
  <si>
    <t>Dodge TWP W H119 Committeewoman</t>
  </si>
  <si>
    <t>Dodge TWP i H119 Committeewoman</t>
  </si>
  <si>
    <t>Dodge TWP i H119 Committeeman</t>
  </si>
  <si>
    <t>Dodge TWP H119 Committeeman</t>
  </si>
  <si>
    <t>Dodge TWP H119 Committeewoman</t>
  </si>
  <si>
    <t>Dodge TWP-3 Committeeman</t>
  </si>
  <si>
    <t>Dodge TWP-3 Committeewoman</t>
  </si>
  <si>
    <t>Enterprise TWP H115 Committeeman</t>
  </si>
  <si>
    <t>Enterprise TWP H115 Committeewoman</t>
  </si>
  <si>
    <t>Enterprise TWP H119 Committeeman</t>
  </si>
  <si>
    <t>Enterprise TWP H119 Committeewoman</t>
  </si>
  <si>
    <t>Fairview TWP Committeeman</t>
  </si>
  <si>
    <t>Fairview TWP Committeewoman</t>
  </si>
  <si>
    <t>Ford TWP Committeeman</t>
  </si>
  <si>
    <t>Ford TWP Committeewoman</t>
  </si>
  <si>
    <t>Grandview TWP H115 Committeeman</t>
  </si>
  <si>
    <t>Grandview TWP H115 Committeewoman</t>
  </si>
  <si>
    <t>Grandview TWP East H119 Committeewoman</t>
  </si>
  <si>
    <t>Grandview TWP-2 Committeeman</t>
  </si>
  <si>
    <t>Grandview TWP-2 Committeewoman</t>
  </si>
  <si>
    <t>Grandview TWP-2 H119 Committeeman</t>
  </si>
  <si>
    <t>Grandview TWP-2 H119 Committeewoman</t>
  </si>
  <si>
    <t>Richland TWP Committeeman</t>
  </si>
  <si>
    <t>Richland TWP Committeewoman</t>
  </si>
  <si>
    <t>Royal TWP Committeeman</t>
  </si>
  <si>
    <t>Royal TWP Committeewoman</t>
  </si>
  <si>
    <t>Sodville TWP Committeeman</t>
  </si>
  <si>
    <t>Sodville TWP Committeewoman</t>
  </si>
  <si>
    <t>Spearville TWP Committeeman</t>
  </si>
  <si>
    <t>Spearville TWP Committeewoman</t>
  </si>
  <si>
    <t>Wheatland TWP Committeeman</t>
  </si>
  <si>
    <t>Wheatland TWP Committeewoman</t>
  </si>
  <si>
    <t>Wilburn TWP Committeeman</t>
  </si>
  <si>
    <t>Wilburn TWP Committeewoman</t>
  </si>
  <si>
    <t>D</t>
  </si>
  <si>
    <t>R</t>
  </si>
  <si>
    <t>Russell E. Ficsher</t>
  </si>
  <si>
    <t>Cleo L. Fischer</t>
  </si>
  <si>
    <t>Steven L. Hale</t>
  </si>
  <si>
    <t>Nola Ellen Hale</t>
  </si>
  <si>
    <t>David Brown</t>
  </si>
  <si>
    <t>Tammy J Schweitzer</t>
  </si>
  <si>
    <t>Giiles Issenhoft (WI)</t>
  </si>
  <si>
    <t>Richard Stein</t>
  </si>
  <si>
    <t>Darrell Roths (WI)</t>
  </si>
  <si>
    <t>Ron Reinert (WI)</t>
  </si>
  <si>
    <t>David Roesener (WI)</t>
  </si>
  <si>
    <t>Tony Zortman (WI)</t>
  </si>
  <si>
    <t>Aaron Gerdes (WI)</t>
  </si>
  <si>
    <t>Jeanne Zortman (WI)</t>
  </si>
  <si>
    <t>Jeff Hamilton (WI</t>
  </si>
  <si>
    <t>Kathy Hamilton (WI)</t>
  </si>
  <si>
    <t>Brian Pinkney (EI</t>
  </si>
  <si>
    <t>Dustin Carlson (WI)</t>
  </si>
  <si>
    <t>Justin W. Snyder (WI)</t>
  </si>
  <si>
    <t>Kelly Knedler (WI)</t>
  </si>
  <si>
    <t>Tim Murphy (WI)</t>
  </si>
  <si>
    <t>Ty Rankin (WI)</t>
  </si>
  <si>
    <t>Janet Slattery (WI)</t>
  </si>
  <si>
    <t>Tami Knedler (WI)</t>
  </si>
  <si>
    <t>Kevin Heeke (WI)</t>
  </si>
  <si>
    <t>Tom Burke (WI)</t>
  </si>
  <si>
    <t>Mike Hubble (WI)</t>
  </si>
  <si>
    <t>Jodi Wetzel (WI)</t>
  </si>
  <si>
    <t>Royce Droste (WI)</t>
  </si>
  <si>
    <t>Debbie Droste (WI)</t>
  </si>
  <si>
    <t>Rose E Reinert</t>
  </si>
  <si>
    <t>Ken W. Snook, Commissioner</t>
  </si>
  <si>
    <t>Debbie Cox, County Clerk/Election Officer</t>
  </si>
  <si>
    <t>We, the undersigned members of the Board of County Commissioners in and for said County, and ex-officio Board of Canvassers for said County, do hereby certify that the foregoing abstract of of__________A.D.__________.</t>
  </si>
  <si>
    <t>votes cast at the Ford County Primary Election held in the Ford County on the 7th day of August 2018, is true and correct as shown by the returns of said election on file in the County Clerk's office</t>
  </si>
  <si>
    <t xml:space="preserve"> and canvassed by us this _______day </t>
  </si>
  <si>
    <t>Write Ins</t>
  </si>
  <si>
    <t>United States House of Representatives - 1st District</t>
  </si>
  <si>
    <t>Tracey Mann</t>
  </si>
  <si>
    <t>Kansas State Senator-38th District</t>
  </si>
  <si>
    <t>Kansas House of Representatives-115th District</t>
  </si>
  <si>
    <t>Kansas House of Representatives-119th District</t>
  </si>
  <si>
    <t>Jan Scoggins</t>
  </si>
  <si>
    <t>District Judge 16th District, Division 2</t>
  </si>
  <si>
    <t>District Judge 16th District, Division 3</t>
  </si>
  <si>
    <t>Andrew M. Stein</t>
  </si>
  <si>
    <t>Laura H. Lewis</t>
  </si>
  <si>
    <t>County Commissioner 2nd District</t>
  </si>
  <si>
    <t>County Commissioner 3rd District</t>
  </si>
  <si>
    <t>Christopher Boys</t>
  </si>
  <si>
    <t>County Clerk</t>
  </si>
  <si>
    <t>Debbie Cox</t>
  </si>
  <si>
    <t>Register of Deeds</t>
  </si>
  <si>
    <t>County  Attorney</t>
  </si>
  <si>
    <t>Ford County Sheriff</t>
  </si>
  <si>
    <t>Brenda Pogue</t>
  </si>
  <si>
    <t>Kevin Salzman</t>
  </si>
  <si>
    <t>Bill Carr</t>
  </si>
  <si>
    <t>Bloom TWP Trustee</t>
  </si>
  <si>
    <t>Bloom TWP Treasurer</t>
  </si>
  <si>
    <t>David Leaming</t>
  </si>
  <si>
    <t>Bucklin TWP Trustee</t>
  </si>
  <si>
    <t>Bucklin TWP Treasurer</t>
  </si>
  <si>
    <t>Kevin Birney</t>
  </si>
  <si>
    <t>Concord TWP Trustee</t>
  </si>
  <si>
    <t>Concord TWP Treasurer</t>
  </si>
  <si>
    <t>Dodge TWP Trustee</t>
  </si>
  <si>
    <t>Dodge TWP Treasurer</t>
  </si>
  <si>
    <t>Darrell Burkhart</t>
  </si>
  <si>
    <t>Enterprise TWP Treasurer</t>
  </si>
  <si>
    <t>Enterprise TWP Trustee</t>
  </si>
  <si>
    <t>Fairview TWP Trustee</t>
  </si>
  <si>
    <t>Fairview TWP Treasurer</t>
  </si>
  <si>
    <t>Ford TWP Trustee</t>
  </si>
  <si>
    <t>Ford TWP Treasurer</t>
  </si>
  <si>
    <t>Colton Downey</t>
  </si>
  <si>
    <t>Grandview TWP Trustee</t>
  </si>
  <si>
    <t>Grandview TWP Treasurer</t>
  </si>
  <si>
    <t>Richland TWP Trustee</t>
  </si>
  <si>
    <t>Richland TWP Treasurer</t>
  </si>
  <si>
    <t>Royal TWP Trustee</t>
  </si>
  <si>
    <t>Royal TWP Treasurer</t>
  </si>
  <si>
    <t>Sodville TWP Trustee</t>
  </si>
  <si>
    <t>Sodville TWP Treasurer</t>
  </si>
  <si>
    <t>Terry F. Popp</t>
  </si>
  <si>
    <t>Spearville TWP Trustee</t>
  </si>
  <si>
    <t>Spearville TWP Treasurer</t>
  </si>
  <si>
    <t>Wheatland  TWP Trustee</t>
  </si>
  <si>
    <t>Wheatland TWP Treasurer</t>
  </si>
  <si>
    <t>Rean Stegman</t>
  </si>
  <si>
    <t>Kenneth Rueb</t>
  </si>
  <si>
    <t>Wilburn TWP Trustee</t>
  </si>
  <si>
    <t>Wilburn TWP Treasurer</t>
  </si>
  <si>
    <t>Kourtney Soltero</t>
  </si>
  <si>
    <t>Marvin Hertel</t>
  </si>
  <si>
    <t>DC PCT 1 H115 A</t>
  </si>
  <si>
    <t>DC PCT 1 H119B</t>
  </si>
  <si>
    <t>DC PCT 2 H119B</t>
  </si>
  <si>
    <t>DC  PCT 3 H119B</t>
  </si>
  <si>
    <t>DC PCT 4 H115 A</t>
  </si>
  <si>
    <t>DC PCT 4 H119 B</t>
  </si>
  <si>
    <t>DC PCT 5</t>
  </si>
  <si>
    <t>DC PCT 6 H115 A</t>
  </si>
  <si>
    <t>DC  PCT 6 H119 B</t>
  </si>
  <si>
    <t>DC PCT 7 H119 A</t>
  </si>
  <si>
    <t>DC  PCT 7 H119 B</t>
  </si>
  <si>
    <t>DC PCT 8</t>
  </si>
  <si>
    <t>DC PCT 9 H119 A</t>
  </si>
  <si>
    <t>DC PCT 9 H119 B</t>
  </si>
  <si>
    <t>DC PCT 12</t>
  </si>
  <si>
    <t>DODGE TWP N H119</t>
  </si>
  <si>
    <t>Paul Buskirk</t>
  </si>
  <si>
    <t>Eric Bloom</t>
  </si>
  <si>
    <t>Ronald Ryckman</t>
  </si>
  <si>
    <t>Jose G. Lara</t>
  </si>
  <si>
    <t>Gary White</t>
  </si>
  <si>
    <t>Jason W. Goetz</t>
  </si>
  <si>
    <t>Duane Nietling</t>
  </si>
  <si>
    <t>Ken Snoook</t>
  </si>
  <si>
    <t>Gary Thomas</t>
  </si>
  <si>
    <t>Treasurer</t>
  </si>
  <si>
    <t>No Candidate</t>
  </si>
  <si>
    <t>Tony Slade Tiley</t>
  </si>
  <si>
    <t>Charles Nicholson</t>
  </si>
  <si>
    <t>Calvin Williamson</t>
  </si>
  <si>
    <t>Robert E. Lampe</t>
  </si>
  <si>
    <t>Jeff Hamilton</t>
  </si>
  <si>
    <t>Chambre Riegel-Breuer</t>
  </si>
  <si>
    <t>Delbert Downey</t>
  </si>
  <si>
    <t>Greg Lix</t>
  </si>
  <si>
    <t>Robert Schneweis</t>
  </si>
  <si>
    <t>J. Daryl Tieben</t>
  </si>
  <si>
    <t>Ronald E. Schneweis</t>
  </si>
  <si>
    <t>Shane S. Smith</t>
  </si>
  <si>
    <t>Will Ellis</t>
  </si>
  <si>
    <t>Jacob Stegman</t>
  </si>
  <si>
    <t>Precinct Committeeman-PCT 1 H115 A</t>
  </si>
  <si>
    <t>Precinct Committeewoman-PCT 1 H115 A</t>
  </si>
  <si>
    <t>Precinct Committeeman-</t>
  </si>
  <si>
    <t>Precinct Committeewoman-</t>
  </si>
  <si>
    <t>Precinct Committeeman-PCT 1 H119 B</t>
  </si>
  <si>
    <t>Precinct Committeewoman-PCT 1 H119 B</t>
  </si>
  <si>
    <t>Precinct Committeeman-PCT 2 H119 B</t>
  </si>
  <si>
    <t>Precinct Committeewoman-PCT 2 H119 B</t>
  </si>
  <si>
    <t>Charles R. Taylor</t>
  </si>
  <si>
    <t>Ann Taylor</t>
  </si>
  <si>
    <t>Precinct Committeeman-PCT 3 H119 B</t>
  </si>
  <si>
    <t>Precinct Committeewoman--PCT 3 H119 B</t>
  </si>
  <si>
    <t>Mary Lou Zerr</t>
  </si>
  <si>
    <t>Precinct Committeeman-PCT 4 H115 A</t>
  </si>
  <si>
    <t>Precinct Committeewoman-PCT 4 H115 A</t>
  </si>
  <si>
    <t>Jeremy Nagel</t>
  </si>
  <si>
    <t>Nichole Nagel</t>
  </si>
  <si>
    <t>Precinct Committeeman-PCT 4 H119 B</t>
  </si>
  <si>
    <t>Precinct Committeewoman-PCT 4 H119 B</t>
  </si>
  <si>
    <t>Daniel Pogue</t>
  </si>
  <si>
    <t>Terrence R. Oberley</t>
  </si>
  <si>
    <t>Donna R. Oberley</t>
  </si>
  <si>
    <t>Precinct Committeeman-PCT 5</t>
  </si>
  <si>
    <t>Precinct Committeewoman-PCT 5</t>
  </si>
  <si>
    <t>Precinct Committeeman-PCT 6 H115 A</t>
  </si>
  <si>
    <t>Precinct Committeewoman-PCT 6 H115 A</t>
  </si>
  <si>
    <t>Mark D. Fischer</t>
  </si>
  <si>
    <t>Laura Francis</t>
  </si>
  <si>
    <t>Precinct Committeeman-PCT 6 H119 B</t>
  </si>
  <si>
    <t>Precinct Committeewoman-PCT 6 H119 B</t>
  </si>
  <si>
    <t>Precinct Committeeman-PCT 7 H119 A</t>
  </si>
  <si>
    <t>Precinct Committeewoman-PCT 7 H119 A</t>
  </si>
  <si>
    <t>Precinct Committeeman-PCT 7 H119 B</t>
  </si>
  <si>
    <t>James L. Thompson</t>
  </si>
  <si>
    <t>Tammy L. Thomson</t>
  </si>
  <si>
    <t>Precinct Committeewoman-PCT 7 H119 B</t>
  </si>
  <si>
    <t>Precinct Committeeman-PCT 8</t>
  </si>
  <si>
    <t>Precinct Committeewoman-PCT 8</t>
  </si>
  <si>
    <t>Precinct Committeeman-PCT 9 H119 A</t>
  </si>
  <si>
    <t>Precinct Committeewoman-PCT 9 H119 A</t>
  </si>
  <si>
    <t>Precinct Committeeman-PCT 9 H119 B</t>
  </si>
  <si>
    <t>Precinct Committeewoman-PCT 9 H119 B</t>
  </si>
  <si>
    <t>Precinct Committeeman-PCT 10</t>
  </si>
  <si>
    <t>Precinct Committeewoman-PCT 10</t>
  </si>
  <si>
    <t>Precinct Committeeman-PCT 11</t>
  </si>
  <si>
    <t>Precinct Committeewoman-PCT 11</t>
  </si>
  <si>
    <t>Precinct Committeeman-PCT 12</t>
  </si>
  <si>
    <t>Precinct Committeewoman-PCT 12</t>
  </si>
  <si>
    <t>Precinct Committeeman-Bucklin City</t>
  </si>
  <si>
    <t>Precinct Committeewoman-Bucklin City</t>
  </si>
  <si>
    <t>Fredrick Vocasek</t>
  </si>
  <si>
    <t>Denise Vocasek</t>
  </si>
  <si>
    <t>Precinct Committeeman-Ford City</t>
  </si>
  <si>
    <t>Precinct Committeewoman-Ford City</t>
  </si>
  <si>
    <t>Precinct Committeeman-Spearville City</t>
  </si>
  <si>
    <t>Precinct Committeewoman-Spearville City</t>
  </si>
  <si>
    <t>Precinct Committeeman-Bloom TWP</t>
  </si>
  <si>
    <t>Precinct Committeewoman-Bloom TWP</t>
  </si>
  <si>
    <t>Precinct Committeeman-Bucklin TWP</t>
  </si>
  <si>
    <t>Precinct Committeewoman-Bucklin TWP</t>
  </si>
  <si>
    <t>Precinct Committeeman-Concord TWP</t>
  </si>
  <si>
    <t>Precinct Committeewoman-Concord TWP</t>
  </si>
  <si>
    <t>Precinct Committeeman-Dodge TWP H115</t>
  </si>
  <si>
    <t>Precinct Committeewoman-Dodge TWP H115</t>
  </si>
  <si>
    <t>Precinct Committeeman-Dodge TWP N H119</t>
  </si>
  <si>
    <t>Precinct Committeewoman-Dodge TWP N H119</t>
  </si>
  <si>
    <t>Steven A. Harrold</t>
  </si>
  <si>
    <t>Naomi Harrold</t>
  </si>
  <si>
    <t>Precinct Committeeman-Dodge TWP W H119</t>
  </si>
  <si>
    <t>Precinct Committeewoman-Dodge TWP W H119</t>
  </si>
  <si>
    <t>Precinct Committeeman-Dodge TWP 3 H115 A</t>
  </si>
  <si>
    <t>Precinct Committeewoman-Dodge TWP 3 H115 A</t>
  </si>
  <si>
    <t>Precinct Committeeman-Dodge TWP 3 H119 B</t>
  </si>
  <si>
    <t>Precinct Committeewoman-Dodge TWP 3 H119 B</t>
  </si>
  <si>
    <t>Precinct Committeeman-Enterprise TWP H115</t>
  </si>
  <si>
    <t>Precinct Committeewoman-Enterprise TWP H115</t>
  </si>
  <si>
    <t>Glenna S. Walker</t>
  </si>
  <si>
    <t>Precinct Committeeman-Enterprise TWP H119</t>
  </si>
  <si>
    <t>Precinct Committeewoman-Enterprise TWP H119</t>
  </si>
  <si>
    <t>Precinct Committeeman-Fairview TWP</t>
  </si>
  <si>
    <t>Precinct Committeewoman-Fairview TWP</t>
  </si>
  <si>
    <t>Precinct Committeeman-Ford TWP</t>
  </si>
  <si>
    <t>Precinct Committeewoman-Ford TWP</t>
  </si>
  <si>
    <t>Scott D Fischer</t>
  </si>
  <si>
    <t>Precinct Committeewoman-Grandview TWP H115</t>
  </si>
  <si>
    <t>Precinct Committeeman-Grandview TWP H115</t>
  </si>
  <si>
    <t>Precinct Committeeman-Grandview TWP H115 B</t>
  </si>
  <si>
    <t>Precinct Committeewoman-Grandview TWP H115 B</t>
  </si>
  <si>
    <t>Precinct Committeeman-Grandview TWP H119 H115</t>
  </si>
  <si>
    <t>Precinct Committeewoman-Grandview TWP H119 H115</t>
  </si>
  <si>
    <t>Precinct Committeeman-Grandview TWP  Ward 2 H115 A</t>
  </si>
  <si>
    <t>Precinct Committeewoman-Grandview TWP Ward 2 H115 A</t>
  </si>
  <si>
    <t>Precinct Committeeman-Grandview TWP Ward 2 H119 C</t>
  </si>
  <si>
    <t>Precinct Committeewoman-Grandview TWP Ward 2 H119 C</t>
  </si>
  <si>
    <t>Precinct Committeewoman-Grandview TWP Ward 2 H119 B</t>
  </si>
  <si>
    <t>Precinct Committeeman-Grandview TWP Ward 2 H119 B</t>
  </si>
  <si>
    <t>Precinct Committeeman-Royal TWP</t>
  </si>
  <si>
    <t>Precinct Committeewoman-Royal TWP</t>
  </si>
  <si>
    <t>Precinct Committeeman-Sodville TWP</t>
  </si>
  <si>
    <t>Precinct Committeewoman-Sodville TWP</t>
  </si>
  <si>
    <t>Precinct Committeeman-Spearville TWP</t>
  </si>
  <si>
    <t>Precinct Committeewoman-Spearville TWP</t>
  </si>
  <si>
    <t>Precinct Committeeman-Wheatland TWP</t>
  </si>
  <si>
    <t>Precinct Committeewoman-Wheatland TWP</t>
  </si>
  <si>
    <t>Precinct Committeeman-Wilburn TWP</t>
  </si>
  <si>
    <t>Precinct Committeewoman-Wilburn TWP</t>
  </si>
  <si>
    <t>DODGE TWP H115</t>
  </si>
  <si>
    <t>DODGE TWP H119</t>
  </si>
  <si>
    <t>DODGE TWP W H119</t>
  </si>
  <si>
    <t>DODGE TWP 3 H115 A</t>
  </si>
  <si>
    <t>DODGE TWP 3 H119 B</t>
  </si>
  <si>
    <t>ENTERPRISE TWP H115</t>
  </si>
  <si>
    <t>ENTERPRISE TWP H119</t>
  </si>
  <si>
    <t>GRANDVIEW TWP H115</t>
  </si>
  <si>
    <t>GRANDVIEW TWP East H115 B</t>
  </si>
  <si>
    <t>GRANDVIEW TWP 2 H115A</t>
  </si>
  <si>
    <t>GRANDVIEW TWP 2 H119 B</t>
  </si>
  <si>
    <t>GRANDVIEW TWP 2 H119 C</t>
  </si>
  <si>
    <t>Kenton Setzkorn</t>
  </si>
  <si>
    <t>Amanda Setzkorn</t>
  </si>
  <si>
    <t>Bob Hattrup</t>
  </si>
  <si>
    <t>Tonya Hubbell</t>
  </si>
  <si>
    <t>Mike Hubbell</t>
  </si>
  <si>
    <t>Dennis Brown</t>
  </si>
  <si>
    <t>Casey Rynerson</t>
  </si>
  <si>
    <t>Ken Domer</t>
  </si>
  <si>
    <t>Carmen Nau</t>
  </si>
  <si>
    <t>Audrey Rynerson</t>
  </si>
  <si>
    <t>Michelle Mettling</t>
  </si>
  <si>
    <t>Jacob Wheaton</t>
  </si>
  <si>
    <t>Norbert Strecker</t>
  </si>
  <si>
    <t>Kim Durler</t>
  </si>
  <si>
    <t>Kenny Nau</t>
  </si>
  <si>
    <t>Kurt Peinter</t>
  </si>
  <si>
    <t>Norbert Linnerbur</t>
  </si>
  <si>
    <t>Lane Tassett</t>
  </si>
  <si>
    <t>Brooke Tassett</t>
  </si>
  <si>
    <t>Jim Lewis</t>
  </si>
  <si>
    <t>Cheryl Koontz</t>
  </si>
  <si>
    <t>Mark Koontz</t>
  </si>
  <si>
    <t>Brian Hensly</t>
  </si>
  <si>
    <t>Harv Durstain</t>
  </si>
  <si>
    <t>Steve Downey</t>
  </si>
  <si>
    <t>Troy Snook</t>
  </si>
  <si>
    <t>Mary Derstin</t>
  </si>
  <si>
    <t>Mary Davis</t>
  </si>
  <si>
    <t>Tony Zortman</t>
  </si>
  <si>
    <t>Jeanne Zortman</t>
  </si>
  <si>
    <t>John Askew</t>
  </si>
  <si>
    <t>Ryan Askem</t>
  </si>
  <si>
    <t>Douglas Melia</t>
  </si>
  <si>
    <t>H. Royce Droste</t>
  </si>
  <si>
    <t>Debbie Droste</t>
  </si>
  <si>
    <t>Linda K. Elson</t>
  </si>
  <si>
    <t>Barbara Downey</t>
  </si>
  <si>
    <t>Dan Stacy</t>
  </si>
  <si>
    <t>Duewie Neatling</t>
  </si>
  <si>
    <t>Mickey Mouse</t>
  </si>
  <si>
    <t>Jay Gifford</t>
  </si>
  <si>
    <t>Leona Stacy</t>
  </si>
  <si>
    <t>Jessica Brownlee</t>
  </si>
  <si>
    <t>Ken Snook</t>
  </si>
  <si>
    <t>Joseph H. Gier</t>
  </si>
  <si>
    <t>Amber D. Gier</t>
  </si>
  <si>
    <t>Precinct Committeeman-Richland TWP</t>
  </si>
  <si>
    <t>Precinct Committeewoman-Richland TWP</t>
  </si>
  <si>
    <t>Ruby Acosta</t>
  </si>
  <si>
    <t>Ryan Salinas</t>
  </si>
  <si>
    <t>Cherel Koontz</t>
  </si>
  <si>
    <t>Shelbie Williams</t>
  </si>
  <si>
    <t>Minnie Mouse</t>
  </si>
  <si>
    <t>Michelle Salinas</t>
  </si>
  <si>
    <t>Melissa Mccoy</t>
  </si>
  <si>
    <t>Doris Fowler</t>
  </si>
  <si>
    <t>Sara Howard</t>
  </si>
  <si>
    <t>Kim Ellis</t>
  </si>
  <si>
    <t>Troy Ellis</t>
  </si>
  <si>
    <t>Reagan Sellard</t>
  </si>
  <si>
    <t>Dan Smith</t>
  </si>
  <si>
    <t>Wade Kirk</t>
  </si>
  <si>
    <t>Rob Sellard</t>
  </si>
  <si>
    <t>Craig Bunnell</t>
  </si>
  <si>
    <t>Dino Lapp</t>
  </si>
  <si>
    <t>Dana Frazier</t>
  </si>
  <si>
    <t>Jesse Frazier</t>
  </si>
  <si>
    <t>Precinct Committeeman-Dodge TWP H119</t>
  </si>
  <si>
    <t>Precinct Committeewoman-Dodge TWP H119</t>
  </si>
  <si>
    <t>Dalila Boys</t>
  </si>
  <si>
    <t>Marilyn White</t>
  </si>
  <si>
    <t>Scott Fisher</t>
  </si>
  <si>
    <t>Taylor Fisher</t>
  </si>
  <si>
    <t>Jason Joy</t>
  </si>
  <si>
    <t>Shane Bangerter</t>
  </si>
  <si>
    <t>Wade Hampton</t>
  </si>
  <si>
    <t xml:space="preserve">Angela Joy </t>
  </si>
  <si>
    <t>Mara Goebel</t>
  </si>
  <si>
    <t>Jolla Miller</t>
  </si>
  <si>
    <t>Allen Smith</t>
  </si>
  <si>
    <t>Del Clowdis</t>
  </si>
  <si>
    <t>William Baker</t>
  </si>
  <si>
    <t>Debbie Smith</t>
  </si>
  <si>
    <t>Kerri Baker</t>
  </si>
  <si>
    <t>Angelika Holt</t>
  </si>
  <si>
    <t>Eileen A. Cooper</t>
  </si>
  <si>
    <t>Erica Mclean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</si>
</sst>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9"/>
      <color theme="1"/>
      <name val="Calibri"/>
      <family val="2"/>
      <scheme val="minor"/>
    </font>
    <font>
      <sz val="8"/>
      <color theme="1"/>
      <name val="Calibri"/>
      <family val="2"/>
      <scheme val="minor"/>
    </font>
    <font>
      <b/>
      <sz val="11"/>
      <color theme="1"/>
      <name val="Calibri"/>
      <family val="2"/>
      <scheme val="minor"/>
    </font>
    <font>
      <u/>
      <sz val="11"/>
      <color theme="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right/>
      <top/>
      <bottom style="medium">
        <color indexed="64"/>
      </bottom>
      <diagonal/>
    </border>
  </borders>
  <cellStyleXfs count="1">
    <xf numFmtId="0" fontId="0" fillId="0" borderId="0"/>
  </cellStyleXfs>
  <cellXfs count="65">
    <xf numFmtId="0" fontId="0" fillId="0" borderId="0" xfId="0"/>
    <xf numFmtId="0" fontId="2" fillId="0" borderId="0" xfId="0" applyFont="1"/>
    <xf numFmtId="0" fontId="0" fillId="0" borderId="0" xfId="0" applyAlignment="1">
      <alignment horizontal="center" vertical="center"/>
    </xf>
    <xf numFmtId="0" fontId="0" fillId="2" borderId="0" xfId="0" applyFill="1"/>
    <xf numFmtId="0" fontId="4" fillId="0" borderId="0" xfId="0" applyFont="1"/>
    <xf numFmtId="0" fontId="4" fillId="0" borderId="1" xfId="0" applyFont="1" applyBorder="1"/>
    <xf numFmtId="0" fontId="0" fillId="0" borderId="1" xfId="0" applyBorder="1"/>
    <xf numFmtId="0" fontId="5" fillId="0" borderId="1" xfId="0" applyFont="1" applyBorder="1"/>
    <xf numFmtId="0" fontId="6" fillId="2" borderId="0" xfId="0" applyFont="1" applyFill="1"/>
    <xf numFmtId="0" fontId="2" fillId="0" borderId="0" xfId="0" applyFont="1" applyAlignment="1">
      <alignment textRotation="90"/>
    </xf>
    <xf numFmtId="0" fontId="0" fillId="0" borderId="0" xfId="0" applyAlignment="1">
      <alignment textRotation="90"/>
    </xf>
    <xf numFmtId="0" fontId="2" fillId="0" borderId="0" xfId="0" applyFont="1" applyFill="1" applyBorder="1" applyAlignment="1">
      <alignment textRotation="90"/>
    </xf>
    <xf numFmtId="0" fontId="0" fillId="0" borderId="0" xfId="0" applyAlignment="1">
      <alignment horizontal="center"/>
    </xf>
    <xf numFmtId="0" fontId="3" fillId="0" borderId="0" xfId="0" applyFont="1" applyAlignment="1">
      <alignment textRotation="90"/>
    </xf>
    <xf numFmtId="0" fontId="2" fillId="0" borderId="0" xfId="0" applyFont="1" applyAlignment="1">
      <alignment horizontal="center" textRotation="90"/>
    </xf>
    <xf numFmtId="0" fontId="7" fillId="2" borderId="0" xfId="0" applyFont="1" applyFill="1"/>
    <xf numFmtId="0" fontId="0" fillId="0" borderId="0" xfId="0" applyFont="1" applyFill="1"/>
    <xf numFmtId="0" fontId="0" fillId="0" borderId="0" xfId="0"/>
    <xf numFmtId="0" fontId="0" fillId="0" borderId="0" xfId="0" applyAlignment="1">
      <alignment horizontal="center"/>
    </xf>
    <xf numFmtId="0" fontId="0" fillId="2" borderId="0" xfId="0" applyFill="1" applyAlignment="1">
      <alignment horizontal="center"/>
    </xf>
    <xf numFmtId="0" fontId="0" fillId="0" borderId="1" xfId="0" applyBorder="1" applyAlignment="1">
      <alignment horizontal="center"/>
    </xf>
    <xf numFmtId="0" fontId="0" fillId="0" borderId="0" xfId="0"/>
    <xf numFmtId="0" fontId="0" fillId="0" borderId="0" xfId="0"/>
    <xf numFmtId="0" fontId="0" fillId="0" borderId="0" xfId="0" applyFont="1"/>
    <xf numFmtId="0" fontId="0" fillId="2" borderId="0" xfId="0" applyFont="1" applyFill="1"/>
    <xf numFmtId="0" fontId="0" fillId="0" borderId="0" xfId="0"/>
    <xf numFmtId="0" fontId="0" fillId="0" borderId="0" xfId="0" applyAlignment="1">
      <alignment horizontal="center"/>
    </xf>
    <xf numFmtId="0" fontId="8" fillId="0" borderId="0" xfId="0" applyFont="1" applyAlignment="1">
      <alignment textRotation="90"/>
    </xf>
    <xf numFmtId="0" fontId="1" fillId="0" borderId="0" xfId="0" applyFont="1" applyAlignment="1">
      <alignment textRotation="90"/>
    </xf>
    <xf numFmtId="0" fontId="0" fillId="0" borderId="0" xfId="0" applyAlignment="1">
      <alignment horizontal="center"/>
    </xf>
    <xf numFmtId="0" fontId="0" fillId="0" borderId="0" xfId="0"/>
    <xf numFmtId="0" fontId="4" fillId="0" borderId="0" xfId="0" applyFont="1" applyAlignment="1">
      <alignment textRotation="90"/>
    </xf>
    <xf numFmtId="0" fontId="8" fillId="0" borderId="0" xfId="0" applyFont="1" applyFill="1" applyBorder="1" applyAlignment="1">
      <alignment textRotation="90"/>
    </xf>
    <xf numFmtId="0" fontId="8" fillId="0" borderId="0" xfId="0" applyFont="1" applyAlignment="1">
      <alignment horizontal="center" textRotation="90"/>
    </xf>
    <xf numFmtId="0" fontId="4" fillId="0" borderId="0" xfId="0" applyFont="1" applyAlignment="1">
      <alignment horizontal="left" vertical="center"/>
    </xf>
    <xf numFmtId="0" fontId="6" fillId="2" borderId="0" xfId="0" applyFont="1" applyFill="1" applyAlignment="1">
      <alignment horizontal="left" vertical="center"/>
    </xf>
    <xf numFmtId="0" fontId="4" fillId="2" borderId="0" xfId="0" applyFont="1" applyFill="1" applyAlignment="1">
      <alignment horizontal="left" vertical="center"/>
    </xf>
    <xf numFmtId="0" fontId="0" fillId="0" borderId="0" xfId="0" applyFont="1" applyFill="1" applyAlignment="1">
      <alignment horizontal="left" vertical="center"/>
    </xf>
    <xf numFmtId="0" fontId="0" fillId="0" borderId="0" xfId="0" applyAlignment="1">
      <alignment horizontal="left" vertical="center"/>
    </xf>
    <xf numFmtId="0" fontId="4" fillId="0" borderId="0" xfId="0" applyFont="1" applyAlignment="1">
      <alignment horizontal="left"/>
    </xf>
    <xf numFmtId="1" fontId="0" fillId="0" borderId="0" xfId="0" applyNumberFormat="1"/>
    <xf numFmtId="1" fontId="0" fillId="0" borderId="0" xfId="0" applyNumberFormat="1" applyFont="1"/>
    <xf numFmtId="1" fontId="0" fillId="0" borderId="0" xfId="0" applyNumberFormat="1" applyFont="1" applyAlignment="1">
      <alignment horizontal="center"/>
    </xf>
    <xf numFmtId="1" fontId="0" fillId="0" borderId="0" xfId="0" applyNumberFormat="1" applyFont="1" applyFill="1"/>
    <xf numFmtId="0" fontId="4" fillId="0" borderId="0" xfId="0" applyFont="1" applyAlignment="1">
      <alignment horizontal="center" vertical="center"/>
    </xf>
    <xf numFmtId="0" fontId="4" fillId="0" borderId="0" xfId="0" applyFont="1" applyFill="1" applyAlignment="1">
      <alignment horizontal="center" vertical="center"/>
    </xf>
    <xf numFmtId="0" fontId="2" fillId="0" borderId="0" xfId="0" applyFont="1" applyAlignment="1">
      <alignment horizontal="center" textRotation="90"/>
    </xf>
    <xf numFmtId="0" fontId="0" fillId="0" borderId="0" xfId="0" applyFont="1" applyFill="1" applyAlignment="1">
      <alignment horizontal="center"/>
    </xf>
    <xf numFmtId="0" fontId="2" fillId="0" borderId="0" xfId="0" applyFont="1" applyAlignment="1">
      <alignment horizontal="center" textRotation="90"/>
    </xf>
    <xf numFmtId="0" fontId="0" fillId="2" borderId="0" xfId="0" applyFont="1" applyFill="1" applyAlignment="1">
      <alignment horizontal="center"/>
    </xf>
    <xf numFmtId="0" fontId="0" fillId="0" borderId="0" xfId="0" applyFont="1" applyAlignment="1">
      <alignment horizontal="center"/>
    </xf>
    <xf numFmtId="0" fontId="4" fillId="0" borderId="0" xfId="0" applyFont="1" applyFill="1" applyAlignment="1">
      <alignment horizontal="center"/>
    </xf>
    <xf numFmtId="0" fontId="4" fillId="0" borderId="0" xfId="0" applyFont="1" applyFill="1"/>
    <xf numFmtId="1" fontId="4" fillId="0" borderId="0" xfId="0" applyNumberFormat="1" applyFont="1"/>
    <xf numFmtId="1" fontId="4" fillId="0" borderId="0" xfId="0" applyNumberFormat="1" applyFont="1" applyAlignment="1">
      <alignment horizontal="center"/>
    </xf>
    <xf numFmtId="1" fontId="4" fillId="0" borderId="0" xfId="0" applyNumberFormat="1" applyFont="1" applyFill="1"/>
    <xf numFmtId="0" fontId="4" fillId="0" borderId="0" xfId="0" applyFont="1" applyFill="1" applyAlignment="1">
      <alignment horizontal="left" vertical="center"/>
    </xf>
    <xf numFmtId="0" fontId="4" fillId="0" borderId="0" xfId="0" applyFont="1" applyAlignment="1">
      <alignment horizontal="center"/>
    </xf>
    <xf numFmtId="0" fontId="2" fillId="0" borderId="0" xfId="0" applyFont="1" applyAlignment="1">
      <alignment textRotation="90"/>
    </xf>
    <xf numFmtId="0" fontId="0" fillId="0" borderId="0" xfId="0" applyAlignment="1">
      <alignment horizontal="center" vertical="top"/>
    </xf>
    <xf numFmtId="0" fontId="0" fillId="0" borderId="0" xfId="0" applyAlignment="1">
      <alignment horizontal="center"/>
    </xf>
    <xf numFmtId="0" fontId="2" fillId="0" borderId="0" xfId="0" applyFont="1" applyAlignment="1">
      <alignment horizontal="center" textRotation="90"/>
    </xf>
    <xf numFmtId="0" fontId="0" fillId="0" borderId="0" xfId="0" applyAlignment="1">
      <alignment textRotation="90"/>
    </xf>
    <xf numFmtId="0" fontId="2" fillId="0" borderId="0" xfId="0" applyFont="1" applyFill="1" applyBorder="1" applyAlignment="1">
      <alignment textRotation="90"/>
    </xf>
    <xf numFmtId="0" fontId="3" fillId="0" borderId="0" xfId="0" applyFont="1" applyAlignment="1">
      <alignment textRotation="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575"/>
  <sheetViews>
    <sheetView tabSelected="1" zoomScale="118" zoomScaleNormal="118" zoomScaleSheetLayoutView="100" workbookViewId="0">
      <pane ySplit="1" topLeftCell="A2" activePane="bottomLeft" state="frozen"/>
      <selection pane="bottomLeft" activeCell="A470" sqref="A470:XFD470"/>
    </sheetView>
  </sheetViews>
  <sheetFormatPr defaultRowHeight="15" x14ac:dyDescent="0.25"/>
  <cols>
    <col min="1" max="1" width="32.7109375" style="38" customWidth="1"/>
    <col min="2" max="2" width="4.140625" style="50" customWidth="1"/>
    <col min="3" max="3" width="4.140625" style="23" customWidth="1"/>
    <col min="4" max="6" width="4.28515625" style="30" customWidth="1"/>
    <col min="7" max="7" width="4.28515625" style="29" customWidth="1"/>
    <col min="8" max="9" width="5.28515625" style="30" customWidth="1"/>
    <col min="10" max="20" width="4.28515625" style="30" customWidth="1"/>
    <col min="21" max="21" width="4.28515625" style="30" hidden="1" customWidth="1"/>
    <col min="22" max="35" width="4.28515625" style="30" customWidth="1"/>
    <col min="36" max="36" width="4.28515625" style="23" customWidth="1"/>
    <col min="37" max="39" width="4.28515625" style="30" customWidth="1"/>
    <col min="40" max="45" width="4.140625" style="23" customWidth="1"/>
    <col min="46" max="46" width="5.7109375" style="23" customWidth="1"/>
  </cols>
  <sheetData>
    <row r="1" spans="1:49" s="30" customFormat="1" ht="122.25" x14ac:dyDescent="0.25">
      <c r="A1" s="39" t="s">
        <v>0</v>
      </c>
      <c r="B1" s="33"/>
      <c r="C1" s="33" t="s">
        <v>176</v>
      </c>
      <c r="D1" s="27" t="s">
        <v>177</v>
      </c>
      <c r="E1" s="27" t="s">
        <v>178</v>
      </c>
      <c r="F1" s="27" t="s">
        <v>179</v>
      </c>
      <c r="G1" s="27" t="s">
        <v>180</v>
      </c>
      <c r="H1" s="33" t="s">
        <v>181</v>
      </c>
      <c r="I1" s="33" t="s">
        <v>182</v>
      </c>
      <c r="J1" s="33" t="s">
        <v>183</v>
      </c>
      <c r="K1" s="33" t="s">
        <v>184</v>
      </c>
      <c r="L1" s="33" t="s">
        <v>185</v>
      </c>
      <c r="M1" s="33" t="s">
        <v>186</v>
      </c>
      <c r="N1" s="33" t="s">
        <v>187</v>
      </c>
      <c r="O1" s="33" t="s">
        <v>188</v>
      </c>
      <c r="P1" s="33" t="s">
        <v>189</v>
      </c>
      <c r="Q1" s="33" t="s">
        <v>190</v>
      </c>
      <c r="R1" s="33" t="s">
        <v>5</v>
      </c>
      <c r="S1" s="33" t="s">
        <v>13</v>
      </c>
      <c r="T1" s="33" t="s">
        <v>32</v>
      </c>
      <c r="U1" s="33" t="s">
        <v>3</v>
      </c>
      <c r="V1" s="33" t="s">
        <v>3</v>
      </c>
      <c r="W1" s="33" t="s">
        <v>4</v>
      </c>
      <c r="X1" s="33" t="s">
        <v>6</v>
      </c>
      <c r="Y1" s="33" t="s">
        <v>323</v>
      </c>
      <c r="Z1" s="33" t="s">
        <v>324</v>
      </c>
      <c r="AA1" s="33" t="s">
        <v>325</v>
      </c>
      <c r="AB1" s="33" t="s">
        <v>191</v>
      </c>
      <c r="AC1" s="33" t="s">
        <v>326</v>
      </c>
      <c r="AD1" s="33" t="s">
        <v>327</v>
      </c>
      <c r="AE1" s="33" t="s">
        <v>328</v>
      </c>
      <c r="AF1" s="33" t="s">
        <v>329</v>
      </c>
      <c r="AG1" s="33" t="s">
        <v>11</v>
      </c>
      <c r="AH1" s="33" t="s">
        <v>12</v>
      </c>
      <c r="AI1" s="33" t="s">
        <v>330</v>
      </c>
      <c r="AJ1" s="33" t="s">
        <v>331</v>
      </c>
      <c r="AK1" s="33" t="s">
        <v>332</v>
      </c>
      <c r="AL1" s="33" t="s">
        <v>333</v>
      </c>
      <c r="AM1" s="33" t="s">
        <v>334</v>
      </c>
      <c r="AN1" s="33" t="s">
        <v>28</v>
      </c>
      <c r="AO1" s="33" t="s">
        <v>29</v>
      </c>
      <c r="AP1" s="33" t="s">
        <v>30</v>
      </c>
      <c r="AQ1" s="33" t="s">
        <v>31</v>
      </c>
      <c r="AR1" s="33" t="s">
        <v>33</v>
      </c>
      <c r="AS1" s="33" t="s">
        <v>34</v>
      </c>
      <c r="AT1" s="33" t="s">
        <v>35</v>
      </c>
      <c r="AU1" s="27"/>
      <c r="AV1" s="28"/>
    </row>
    <row r="2" spans="1:49" s="30" customFormat="1" ht="16.5" customHeight="1" x14ac:dyDescent="0.25">
      <c r="A2" s="34" t="s">
        <v>1</v>
      </c>
      <c r="B2" s="48"/>
      <c r="C2" s="46"/>
      <c r="D2" s="27"/>
      <c r="E2" s="27"/>
      <c r="F2" s="27"/>
      <c r="G2" s="33"/>
      <c r="H2" s="27"/>
      <c r="I2" s="27"/>
      <c r="J2" s="27"/>
      <c r="K2" s="27"/>
      <c r="L2" s="27"/>
      <c r="M2" s="27"/>
      <c r="N2" s="27"/>
      <c r="O2" s="27"/>
      <c r="P2" s="27"/>
      <c r="Q2" s="27"/>
      <c r="R2" s="27"/>
      <c r="S2" s="27"/>
      <c r="T2" s="27"/>
      <c r="U2" s="27"/>
      <c r="V2" s="27"/>
      <c r="W2" s="27"/>
      <c r="X2" s="27"/>
      <c r="Y2" s="32"/>
      <c r="Z2" s="32"/>
      <c r="AA2" s="32"/>
      <c r="AB2" s="32"/>
      <c r="AC2" s="32"/>
      <c r="AD2" s="27"/>
      <c r="AE2" s="27"/>
      <c r="AF2" s="27"/>
      <c r="AG2" s="27"/>
      <c r="AH2" s="27"/>
      <c r="AI2" s="27"/>
      <c r="AJ2" s="31"/>
      <c r="AK2" s="27"/>
      <c r="AL2" s="27"/>
      <c r="AM2" s="27"/>
      <c r="AN2" s="48"/>
      <c r="AO2" s="48"/>
      <c r="AP2" s="48"/>
      <c r="AQ2" s="48"/>
      <c r="AR2" s="48"/>
      <c r="AS2" s="48"/>
      <c r="AT2" s="48"/>
    </row>
    <row r="3" spans="1:49" s="3" customFormat="1" x14ac:dyDescent="0.25">
      <c r="A3" s="35" t="s">
        <v>118</v>
      </c>
      <c r="B3" s="49"/>
      <c r="C3" s="24"/>
      <c r="G3" s="19"/>
      <c r="AJ3" s="24"/>
      <c r="AN3" s="24"/>
      <c r="AO3" s="24"/>
      <c r="AP3" s="24"/>
      <c r="AQ3" s="24"/>
      <c r="AR3" s="24"/>
      <c r="AS3" s="24"/>
      <c r="AT3" s="24"/>
    </row>
    <row r="4" spans="1:49" s="4" customFormat="1" x14ac:dyDescent="0.25">
      <c r="A4" s="56" t="s">
        <v>192</v>
      </c>
      <c r="B4" s="51" t="s">
        <v>79</v>
      </c>
      <c r="C4" s="52">
        <v>4</v>
      </c>
      <c r="D4" s="53">
        <v>6</v>
      </c>
      <c r="E4" s="53">
        <v>6</v>
      </c>
      <c r="F4" s="53">
        <v>8</v>
      </c>
      <c r="G4" s="54">
        <v>2</v>
      </c>
      <c r="H4" s="53">
        <v>8</v>
      </c>
      <c r="I4" s="53">
        <v>27</v>
      </c>
      <c r="J4" s="53">
        <v>36</v>
      </c>
      <c r="K4" s="53">
        <v>25</v>
      </c>
      <c r="L4" s="53">
        <v>5</v>
      </c>
      <c r="M4" s="53">
        <v>0</v>
      </c>
      <c r="N4" s="53">
        <v>0</v>
      </c>
      <c r="O4" s="53">
        <v>0</v>
      </c>
      <c r="P4" s="53">
        <v>0</v>
      </c>
      <c r="Q4" s="53">
        <v>1</v>
      </c>
      <c r="R4" s="53">
        <v>6</v>
      </c>
      <c r="S4" s="53">
        <v>1</v>
      </c>
      <c r="T4" s="53">
        <v>4</v>
      </c>
      <c r="U4" s="53"/>
      <c r="V4" s="53">
        <v>0</v>
      </c>
      <c r="W4" s="53">
        <v>0</v>
      </c>
      <c r="X4" s="53">
        <v>0</v>
      </c>
      <c r="Y4" s="53">
        <v>1</v>
      </c>
      <c r="Z4" s="53">
        <v>0</v>
      </c>
      <c r="AA4" s="53">
        <v>0</v>
      </c>
      <c r="AB4" s="53">
        <v>3</v>
      </c>
      <c r="AC4" s="53">
        <v>0</v>
      </c>
      <c r="AD4" s="53">
        <v>0</v>
      </c>
      <c r="AE4" s="53">
        <v>5</v>
      </c>
      <c r="AF4" s="53">
        <v>0</v>
      </c>
      <c r="AG4" s="53">
        <v>1</v>
      </c>
      <c r="AH4" s="53">
        <v>0</v>
      </c>
      <c r="AI4" s="53">
        <v>5</v>
      </c>
      <c r="AJ4" s="55">
        <v>0</v>
      </c>
      <c r="AK4" s="53">
        <v>0</v>
      </c>
      <c r="AL4" s="55">
        <v>0</v>
      </c>
      <c r="AM4" s="55">
        <v>3</v>
      </c>
      <c r="AN4" s="55">
        <v>3</v>
      </c>
      <c r="AO4" s="55">
        <v>1</v>
      </c>
      <c r="AP4" s="55">
        <v>0</v>
      </c>
      <c r="AQ4" s="55">
        <v>0</v>
      </c>
      <c r="AR4" s="55">
        <v>1</v>
      </c>
      <c r="AS4" s="55">
        <v>0</v>
      </c>
      <c r="AT4" s="55">
        <f>SUM(C4:AS4)</f>
        <v>162</v>
      </c>
    </row>
    <row r="5" spans="1:49" s="23" customFormat="1" x14ac:dyDescent="0.25">
      <c r="A5" s="37" t="s">
        <v>193</v>
      </c>
      <c r="B5" s="47" t="s">
        <v>80</v>
      </c>
      <c r="C5" s="16">
        <v>6</v>
      </c>
      <c r="D5" s="41">
        <v>4</v>
      </c>
      <c r="E5" s="41">
        <v>3</v>
      </c>
      <c r="F5" s="41">
        <v>1</v>
      </c>
      <c r="G5" s="42">
        <v>0</v>
      </c>
      <c r="H5" s="41">
        <v>10</v>
      </c>
      <c r="I5" s="41">
        <v>24</v>
      </c>
      <c r="J5" s="41">
        <v>17</v>
      </c>
      <c r="K5" s="41">
        <v>9</v>
      </c>
      <c r="L5" s="41">
        <v>4</v>
      </c>
      <c r="M5" s="41">
        <v>0</v>
      </c>
      <c r="N5" s="41">
        <v>0</v>
      </c>
      <c r="O5" s="41">
        <v>0</v>
      </c>
      <c r="P5" s="41">
        <v>1</v>
      </c>
      <c r="Q5" s="41">
        <v>2</v>
      </c>
      <c r="R5" s="41">
        <v>5</v>
      </c>
      <c r="S5" s="41">
        <v>5</v>
      </c>
      <c r="T5" s="41">
        <v>3</v>
      </c>
      <c r="U5" s="41"/>
      <c r="V5" s="41">
        <v>3</v>
      </c>
      <c r="W5" s="41">
        <v>0</v>
      </c>
      <c r="X5" s="41">
        <v>1</v>
      </c>
      <c r="Y5" s="41">
        <f>SUM(1 + 7)</f>
        <v>8</v>
      </c>
      <c r="Z5" s="41">
        <v>0</v>
      </c>
      <c r="AA5" s="41">
        <v>0</v>
      </c>
      <c r="AB5" s="41">
        <v>0</v>
      </c>
      <c r="AC5" s="41">
        <v>0</v>
      </c>
      <c r="AD5" s="41">
        <v>0</v>
      </c>
      <c r="AE5" s="41">
        <v>2</v>
      </c>
      <c r="AF5" s="41">
        <v>0</v>
      </c>
      <c r="AG5" s="41">
        <v>0</v>
      </c>
      <c r="AH5" s="41">
        <v>1</v>
      </c>
      <c r="AI5" s="41">
        <v>2</v>
      </c>
      <c r="AJ5" s="43">
        <v>0</v>
      </c>
      <c r="AK5" s="41">
        <v>0</v>
      </c>
      <c r="AL5" s="43">
        <v>0</v>
      </c>
      <c r="AM5" s="43">
        <v>0</v>
      </c>
      <c r="AN5" s="43">
        <v>1</v>
      </c>
      <c r="AO5" s="43">
        <v>3</v>
      </c>
      <c r="AP5" s="43">
        <v>0</v>
      </c>
      <c r="AQ5" s="43">
        <v>1</v>
      </c>
      <c r="AR5" s="43">
        <v>1</v>
      </c>
      <c r="AS5" s="43">
        <v>0</v>
      </c>
      <c r="AT5" s="43">
        <f>SUM(C5:AS5)</f>
        <v>117</v>
      </c>
    </row>
    <row r="6" spans="1:49" s="4" customFormat="1" x14ac:dyDescent="0.25">
      <c r="A6" s="4" t="s">
        <v>119</v>
      </c>
      <c r="B6" s="51" t="s">
        <v>80</v>
      </c>
      <c r="C6" s="52">
        <v>44</v>
      </c>
      <c r="D6" s="53">
        <v>10</v>
      </c>
      <c r="E6" s="53">
        <v>26</v>
      </c>
      <c r="F6" s="53">
        <v>12</v>
      </c>
      <c r="G6" s="54">
        <v>12</v>
      </c>
      <c r="H6" s="53">
        <v>51</v>
      </c>
      <c r="I6" s="53">
        <v>163</v>
      </c>
      <c r="J6" s="53">
        <v>163</v>
      </c>
      <c r="K6" s="53">
        <v>71</v>
      </c>
      <c r="L6" s="53">
        <v>21</v>
      </c>
      <c r="M6" s="53">
        <v>0</v>
      </c>
      <c r="N6" s="53">
        <v>0</v>
      </c>
      <c r="O6" s="53">
        <v>1</v>
      </c>
      <c r="P6" s="53">
        <v>4</v>
      </c>
      <c r="Q6" s="53">
        <v>0</v>
      </c>
      <c r="R6" s="53">
        <v>54</v>
      </c>
      <c r="S6" s="53">
        <v>18</v>
      </c>
      <c r="T6" s="53">
        <v>61</v>
      </c>
      <c r="U6" s="53"/>
      <c r="V6" s="53">
        <v>11</v>
      </c>
      <c r="W6" s="53">
        <v>15</v>
      </c>
      <c r="X6" s="53">
        <v>16</v>
      </c>
      <c r="Y6" s="53">
        <v>31</v>
      </c>
      <c r="Z6" s="53">
        <v>13</v>
      </c>
      <c r="AA6" s="53">
        <v>0</v>
      </c>
      <c r="AB6" s="53">
        <v>3</v>
      </c>
      <c r="AC6" s="53">
        <v>1</v>
      </c>
      <c r="AD6" s="53">
        <v>7</v>
      </c>
      <c r="AE6" s="53">
        <v>27</v>
      </c>
      <c r="AF6" s="53">
        <v>0</v>
      </c>
      <c r="AG6" s="53">
        <v>20</v>
      </c>
      <c r="AH6" s="53">
        <v>17</v>
      </c>
      <c r="AI6" s="53">
        <v>24</v>
      </c>
      <c r="AJ6" s="53">
        <v>0</v>
      </c>
      <c r="AK6" s="55">
        <v>0</v>
      </c>
      <c r="AL6" s="53">
        <v>0</v>
      </c>
      <c r="AM6" s="55">
        <v>5</v>
      </c>
      <c r="AN6" s="55">
        <v>31</v>
      </c>
      <c r="AO6" s="55">
        <v>18</v>
      </c>
      <c r="AP6" s="55">
        <v>11</v>
      </c>
      <c r="AQ6" s="55">
        <v>28</v>
      </c>
      <c r="AR6" s="55">
        <v>12</v>
      </c>
      <c r="AS6" s="55">
        <v>3</v>
      </c>
      <c r="AT6" s="55">
        <f>SUM(C6:AS6)</f>
        <v>1004</v>
      </c>
      <c r="AU6" s="55">
        <v>1015</v>
      </c>
      <c r="AV6" s="55">
        <v>-1004</v>
      </c>
      <c r="AW6" s="53">
        <f>SUM(AU6:AV6)</f>
        <v>11</v>
      </c>
    </row>
    <row r="7" spans="1:49" s="16" customFormat="1" x14ac:dyDescent="0.25">
      <c r="A7" s="44" t="s">
        <v>117</v>
      </c>
      <c r="B7" s="47"/>
      <c r="D7" s="41"/>
      <c r="E7" s="41"/>
      <c r="F7" s="41"/>
      <c r="G7" s="42"/>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3"/>
      <c r="AK7" s="41"/>
      <c r="AL7" s="43"/>
      <c r="AM7" s="43"/>
      <c r="AN7" s="43"/>
    </row>
    <row r="8" spans="1:49" s="16" customFormat="1" x14ac:dyDescent="0.25">
      <c r="A8" s="37"/>
      <c r="B8" s="47"/>
      <c r="D8" s="41"/>
      <c r="E8" s="41"/>
      <c r="F8" s="41"/>
      <c r="G8" s="42"/>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3"/>
      <c r="AK8" s="41"/>
      <c r="AL8" s="43"/>
      <c r="AM8" s="43"/>
      <c r="AT8" s="43">
        <f>SUM(C8:AS8)</f>
        <v>0</v>
      </c>
    </row>
    <row r="9" spans="1:49" s="3" customFormat="1" x14ac:dyDescent="0.25">
      <c r="A9" s="35" t="s">
        <v>120</v>
      </c>
      <c r="B9" s="49"/>
      <c r="C9" s="24"/>
      <c r="G9" s="19"/>
      <c r="AJ9" s="24"/>
      <c r="AN9" s="24"/>
      <c r="AO9" s="24"/>
      <c r="AP9" s="24"/>
      <c r="AQ9" s="24"/>
      <c r="AR9" s="24"/>
      <c r="AS9" s="24"/>
      <c r="AT9" s="24"/>
    </row>
    <row r="10" spans="1:49" s="4" customFormat="1" x14ac:dyDescent="0.25">
      <c r="A10" s="56" t="s">
        <v>194</v>
      </c>
      <c r="B10" s="57" t="s">
        <v>80</v>
      </c>
      <c r="C10" s="4">
        <v>45</v>
      </c>
      <c r="D10" s="53">
        <v>14</v>
      </c>
      <c r="E10" s="53">
        <v>28</v>
      </c>
      <c r="F10" s="53">
        <v>12</v>
      </c>
      <c r="G10" s="54">
        <v>11</v>
      </c>
      <c r="H10" s="53">
        <v>57</v>
      </c>
      <c r="I10" s="53">
        <v>164</v>
      </c>
      <c r="J10" s="53">
        <v>161</v>
      </c>
      <c r="K10" s="53">
        <v>74</v>
      </c>
      <c r="L10" s="53">
        <v>24</v>
      </c>
      <c r="M10" s="53">
        <v>0</v>
      </c>
      <c r="N10" s="53">
        <v>0</v>
      </c>
      <c r="O10" s="53">
        <v>1</v>
      </c>
      <c r="P10" s="53">
        <v>4</v>
      </c>
      <c r="Q10" s="53">
        <v>2</v>
      </c>
      <c r="R10" s="53">
        <v>55</v>
      </c>
      <c r="S10" s="53">
        <v>22</v>
      </c>
      <c r="T10" s="53">
        <v>59</v>
      </c>
      <c r="U10" s="53"/>
      <c r="V10" s="53">
        <v>13</v>
      </c>
      <c r="W10" s="53">
        <v>15</v>
      </c>
      <c r="X10" s="53">
        <v>17</v>
      </c>
      <c r="Y10" s="53">
        <f>SUM(1+36)</f>
        <v>37</v>
      </c>
      <c r="Z10" s="53">
        <v>13</v>
      </c>
      <c r="AA10" s="53">
        <v>0</v>
      </c>
      <c r="AB10" s="53">
        <v>3</v>
      </c>
      <c r="AC10" s="53">
        <v>1</v>
      </c>
      <c r="AD10" s="53">
        <v>6</v>
      </c>
      <c r="AE10" s="53">
        <v>27</v>
      </c>
      <c r="AF10" s="53">
        <v>0</v>
      </c>
      <c r="AG10" s="53">
        <v>20</v>
      </c>
      <c r="AH10" s="53">
        <v>16</v>
      </c>
      <c r="AI10" s="53">
        <v>23</v>
      </c>
      <c r="AJ10" s="55">
        <v>0</v>
      </c>
      <c r="AK10" s="53">
        <v>0</v>
      </c>
      <c r="AL10" s="55">
        <v>0</v>
      </c>
      <c r="AM10" s="55">
        <v>5</v>
      </c>
      <c r="AN10" s="55">
        <v>29</v>
      </c>
      <c r="AO10" s="55">
        <v>20</v>
      </c>
      <c r="AP10" s="55">
        <v>10</v>
      </c>
      <c r="AQ10" s="55">
        <v>29</v>
      </c>
      <c r="AR10" s="55">
        <v>12</v>
      </c>
      <c r="AS10" s="55">
        <v>3</v>
      </c>
      <c r="AT10" s="55">
        <f>SUM(C10:AS10)</f>
        <v>1032</v>
      </c>
    </row>
    <row r="11" spans="1:49" s="4" customFormat="1" x14ac:dyDescent="0.25">
      <c r="A11" s="56" t="s">
        <v>195</v>
      </c>
      <c r="B11" s="57" t="s">
        <v>79</v>
      </c>
      <c r="C11" s="4">
        <v>5</v>
      </c>
      <c r="D11" s="53">
        <v>7</v>
      </c>
      <c r="E11" s="53">
        <v>8</v>
      </c>
      <c r="F11" s="53">
        <v>9</v>
      </c>
      <c r="G11" s="54">
        <v>2</v>
      </c>
      <c r="H11" s="53">
        <v>9</v>
      </c>
      <c r="I11" s="53">
        <v>28</v>
      </c>
      <c r="J11" s="53">
        <v>34</v>
      </c>
      <c r="K11" s="53">
        <v>25</v>
      </c>
      <c r="L11" s="53">
        <v>5</v>
      </c>
      <c r="M11" s="53">
        <v>0</v>
      </c>
      <c r="N11" s="53">
        <v>0</v>
      </c>
      <c r="O11" s="53">
        <v>0</v>
      </c>
      <c r="P11" s="53">
        <v>0</v>
      </c>
      <c r="Q11" s="53">
        <v>1</v>
      </c>
      <c r="R11" s="53">
        <v>6</v>
      </c>
      <c r="S11" s="53">
        <v>1</v>
      </c>
      <c r="T11" s="53">
        <v>4</v>
      </c>
      <c r="U11" s="53"/>
      <c r="V11" s="53">
        <v>0</v>
      </c>
      <c r="W11" s="53">
        <v>0</v>
      </c>
      <c r="X11" s="53">
        <v>0</v>
      </c>
      <c r="Y11" s="53">
        <v>1</v>
      </c>
      <c r="Z11" s="53">
        <v>0</v>
      </c>
      <c r="AA11" s="53">
        <v>0</v>
      </c>
      <c r="AB11" s="53">
        <v>3</v>
      </c>
      <c r="AC11" s="53">
        <v>0</v>
      </c>
      <c r="AD11" s="53">
        <v>0</v>
      </c>
      <c r="AE11" s="53">
        <v>6</v>
      </c>
      <c r="AF11" s="53">
        <v>0</v>
      </c>
      <c r="AG11" s="53">
        <v>1</v>
      </c>
      <c r="AH11" s="53">
        <v>0</v>
      </c>
      <c r="AI11" s="53">
        <v>6</v>
      </c>
      <c r="AJ11" s="55">
        <v>0</v>
      </c>
      <c r="AK11" s="53">
        <v>0</v>
      </c>
      <c r="AL11" s="55">
        <v>0</v>
      </c>
      <c r="AM11" s="55">
        <v>3</v>
      </c>
      <c r="AN11" s="55">
        <v>5</v>
      </c>
      <c r="AO11" s="55">
        <v>1</v>
      </c>
      <c r="AP11" s="55">
        <v>0</v>
      </c>
      <c r="AQ11" s="55">
        <v>0</v>
      </c>
      <c r="AR11" s="55">
        <v>2</v>
      </c>
      <c r="AS11" s="55">
        <v>0</v>
      </c>
      <c r="AT11" s="55">
        <f>SUM(C11:AS11)</f>
        <v>172</v>
      </c>
    </row>
    <row r="12" spans="1:49" s="30" customFormat="1" x14ac:dyDescent="0.25">
      <c r="A12" s="45" t="s">
        <v>117</v>
      </c>
      <c r="B12" s="48"/>
      <c r="C12" s="46"/>
      <c r="D12" s="40"/>
      <c r="E12" s="41"/>
      <c r="F12" s="41"/>
      <c r="G12" s="42"/>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3"/>
      <c r="AK12" s="41"/>
      <c r="AL12" s="43"/>
      <c r="AM12" s="43"/>
      <c r="AN12" s="48"/>
      <c r="AO12" s="48"/>
      <c r="AP12" s="48"/>
      <c r="AQ12" s="48"/>
      <c r="AR12" s="48"/>
      <c r="AS12" s="48"/>
      <c r="AT12" s="48"/>
    </row>
    <row r="13" spans="1:49" s="16" customFormat="1" x14ac:dyDescent="0.25">
      <c r="A13" s="37"/>
      <c r="B13" s="47"/>
      <c r="D13" s="41"/>
      <c r="E13" s="41"/>
      <c r="F13" s="41"/>
      <c r="G13" s="42"/>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3"/>
      <c r="AK13" s="41"/>
      <c r="AL13" s="43"/>
      <c r="AM13" s="43"/>
      <c r="AT13" s="43">
        <f>SUM(C13:AS13)</f>
        <v>0</v>
      </c>
    </row>
    <row r="14" spans="1:49" s="3" customFormat="1" x14ac:dyDescent="0.25">
      <c r="A14" s="35" t="s">
        <v>121</v>
      </c>
      <c r="B14" s="49"/>
      <c r="C14" s="24"/>
      <c r="G14" s="19"/>
      <c r="AJ14" s="24"/>
      <c r="AN14" s="24"/>
      <c r="AO14" s="24"/>
      <c r="AP14" s="24"/>
      <c r="AQ14" s="24"/>
      <c r="AR14" s="24"/>
      <c r="AS14" s="24"/>
      <c r="AT14" s="24"/>
    </row>
    <row r="15" spans="1:49" s="4" customFormat="1" x14ac:dyDescent="0.25">
      <c r="A15" s="56" t="s">
        <v>196</v>
      </c>
      <c r="B15" s="57" t="s">
        <v>80</v>
      </c>
      <c r="C15" s="4">
        <v>48</v>
      </c>
      <c r="D15" s="53">
        <v>0</v>
      </c>
      <c r="E15" s="53">
        <v>0</v>
      </c>
      <c r="F15" s="53">
        <v>0</v>
      </c>
      <c r="G15" s="54">
        <v>12</v>
      </c>
      <c r="H15" s="53">
        <v>0</v>
      </c>
      <c r="I15" s="53">
        <v>0</v>
      </c>
      <c r="J15" s="53">
        <v>159</v>
      </c>
      <c r="K15" s="53">
        <v>0</v>
      </c>
      <c r="L15" s="53">
        <v>0</v>
      </c>
      <c r="M15" s="53">
        <v>0</v>
      </c>
      <c r="N15" s="53">
        <v>0</v>
      </c>
      <c r="O15" s="53">
        <v>0</v>
      </c>
      <c r="P15" s="53">
        <v>0</v>
      </c>
      <c r="Q15" s="53">
        <v>2</v>
      </c>
      <c r="R15" s="53">
        <v>55</v>
      </c>
      <c r="S15" s="53">
        <v>23</v>
      </c>
      <c r="T15" s="53">
        <v>58</v>
      </c>
      <c r="U15" s="53"/>
      <c r="V15" s="53">
        <v>14</v>
      </c>
      <c r="W15" s="53">
        <v>14</v>
      </c>
      <c r="X15" s="53">
        <v>17</v>
      </c>
      <c r="Y15" s="53">
        <f>SUM(1+39)</f>
        <v>40</v>
      </c>
      <c r="Z15" s="53">
        <v>0</v>
      </c>
      <c r="AA15" s="53">
        <v>0</v>
      </c>
      <c r="AB15" s="53">
        <v>0</v>
      </c>
      <c r="AC15" s="53">
        <v>1</v>
      </c>
      <c r="AD15" s="53">
        <v>0</v>
      </c>
      <c r="AE15" s="53">
        <v>28</v>
      </c>
      <c r="AF15" s="53">
        <v>0</v>
      </c>
      <c r="AG15" s="53">
        <v>20</v>
      </c>
      <c r="AH15" s="53">
        <v>16</v>
      </c>
      <c r="AI15" s="53">
        <v>23</v>
      </c>
      <c r="AJ15" s="55">
        <v>0</v>
      </c>
      <c r="AK15" s="53">
        <v>0</v>
      </c>
      <c r="AL15" s="55">
        <v>0</v>
      </c>
      <c r="AM15" s="55">
        <v>0</v>
      </c>
      <c r="AN15" s="55">
        <v>28</v>
      </c>
      <c r="AO15" s="55">
        <v>21</v>
      </c>
      <c r="AP15" s="55">
        <v>9</v>
      </c>
      <c r="AQ15" s="55">
        <v>28</v>
      </c>
      <c r="AR15" s="55">
        <v>12</v>
      </c>
      <c r="AS15" s="55">
        <v>3</v>
      </c>
      <c r="AT15" s="55">
        <f>SUM(C15:AS15)</f>
        <v>631</v>
      </c>
    </row>
    <row r="16" spans="1:49" s="30" customFormat="1" x14ac:dyDescent="0.25">
      <c r="A16" s="45" t="s">
        <v>117</v>
      </c>
      <c r="B16" s="48"/>
      <c r="C16" s="46"/>
      <c r="D16" s="40"/>
      <c r="E16" s="41"/>
      <c r="F16" s="41"/>
      <c r="G16" s="42"/>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3"/>
      <c r="AK16" s="41"/>
      <c r="AL16" s="43"/>
      <c r="AM16" s="43"/>
      <c r="AN16" s="48"/>
      <c r="AO16" s="48"/>
      <c r="AP16" s="48"/>
      <c r="AQ16" s="48"/>
      <c r="AR16" s="48"/>
      <c r="AS16" s="48"/>
      <c r="AT16" s="48"/>
    </row>
    <row r="17" spans="1:47" s="23" customFormat="1" x14ac:dyDescent="0.25">
      <c r="A17" s="37"/>
      <c r="B17" s="50"/>
      <c r="D17" s="41"/>
      <c r="E17" s="41"/>
      <c r="F17" s="41"/>
      <c r="G17" s="42"/>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3"/>
      <c r="AK17" s="41"/>
      <c r="AL17" s="43"/>
      <c r="AM17" s="43"/>
      <c r="AT17" s="43">
        <f>SUM(C17:AS17)</f>
        <v>0</v>
      </c>
    </row>
    <row r="18" spans="1:47" s="3" customFormat="1" x14ac:dyDescent="0.25">
      <c r="A18" s="35" t="s">
        <v>122</v>
      </c>
      <c r="B18" s="49"/>
      <c r="C18" s="24"/>
      <c r="G18" s="19"/>
      <c r="AJ18" s="24"/>
      <c r="AN18" s="24"/>
      <c r="AO18" s="24"/>
      <c r="AP18" s="24"/>
      <c r="AQ18" s="24"/>
      <c r="AR18" s="24"/>
      <c r="AS18" s="24"/>
      <c r="AT18" s="24"/>
    </row>
    <row r="19" spans="1:47" s="52" customFormat="1" x14ac:dyDescent="0.25">
      <c r="A19" s="56" t="s">
        <v>197</v>
      </c>
      <c r="B19" s="57" t="s">
        <v>80</v>
      </c>
      <c r="C19" s="4">
        <v>0</v>
      </c>
      <c r="D19" s="53">
        <v>12</v>
      </c>
      <c r="E19" s="53">
        <v>28</v>
      </c>
      <c r="F19" s="53">
        <v>11</v>
      </c>
      <c r="G19" s="54">
        <v>0</v>
      </c>
      <c r="H19" s="53">
        <v>59</v>
      </c>
      <c r="I19" s="53">
        <v>169</v>
      </c>
      <c r="J19" s="53">
        <v>0</v>
      </c>
      <c r="K19" s="53">
        <v>74</v>
      </c>
      <c r="L19" s="53">
        <v>21</v>
      </c>
      <c r="M19" s="53">
        <v>0</v>
      </c>
      <c r="N19" s="53">
        <v>0</v>
      </c>
      <c r="O19" s="53">
        <v>1</v>
      </c>
      <c r="P19" s="53">
        <v>3</v>
      </c>
      <c r="Q19" s="53">
        <v>0</v>
      </c>
      <c r="R19" s="53">
        <v>0</v>
      </c>
      <c r="S19" s="53">
        <v>0</v>
      </c>
      <c r="T19" s="53">
        <v>0</v>
      </c>
      <c r="U19" s="53"/>
      <c r="V19" s="53">
        <v>0</v>
      </c>
      <c r="W19" s="53">
        <v>0</v>
      </c>
      <c r="X19" s="53">
        <v>0</v>
      </c>
      <c r="Y19" s="53">
        <v>0</v>
      </c>
      <c r="Z19" s="53">
        <v>7</v>
      </c>
      <c r="AA19" s="53">
        <v>0</v>
      </c>
      <c r="AB19" s="53">
        <v>3</v>
      </c>
      <c r="AC19" s="53">
        <v>0</v>
      </c>
      <c r="AD19" s="53">
        <v>5</v>
      </c>
      <c r="AE19" s="53">
        <v>0</v>
      </c>
      <c r="AF19" s="53">
        <v>0</v>
      </c>
      <c r="AG19" s="53">
        <v>0</v>
      </c>
      <c r="AH19" s="53">
        <v>0</v>
      </c>
      <c r="AI19" s="53">
        <v>0</v>
      </c>
      <c r="AJ19" s="55">
        <v>0</v>
      </c>
      <c r="AK19" s="53">
        <v>0</v>
      </c>
      <c r="AL19" s="55">
        <v>0</v>
      </c>
      <c r="AM19" s="55">
        <v>5</v>
      </c>
      <c r="AN19" s="55">
        <v>0</v>
      </c>
      <c r="AO19" s="55">
        <v>0</v>
      </c>
      <c r="AP19" s="55">
        <v>0</v>
      </c>
      <c r="AQ19" s="55">
        <v>0</v>
      </c>
      <c r="AR19" s="55">
        <v>0</v>
      </c>
      <c r="AS19" s="55">
        <v>0</v>
      </c>
      <c r="AT19" s="55">
        <f>SUM(C19:AS19)</f>
        <v>398</v>
      </c>
      <c r="AU19" s="4"/>
    </row>
    <row r="20" spans="1:47" s="30" customFormat="1" x14ac:dyDescent="0.25">
      <c r="A20" s="45" t="s">
        <v>117</v>
      </c>
      <c r="B20" s="48"/>
      <c r="C20" s="48"/>
      <c r="D20" s="40"/>
      <c r="E20" s="41"/>
      <c r="F20" s="41"/>
      <c r="G20" s="42"/>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3"/>
      <c r="AK20" s="41"/>
      <c r="AL20" s="43"/>
      <c r="AM20" s="43"/>
      <c r="AN20" s="48"/>
      <c r="AO20" s="48"/>
      <c r="AP20" s="48"/>
      <c r="AQ20" s="48"/>
      <c r="AR20" s="48"/>
      <c r="AS20" s="48"/>
      <c r="AT20" s="48"/>
    </row>
    <row r="21" spans="1:47" s="16" customFormat="1" x14ac:dyDescent="0.25">
      <c r="A21" s="37"/>
      <c r="B21" s="50"/>
      <c r="C21" s="23"/>
      <c r="D21" s="41"/>
      <c r="E21" s="41"/>
      <c r="F21" s="41"/>
      <c r="G21" s="42"/>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3"/>
      <c r="AK21" s="41"/>
      <c r="AL21" s="43"/>
      <c r="AM21" s="43"/>
      <c r="AN21" s="23"/>
      <c r="AO21" s="23"/>
      <c r="AP21" s="23"/>
      <c r="AQ21" s="23"/>
      <c r="AR21" s="23"/>
      <c r="AS21" s="23"/>
      <c r="AT21" s="43">
        <f>SUM(C21:AS21)</f>
        <v>0</v>
      </c>
      <c r="AU21" s="23"/>
    </row>
    <row r="22" spans="1:47" s="3" customFormat="1" x14ac:dyDescent="0.25">
      <c r="A22" s="35" t="s">
        <v>124</v>
      </c>
      <c r="B22" s="49"/>
      <c r="C22" s="24"/>
      <c r="G22" s="19"/>
      <c r="AJ22" s="24"/>
      <c r="AN22" s="24"/>
      <c r="AO22" s="24"/>
      <c r="AP22" s="24"/>
      <c r="AQ22" s="24"/>
      <c r="AR22" s="24"/>
      <c r="AS22" s="24"/>
      <c r="AT22" s="24"/>
    </row>
    <row r="23" spans="1:47" s="52" customFormat="1" x14ac:dyDescent="0.25">
      <c r="A23" s="56" t="s">
        <v>126</v>
      </c>
      <c r="B23" s="51" t="s">
        <v>79</v>
      </c>
      <c r="C23" s="52">
        <v>6</v>
      </c>
      <c r="D23" s="53">
        <v>7</v>
      </c>
      <c r="E23" s="53">
        <v>7</v>
      </c>
      <c r="F23" s="53">
        <v>12</v>
      </c>
      <c r="G23" s="54">
        <v>2</v>
      </c>
      <c r="H23" s="53">
        <v>11</v>
      </c>
      <c r="I23" s="53">
        <v>30</v>
      </c>
      <c r="J23" s="53">
        <v>38</v>
      </c>
      <c r="K23" s="53">
        <v>25</v>
      </c>
      <c r="L23" s="53">
        <v>5</v>
      </c>
      <c r="M23" s="53">
        <v>0</v>
      </c>
      <c r="N23" s="53">
        <v>0</v>
      </c>
      <c r="O23" s="53">
        <v>0</v>
      </c>
      <c r="P23" s="53">
        <v>0</v>
      </c>
      <c r="Q23" s="53">
        <v>1</v>
      </c>
      <c r="R23" s="53">
        <v>7</v>
      </c>
      <c r="S23" s="53">
        <v>1</v>
      </c>
      <c r="T23" s="53">
        <v>4</v>
      </c>
      <c r="U23" s="53"/>
      <c r="V23" s="53">
        <v>0</v>
      </c>
      <c r="W23" s="53">
        <v>0</v>
      </c>
      <c r="X23" s="53">
        <v>0</v>
      </c>
      <c r="Y23" s="53">
        <v>1</v>
      </c>
      <c r="Z23" s="53">
        <v>0</v>
      </c>
      <c r="AA23" s="53">
        <v>0</v>
      </c>
      <c r="AB23" s="53">
        <v>3</v>
      </c>
      <c r="AC23" s="53">
        <v>0</v>
      </c>
      <c r="AD23" s="53">
        <v>0</v>
      </c>
      <c r="AE23" s="53">
        <v>7</v>
      </c>
      <c r="AF23" s="53">
        <v>0</v>
      </c>
      <c r="AG23" s="53">
        <v>1</v>
      </c>
      <c r="AH23" s="53">
        <v>0</v>
      </c>
      <c r="AI23" s="53">
        <v>5</v>
      </c>
      <c r="AJ23" s="55">
        <v>0</v>
      </c>
      <c r="AK23" s="53">
        <v>0</v>
      </c>
      <c r="AL23" s="55">
        <v>0</v>
      </c>
      <c r="AM23" s="55">
        <v>3</v>
      </c>
      <c r="AN23" s="55">
        <v>5</v>
      </c>
      <c r="AO23" s="55">
        <v>2</v>
      </c>
      <c r="AP23" s="55">
        <v>0</v>
      </c>
      <c r="AQ23" s="55">
        <v>0</v>
      </c>
      <c r="AR23" s="55">
        <v>1</v>
      </c>
      <c r="AS23" s="55">
        <v>0</v>
      </c>
      <c r="AT23" s="55">
        <f>SUM(C23:AS23)</f>
        <v>184</v>
      </c>
    </row>
    <row r="24" spans="1:47" s="16" customFormat="1" x14ac:dyDescent="0.25">
      <c r="A24" s="44" t="s">
        <v>117</v>
      </c>
      <c r="B24" s="47"/>
      <c r="D24" s="41"/>
      <c r="E24" s="41"/>
      <c r="F24" s="41"/>
      <c r="G24" s="42"/>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3"/>
      <c r="AK24" s="41"/>
      <c r="AL24" s="43"/>
      <c r="AM24" s="43"/>
    </row>
    <row r="25" spans="1:47" s="4" customFormat="1" x14ac:dyDescent="0.25">
      <c r="A25" s="37"/>
      <c r="B25" s="47"/>
      <c r="C25" s="16"/>
      <c r="D25" s="41"/>
      <c r="E25" s="41"/>
      <c r="F25" s="41"/>
      <c r="G25" s="42"/>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3"/>
      <c r="AK25" s="41"/>
      <c r="AL25" s="43"/>
      <c r="AM25" s="43"/>
      <c r="AN25" s="16"/>
      <c r="AO25" s="16"/>
      <c r="AP25" s="16"/>
      <c r="AQ25" s="16"/>
      <c r="AR25" s="16"/>
      <c r="AS25" s="16"/>
      <c r="AT25" s="43">
        <f>SUM(C25:AS25)</f>
        <v>0</v>
      </c>
    </row>
    <row r="26" spans="1:47" s="3" customFormat="1" x14ac:dyDescent="0.25">
      <c r="A26" s="35" t="s">
        <v>125</v>
      </c>
      <c r="B26" s="49"/>
      <c r="C26" s="24"/>
      <c r="G26" s="19"/>
      <c r="AJ26" s="24"/>
      <c r="AN26" s="24"/>
      <c r="AO26" s="24"/>
      <c r="AP26" s="24"/>
      <c r="AQ26" s="24"/>
      <c r="AR26" s="24"/>
      <c r="AS26" s="24"/>
      <c r="AT26" s="24"/>
    </row>
    <row r="27" spans="1:47" s="52" customFormat="1" x14ac:dyDescent="0.25">
      <c r="A27" s="56" t="s">
        <v>127</v>
      </c>
      <c r="B27" s="51" t="s">
        <v>80</v>
      </c>
      <c r="C27" s="52">
        <v>44</v>
      </c>
      <c r="D27" s="53">
        <v>12</v>
      </c>
      <c r="E27" s="53">
        <v>26</v>
      </c>
      <c r="F27" s="53">
        <v>10</v>
      </c>
      <c r="G27" s="54">
        <v>10</v>
      </c>
      <c r="H27" s="53">
        <v>57</v>
      </c>
      <c r="I27" s="53">
        <v>146</v>
      </c>
      <c r="J27" s="53">
        <v>139</v>
      </c>
      <c r="K27" s="53">
        <v>68</v>
      </c>
      <c r="L27" s="53">
        <v>22</v>
      </c>
      <c r="M27" s="53">
        <v>0</v>
      </c>
      <c r="N27" s="53">
        <v>0</v>
      </c>
      <c r="O27" s="53">
        <v>1</v>
      </c>
      <c r="P27" s="53">
        <v>5</v>
      </c>
      <c r="Q27" s="53">
        <v>2</v>
      </c>
      <c r="R27" s="53">
        <v>53</v>
      </c>
      <c r="S27" s="53">
        <v>18</v>
      </c>
      <c r="T27" s="53">
        <v>51</v>
      </c>
      <c r="U27" s="53"/>
      <c r="V27" s="53">
        <v>13</v>
      </c>
      <c r="W27" s="53">
        <v>13</v>
      </c>
      <c r="X27" s="53">
        <v>13</v>
      </c>
      <c r="Y27" s="53">
        <f>SUM(1+29)</f>
        <v>30</v>
      </c>
      <c r="Z27" s="53">
        <v>7</v>
      </c>
      <c r="AA27" s="53">
        <v>0</v>
      </c>
      <c r="AB27" s="53">
        <v>3</v>
      </c>
      <c r="AC27" s="53">
        <v>1</v>
      </c>
      <c r="AD27" s="53">
        <v>5</v>
      </c>
      <c r="AE27" s="53">
        <v>25</v>
      </c>
      <c r="AF27" s="53">
        <v>0</v>
      </c>
      <c r="AG27" s="53">
        <v>18</v>
      </c>
      <c r="AH27" s="53">
        <v>15</v>
      </c>
      <c r="AI27" s="53">
        <v>18</v>
      </c>
      <c r="AJ27" s="55">
        <v>0</v>
      </c>
      <c r="AK27" s="53">
        <v>0</v>
      </c>
      <c r="AL27" s="55">
        <v>0</v>
      </c>
      <c r="AM27" s="55">
        <v>6</v>
      </c>
      <c r="AN27" s="55">
        <v>25</v>
      </c>
      <c r="AO27" s="55">
        <v>18</v>
      </c>
      <c r="AP27" s="55">
        <v>9</v>
      </c>
      <c r="AQ27" s="55">
        <v>26</v>
      </c>
      <c r="AR27" s="55">
        <v>12</v>
      </c>
      <c r="AS27" s="55">
        <v>2</v>
      </c>
      <c r="AT27" s="55">
        <f>SUM(C27:AS27)</f>
        <v>923</v>
      </c>
    </row>
    <row r="28" spans="1:47" s="16" customFormat="1" x14ac:dyDescent="0.25">
      <c r="A28" s="44" t="s">
        <v>117</v>
      </c>
      <c r="B28" s="47"/>
      <c r="D28" s="41"/>
      <c r="E28" s="41"/>
      <c r="F28" s="41"/>
      <c r="G28" s="42"/>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3"/>
      <c r="AK28" s="41"/>
      <c r="AL28" s="43"/>
      <c r="AM28" s="43"/>
    </row>
    <row r="29" spans="1:47" s="4" customFormat="1" x14ac:dyDescent="0.25">
      <c r="A29" s="37"/>
      <c r="B29" s="47"/>
      <c r="C29" s="16"/>
      <c r="D29" s="41"/>
      <c r="E29" s="41"/>
      <c r="F29" s="41"/>
      <c r="G29" s="42"/>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3"/>
      <c r="AK29" s="41"/>
      <c r="AL29" s="43"/>
      <c r="AM29" s="43"/>
      <c r="AN29" s="16"/>
      <c r="AO29" s="16"/>
      <c r="AP29" s="16"/>
      <c r="AQ29" s="16"/>
      <c r="AR29" s="16"/>
      <c r="AS29" s="16"/>
      <c r="AT29" s="43">
        <f>SUM(C29:AS29)</f>
        <v>0</v>
      </c>
    </row>
    <row r="30" spans="1:47" s="3" customFormat="1" x14ac:dyDescent="0.25">
      <c r="A30" s="36" t="s">
        <v>128</v>
      </c>
      <c r="B30" s="49"/>
      <c r="C30" s="24"/>
      <c r="G30" s="19"/>
      <c r="AJ30" s="24"/>
      <c r="AN30" s="24"/>
      <c r="AO30" s="24"/>
      <c r="AP30" s="24"/>
      <c r="AQ30" s="24"/>
      <c r="AR30" s="24"/>
      <c r="AS30" s="24"/>
      <c r="AT30" s="24"/>
    </row>
    <row r="31" spans="1:47" s="16" customFormat="1" x14ac:dyDescent="0.25">
      <c r="A31" s="37" t="s">
        <v>198</v>
      </c>
      <c r="B31" s="47" t="s">
        <v>80</v>
      </c>
      <c r="D31" s="41"/>
      <c r="E31" s="41"/>
      <c r="F31" s="41"/>
      <c r="G31" s="42">
        <v>8</v>
      </c>
      <c r="H31" s="41">
        <v>25</v>
      </c>
      <c r="I31" s="41">
        <v>96</v>
      </c>
      <c r="J31" s="41"/>
      <c r="K31" s="41"/>
      <c r="L31" s="41">
        <v>9</v>
      </c>
      <c r="M31" s="41">
        <v>0</v>
      </c>
      <c r="N31" s="41">
        <v>0</v>
      </c>
      <c r="O31" s="41">
        <v>0</v>
      </c>
      <c r="P31" s="41">
        <v>2</v>
      </c>
      <c r="Q31" s="41">
        <v>1</v>
      </c>
      <c r="R31" s="41"/>
      <c r="S31" s="41"/>
      <c r="T31" s="41"/>
      <c r="U31" s="41"/>
      <c r="V31" s="41"/>
      <c r="W31" s="41"/>
      <c r="X31" s="41">
        <v>6</v>
      </c>
      <c r="Y31" s="41">
        <v>18</v>
      </c>
      <c r="Z31" s="41">
        <v>1</v>
      </c>
      <c r="AA31" s="41">
        <v>0</v>
      </c>
      <c r="AB31" s="41">
        <v>1</v>
      </c>
      <c r="AC31" s="41"/>
      <c r="AD31" s="41"/>
      <c r="AE31" s="41"/>
      <c r="AF31" s="41"/>
      <c r="AG31" s="41">
        <v>13</v>
      </c>
      <c r="AH31" s="41"/>
      <c r="AI31" s="41"/>
      <c r="AJ31" s="43"/>
      <c r="AK31" s="41"/>
      <c r="AL31" s="43"/>
      <c r="AM31" s="43"/>
      <c r="AN31" s="43"/>
      <c r="AO31" s="16">
        <v>12</v>
      </c>
      <c r="AP31" s="43"/>
      <c r="AQ31" s="43"/>
      <c r="AR31" s="43"/>
      <c r="AS31" s="16">
        <v>0</v>
      </c>
      <c r="AT31" s="43">
        <f>SUM(C31:AS31)</f>
        <v>192</v>
      </c>
    </row>
    <row r="32" spans="1:47" s="52" customFormat="1" x14ac:dyDescent="0.25">
      <c r="A32" s="56" t="s">
        <v>130</v>
      </c>
      <c r="B32" s="51" t="s">
        <v>80</v>
      </c>
      <c r="D32" s="53"/>
      <c r="E32" s="53"/>
      <c r="F32" s="53"/>
      <c r="G32" s="54">
        <v>4</v>
      </c>
      <c r="H32" s="53">
        <v>38</v>
      </c>
      <c r="I32" s="53">
        <v>93</v>
      </c>
      <c r="J32" s="53"/>
      <c r="K32" s="53"/>
      <c r="L32" s="53">
        <v>17</v>
      </c>
      <c r="M32" s="53">
        <v>0</v>
      </c>
      <c r="N32" s="53">
        <v>0</v>
      </c>
      <c r="O32" s="53">
        <v>1</v>
      </c>
      <c r="P32" s="53">
        <v>3</v>
      </c>
      <c r="Q32" s="53">
        <v>1</v>
      </c>
      <c r="R32" s="53"/>
      <c r="S32" s="53"/>
      <c r="T32" s="53"/>
      <c r="U32" s="53"/>
      <c r="V32" s="53"/>
      <c r="W32" s="53"/>
      <c r="X32" s="53">
        <v>10</v>
      </c>
      <c r="Y32" s="53">
        <f>SUM(1+22)</f>
        <v>23</v>
      </c>
      <c r="Z32" s="53">
        <v>15</v>
      </c>
      <c r="AA32" s="53">
        <v>0</v>
      </c>
      <c r="AB32" s="53">
        <v>2</v>
      </c>
      <c r="AC32" s="53"/>
      <c r="AD32" s="53"/>
      <c r="AE32" s="53"/>
      <c r="AF32" s="53"/>
      <c r="AG32" s="53">
        <v>7</v>
      </c>
      <c r="AH32" s="53"/>
      <c r="AI32" s="53"/>
      <c r="AJ32" s="55"/>
      <c r="AK32" s="53"/>
      <c r="AL32" s="55"/>
      <c r="AM32" s="55"/>
      <c r="AN32" s="55"/>
      <c r="AO32" s="52">
        <v>10</v>
      </c>
      <c r="AP32" s="55"/>
      <c r="AQ32" s="55"/>
      <c r="AR32" s="55"/>
      <c r="AS32" s="52">
        <v>3</v>
      </c>
      <c r="AT32" s="55">
        <f>SUM(C32:AS32)</f>
        <v>227</v>
      </c>
    </row>
    <row r="33" spans="1:46" s="16" customFormat="1" x14ac:dyDescent="0.25">
      <c r="A33" s="45" t="s">
        <v>117</v>
      </c>
      <c r="B33" s="47"/>
      <c r="D33" s="41"/>
      <c r="E33" s="41"/>
      <c r="F33" s="41"/>
      <c r="G33" s="42"/>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3"/>
      <c r="AK33" s="41"/>
      <c r="AL33" s="43"/>
      <c r="AM33" s="43"/>
    </row>
    <row r="34" spans="1:46" s="23" customFormat="1" x14ac:dyDescent="0.25">
      <c r="A34" s="37"/>
      <c r="B34" s="47"/>
      <c r="C34" s="16"/>
      <c r="D34" s="41"/>
      <c r="E34" s="41"/>
      <c r="F34" s="41"/>
      <c r="G34" s="42"/>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3"/>
      <c r="AK34" s="41"/>
      <c r="AL34" s="43"/>
      <c r="AM34" s="43"/>
      <c r="AN34" s="16"/>
      <c r="AO34" s="16"/>
      <c r="AP34" s="16"/>
      <c r="AQ34" s="16"/>
      <c r="AR34" s="16"/>
      <c r="AS34" s="16"/>
      <c r="AT34" s="43">
        <f>SUM(C34:AS34)</f>
        <v>0</v>
      </c>
    </row>
    <row r="35" spans="1:46" s="3" customFormat="1" x14ac:dyDescent="0.25">
      <c r="A35" s="36" t="s">
        <v>129</v>
      </c>
      <c r="B35" s="49"/>
      <c r="C35" s="24"/>
      <c r="G35" s="19"/>
      <c r="AJ35" s="24"/>
      <c r="AN35" s="24"/>
      <c r="AO35" s="24"/>
      <c r="AP35" s="24"/>
      <c r="AQ35" s="24"/>
      <c r="AR35" s="24"/>
      <c r="AS35" s="24"/>
      <c r="AT35" s="24"/>
    </row>
    <row r="36" spans="1:46" s="16" customFormat="1" x14ac:dyDescent="0.25">
      <c r="A36" s="37" t="s">
        <v>199</v>
      </c>
      <c r="B36" s="47" t="s">
        <v>80</v>
      </c>
      <c r="D36" s="41"/>
      <c r="E36" s="41">
        <v>15</v>
      </c>
      <c r="F36" s="41">
        <v>5</v>
      </c>
      <c r="G36" s="42"/>
      <c r="H36" s="41"/>
      <c r="I36" s="41"/>
      <c r="J36" s="41">
        <v>85</v>
      </c>
      <c r="K36" s="41">
        <v>42</v>
      </c>
      <c r="L36" s="41"/>
      <c r="M36" s="41"/>
      <c r="N36" s="41"/>
      <c r="O36" s="41"/>
      <c r="P36" s="41"/>
      <c r="Q36" s="41"/>
      <c r="R36" s="41"/>
      <c r="S36" s="41"/>
      <c r="T36" s="41"/>
      <c r="U36" s="41"/>
      <c r="V36" s="41"/>
      <c r="W36" s="41"/>
      <c r="X36" s="41"/>
      <c r="Y36" s="41"/>
      <c r="Z36" s="41"/>
      <c r="AA36" s="41"/>
      <c r="AB36" s="41"/>
      <c r="AC36" s="41"/>
      <c r="AD36" s="41"/>
      <c r="AE36" s="41"/>
      <c r="AF36" s="41"/>
      <c r="AG36" s="41"/>
      <c r="AH36" s="41"/>
      <c r="AI36" s="41">
        <v>16</v>
      </c>
      <c r="AJ36" s="43">
        <v>0</v>
      </c>
      <c r="AK36" s="41">
        <v>0</v>
      </c>
      <c r="AL36" s="43">
        <v>0</v>
      </c>
      <c r="AM36" s="43">
        <v>2</v>
      </c>
      <c r="AT36" s="43">
        <f>SUM(C36:AS36)</f>
        <v>165</v>
      </c>
    </row>
    <row r="37" spans="1:46" s="52" customFormat="1" x14ac:dyDescent="0.25">
      <c r="A37" s="56" t="s">
        <v>200</v>
      </c>
      <c r="B37" s="51" t="s">
        <v>80</v>
      </c>
      <c r="D37" s="53"/>
      <c r="E37" s="53">
        <v>14</v>
      </c>
      <c r="F37" s="53">
        <v>7</v>
      </c>
      <c r="G37" s="54"/>
      <c r="H37" s="53"/>
      <c r="I37" s="53"/>
      <c r="J37" s="53">
        <v>100</v>
      </c>
      <c r="K37" s="53">
        <v>40</v>
      </c>
      <c r="L37" s="53"/>
      <c r="M37" s="53"/>
      <c r="N37" s="53"/>
      <c r="O37" s="53"/>
      <c r="P37" s="53"/>
      <c r="Q37" s="53"/>
      <c r="R37" s="53"/>
      <c r="S37" s="53"/>
      <c r="T37" s="53"/>
      <c r="U37" s="53"/>
      <c r="V37" s="53"/>
      <c r="W37" s="53"/>
      <c r="X37" s="53"/>
      <c r="Y37" s="53"/>
      <c r="Z37" s="53"/>
      <c r="AA37" s="53"/>
      <c r="AB37" s="53"/>
      <c r="AC37" s="53"/>
      <c r="AD37" s="53"/>
      <c r="AE37" s="53"/>
      <c r="AF37" s="53"/>
      <c r="AG37" s="53"/>
      <c r="AH37" s="53"/>
      <c r="AI37" s="53">
        <v>11</v>
      </c>
      <c r="AJ37" s="55">
        <v>0</v>
      </c>
      <c r="AK37" s="53">
        <v>0</v>
      </c>
      <c r="AL37" s="55">
        <v>0</v>
      </c>
      <c r="AM37" s="55">
        <v>3</v>
      </c>
      <c r="AT37" s="55">
        <f>SUM(C37:AS37)</f>
        <v>175</v>
      </c>
    </row>
    <row r="38" spans="1:46" s="52" customFormat="1" x14ac:dyDescent="0.25">
      <c r="A38" s="56" t="s">
        <v>123</v>
      </c>
      <c r="B38" s="51" t="s">
        <v>79</v>
      </c>
      <c r="D38" s="53"/>
      <c r="E38" s="53">
        <v>9</v>
      </c>
      <c r="F38" s="53">
        <v>10</v>
      </c>
      <c r="G38" s="54"/>
      <c r="H38" s="53"/>
      <c r="I38" s="53"/>
      <c r="J38" s="53">
        <v>33</v>
      </c>
      <c r="K38" s="53">
        <v>25</v>
      </c>
      <c r="L38" s="53"/>
      <c r="M38" s="53"/>
      <c r="N38" s="53"/>
      <c r="O38" s="53"/>
      <c r="P38" s="53"/>
      <c r="Q38" s="53"/>
      <c r="R38" s="53"/>
      <c r="S38" s="53"/>
      <c r="T38" s="53"/>
      <c r="U38" s="53"/>
      <c r="V38" s="53"/>
      <c r="W38" s="53"/>
      <c r="X38" s="53"/>
      <c r="Y38" s="53"/>
      <c r="Z38" s="53"/>
      <c r="AA38" s="53"/>
      <c r="AB38" s="53"/>
      <c r="AC38" s="53"/>
      <c r="AD38" s="53"/>
      <c r="AE38" s="53"/>
      <c r="AF38" s="53"/>
      <c r="AG38" s="53"/>
      <c r="AH38" s="53"/>
      <c r="AI38" s="53">
        <v>7</v>
      </c>
      <c r="AJ38" s="55">
        <v>0</v>
      </c>
      <c r="AK38" s="53">
        <v>0</v>
      </c>
      <c r="AL38" s="55">
        <v>0</v>
      </c>
      <c r="AM38" s="55">
        <v>2</v>
      </c>
      <c r="AT38" s="55">
        <f>SUM(C38:AS38)</f>
        <v>86</v>
      </c>
    </row>
    <row r="39" spans="1:46" s="16" customFormat="1" x14ac:dyDescent="0.25">
      <c r="A39" s="45" t="s">
        <v>117</v>
      </c>
      <c r="B39" s="47"/>
      <c r="D39" s="41"/>
      <c r="E39" s="41"/>
      <c r="F39" s="41"/>
      <c r="G39" s="42"/>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3"/>
      <c r="AK39" s="41"/>
      <c r="AL39" s="43"/>
      <c r="AM39" s="43"/>
    </row>
    <row r="40" spans="1:46" s="23" customFormat="1" x14ac:dyDescent="0.25">
      <c r="A40" s="37"/>
      <c r="B40" s="47"/>
      <c r="C40" s="16"/>
      <c r="D40" s="41"/>
      <c r="E40" s="41"/>
      <c r="F40" s="41"/>
      <c r="G40" s="42"/>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3"/>
      <c r="AK40" s="41"/>
      <c r="AL40" s="43"/>
      <c r="AM40" s="43"/>
      <c r="AN40" s="16"/>
      <c r="AO40" s="16"/>
      <c r="AP40" s="16"/>
      <c r="AQ40" s="16"/>
      <c r="AR40" s="16"/>
      <c r="AS40" s="16"/>
      <c r="AT40" s="43">
        <f>SUM(C40:AS40)</f>
        <v>0</v>
      </c>
    </row>
    <row r="41" spans="1:46" s="3" customFormat="1" x14ac:dyDescent="0.25">
      <c r="A41" s="36" t="s">
        <v>131</v>
      </c>
      <c r="B41" s="49"/>
      <c r="C41" s="24"/>
      <c r="G41" s="19"/>
      <c r="AJ41" s="24"/>
      <c r="AN41" s="24"/>
      <c r="AO41" s="24"/>
      <c r="AP41" s="24"/>
      <c r="AQ41" s="24"/>
      <c r="AR41" s="24"/>
      <c r="AS41" s="24"/>
      <c r="AT41" s="24"/>
    </row>
    <row r="42" spans="1:46" s="52" customFormat="1" x14ac:dyDescent="0.25">
      <c r="A42" s="56" t="s">
        <v>132</v>
      </c>
      <c r="B42" s="51" t="s">
        <v>80</v>
      </c>
      <c r="C42" s="52">
        <v>49</v>
      </c>
      <c r="D42" s="53">
        <v>13</v>
      </c>
      <c r="E42" s="53">
        <v>28</v>
      </c>
      <c r="F42" s="53">
        <v>12</v>
      </c>
      <c r="G42" s="54">
        <v>12</v>
      </c>
      <c r="H42" s="53">
        <v>64</v>
      </c>
      <c r="I42" s="53">
        <v>179</v>
      </c>
      <c r="J42" s="53">
        <v>168</v>
      </c>
      <c r="K42" s="53">
        <v>80</v>
      </c>
      <c r="L42" s="53">
        <v>25</v>
      </c>
      <c r="M42" s="53">
        <v>0</v>
      </c>
      <c r="N42" s="53">
        <v>0</v>
      </c>
      <c r="O42" s="53">
        <v>1</v>
      </c>
      <c r="P42" s="53">
        <v>4</v>
      </c>
      <c r="Q42" s="53">
        <v>2</v>
      </c>
      <c r="R42" s="53">
        <v>51</v>
      </c>
      <c r="S42" s="53">
        <v>22</v>
      </c>
      <c r="T42" s="53">
        <v>61</v>
      </c>
      <c r="U42" s="53"/>
      <c r="V42" s="53">
        <v>13</v>
      </c>
      <c r="W42" s="53">
        <v>15</v>
      </c>
      <c r="X42" s="53">
        <v>16</v>
      </c>
      <c r="Y42" s="53">
        <f>SUM(1+36)</f>
        <v>37</v>
      </c>
      <c r="Z42" s="53">
        <v>11</v>
      </c>
      <c r="AA42" s="53">
        <v>0</v>
      </c>
      <c r="AB42" s="53">
        <v>3</v>
      </c>
      <c r="AC42" s="53">
        <v>1</v>
      </c>
      <c r="AD42" s="53">
        <v>7</v>
      </c>
      <c r="AE42" s="53">
        <v>30</v>
      </c>
      <c r="AF42" s="53">
        <v>0</v>
      </c>
      <c r="AG42" s="53">
        <v>20</v>
      </c>
      <c r="AH42" s="53">
        <v>17</v>
      </c>
      <c r="AI42" s="53">
        <v>25</v>
      </c>
      <c r="AJ42" s="55">
        <v>0</v>
      </c>
      <c r="AK42" s="53">
        <v>0</v>
      </c>
      <c r="AL42" s="55">
        <v>0</v>
      </c>
      <c r="AM42" s="55">
        <v>4</v>
      </c>
      <c r="AN42" s="55">
        <v>31</v>
      </c>
      <c r="AO42" s="55">
        <v>22</v>
      </c>
      <c r="AP42" s="55">
        <v>11</v>
      </c>
      <c r="AQ42" s="55">
        <v>27</v>
      </c>
      <c r="AR42" s="55">
        <v>13</v>
      </c>
      <c r="AS42" s="55">
        <v>3</v>
      </c>
      <c r="AT42" s="55">
        <f>SUM(C42:AS42)</f>
        <v>1077</v>
      </c>
    </row>
    <row r="43" spans="1:46" s="16" customFormat="1" x14ac:dyDescent="0.25">
      <c r="A43" s="45" t="s">
        <v>117</v>
      </c>
      <c r="B43" s="47"/>
      <c r="D43" s="41"/>
      <c r="E43" s="41"/>
      <c r="F43" s="41"/>
      <c r="G43" s="42"/>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3"/>
      <c r="AK43" s="41"/>
      <c r="AL43" s="43"/>
      <c r="AM43" s="43"/>
    </row>
    <row r="44" spans="1:46" s="23" customFormat="1" x14ac:dyDescent="0.25">
      <c r="A44" s="37"/>
      <c r="B44" s="47"/>
      <c r="C44" s="16"/>
      <c r="D44" s="41"/>
      <c r="E44" s="41"/>
      <c r="F44" s="41"/>
      <c r="G44" s="42"/>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3"/>
      <c r="AK44" s="41"/>
      <c r="AL44" s="43"/>
      <c r="AM44" s="43"/>
      <c r="AN44" s="16"/>
      <c r="AO44" s="16"/>
      <c r="AP44" s="16"/>
      <c r="AQ44" s="16"/>
      <c r="AR44" s="16"/>
      <c r="AS44" s="16"/>
      <c r="AT44" s="43">
        <f>SUM(C44:AS44)</f>
        <v>0</v>
      </c>
    </row>
    <row r="45" spans="1:46" s="3" customFormat="1" x14ac:dyDescent="0.25">
      <c r="A45" s="36" t="s">
        <v>201</v>
      </c>
      <c r="B45" s="49"/>
      <c r="C45" s="24"/>
      <c r="G45" s="19"/>
      <c r="AJ45" s="24"/>
      <c r="AN45" s="24"/>
      <c r="AO45" s="24"/>
      <c r="AP45" s="24"/>
      <c r="AQ45" s="24"/>
      <c r="AR45" s="24"/>
      <c r="AS45" s="24"/>
      <c r="AT45" s="24"/>
    </row>
    <row r="46" spans="1:46" s="52" customFormat="1" x14ac:dyDescent="0.25">
      <c r="A46" s="56" t="s">
        <v>174</v>
      </c>
      <c r="B46" s="51" t="s">
        <v>80</v>
      </c>
      <c r="C46" s="52">
        <v>46</v>
      </c>
      <c r="D46" s="53">
        <v>13</v>
      </c>
      <c r="E46" s="53">
        <v>23</v>
      </c>
      <c r="F46" s="53">
        <v>11</v>
      </c>
      <c r="G46" s="54">
        <v>11</v>
      </c>
      <c r="H46" s="53">
        <v>60</v>
      </c>
      <c r="I46" s="53">
        <v>163</v>
      </c>
      <c r="J46" s="53">
        <v>153</v>
      </c>
      <c r="K46" s="53">
        <v>69</v>
      </c>
      <c r="L46" s="53">
        <v>25</v>
      </c>
      <c r="M46" s="53">
        <v>0</v>
      </c>
      <c r="N46" s="53">
        <v>0</v>
      </c>
      <c r="O46" s="53">
        <v>1</v>
      </c>
      <c r="P46" s="53">
        <v>4</v>
      </c>
      <c r="Q46" s="53">
        <v>2</v>
      </c>
      <c r="R46" s="53">
        <v>56</v>
      </c>
      <c r="S46" s="53">
        <v>21</v>
      </c>
      <c r="T46" s="53">
        <v>57</v>
      </c>
      <c r="U46" s="53"/>
      <c r="V46" s="53">
        <v>12</v>
      </c>
      <c r="W46" s="53">
        <v>14</v>
      </c>
      <c r="X46" s="53">
        <v>15</v>
      </c>
      <c r="Y46" s="53">
        <f>SUM(1+38)</f>
        <v>39</v>
      </c>
      <c r="Z46" s="53">
        <v>12</v>
      </c>
      <c r="AA46" s="53">
        <v>0</v>
      </c>
      <c r="AB46" s="53">
        <v>3</v>
      </c>
      <c r="AC46" s="53">
        <v>1</v>
      </c>
      <c r="AD46" s="53">
        <v>5</v>
      </c>
      <c r="AE46" s="53">
        <v>29</v>
      </c>
      <c r="AF46" s="53">
        <v>0</v>
      </c>
      <c r="AG46" s="53">
        <v>20</v>
      </c>
      <c r="AH46" s="53">
        <v>17</v>
      </c>
      <c r="AI46" s="53">
        <v>20</v>
      </c>
      <c r="AJ46" s="55">
        <v>0</v>
      </c>
      <c r="AK46" s="53">
        <v>0</v>
      </c>
      <c r="AL46" s="55">
        <v>0</v>
      </c>
      <c r="AM46" s="55">
        <v>5</v>
      </c>
      <c r="AN46" s="55">
        <v>30</v>
      </c>
      <c r="AO46" s="55">
        <v>19</v>
      </c>
      <c r="AP46" s="55">
        <v>8</v>
      </c>
      <c r="AQ46" s="55">
        <v>28</v>
      </c>
      <c r="AR46" s="55">
        <v>13</v>
      </c>
      <c r="AS46" s="55">
        <v>3</v>
      </c>
      <c r="AT46" s="55">
        <f>SUM(C46:AS46)</f>
        <v>1008</v>
      </c>
    </row>
    <row r="47" spans="1:46" s="16" customFormat="1" x14ac:dyDescent="0.25">
      <c r="A47" s="45" t="s">
        <v>117</v>
      </c>
      <c r="B47" s="47"/>
      <c r="D47" s="41"/>
      <c r="E47" s="41"/>
      <c r="F47" s="41"/>
      <c r="G47" s="42"/>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3"/>
      <c r="AK47" s="41"/>
      <c r="AL47" s="43"/>
      <c r="AM47" s="43"/>
    </row>
    <row r="48" spans="1:46" s="23" customFormat="1" x14ac:dyDescent="0.25">
      <c r="A48" s="37"/>
      <c r="B48" s="47"/>
      <c r="C48" s="16"/>
      <c r="D48" s="41"/>
      <c r="E48" s="41"/>
      <c r="F48" s="41"/>
      <c r="G48" s="42"/>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3"/>
      <c r="AK48" s="41"/>
      <c r="AL48" s="43"/>
      <c r="AM48" s="43"/>
      <c r="AN48" s="16"/>
      <c r="AO48" s="16"/>
      <c r="AP48" s="16"/>
      <c r="AQ48" s="16"/>
      <c r="AR48" s="16"/>
      <c r="AS48" s="16"/>
      <c r="AT48" s="43">
        <f>SUM(C48:AS48)</f>
        <v>0</v>
      </c>
    </row>
    <row r="49" spans="1:46" s="3" customFormat="1" x14ac:dyDescent="0.25">
      <c r="A49" s="36" t="s">
        <v>133</v>
      </c>
      <c r="B49" s="49"/>
      <c r="C49" s="24"/>
      <c r="G49" s="19"/>
      <c r="AJ49" s="24"/>
      <c r="AN49" s="24"/>
      <c r="AO49" s="24"/>
      <c r="AP49" s="24"/>
      <c r="AQ49" s="24"/>
      <c r="AR49" s="24"/>
      <c r="AS49" s="24"/>
      <c r="AT49" s="24"/>
    </row>
    <row r="50" spans="1:46" s="52" customFormat="1" x14ac:dyDescent="0.25">
      <c r="A50" s="56" t="s">
        <v>136</v>
      </c>
      <c r="B50" s="51" t="s">
        <v>80</v>
      </c>
      <c r="C50" s="52">
        <v>49</v>
      </c>
      <c r="D50" s="53">
        <v>12</v>
      </c>
      <c r="E50" s="53">
        <v>30</v>
      </c>
      <c r="F50" s="53">
        <v>12</v>
      </c>
      <c r="G50" s="54">
        <v>12</v>
      </c>
      <c r="H50" s="53">
        <v>62</v>
      </c>
      <c r="I50" s="53">
        <v>173</v>
      </c>
      <c r="J50" s="53">
        <v>163</v>
      </c>
      <c r="K50" s="53">
        <v>79</v>
      </c>
      <c r="L50" s="53">
        <v>25</v>
      </c>
      <c r="M50" s="53">
        <v>0</v>
      </c>
      <c r="N50" s="53">
        <v>0</v>
      </c>
      <c r="O50" s="53">
        <v>0</v>
      </c>
      <c r="P50" s="53">
        <v>4</v>
      </c>
      <c r="Q50" s="53">
        <v>2</v>
      </c>
      <c r="R50" s="53">
        <v>54</v>
      </c>
      <c r="S50" s="53">
        <v>22</v>
      </c>
      <c r="T50" s="53">
        <v>61</v>
      </c>
      <c r="U50" s="53"/>
      <c r="V50" s="53">
        <v>14</v>
      </c>
      <c r="W50" s="53">
        <v>15</v>
      </c>
      <c r="X50" s="53">
        <v>16</v>
      </c>
      <c r="Y50" s="53">
        <f>SUM(1+36)</f>
        <v>37</v>
      </c>
      <c r="Z50" s="53">
        <v>10</v>
      </c>
      <c r="AA50" s="53">
        <v>0</v>
      </c>
      <c r="AB50" s="53">
        <v>3</v>
      </c>
      <c r="AC50" s="53">
        <v>1</v>
      </c>
      <c r="AD50" s="53">
        <v>6</v>
      </c>
      <c r="AE50" s="53">
        <v>29</v>
      </c>
      <c r="AF50" s="53">
        <v>0</v>
      </c>
      <c r="AG50" s="53">
        <v>20</v>
      </c>
      <c r="AH50" s="53">
        <v>16</v>
      </c>
      <c r="AI50" s="53">
        <v>22</v>
      </c>
      <c r="AJ50" s="55">
        <v>0</v>
      </c>
      <c r="AK50" s="53">
        <v>0</v>
      </c>
      <c r="AL50" s="55">
        <v>0</v>
      </c>
      <c r="AM50" s="55">
        <v>4</v>
      </c>
      <c r="AN50" s="55">
        <v>32</v>
      </c>
      <c r="AO50" s="55">
        <v>22</v>
      </c>
      <c r="AP50" s="55">
        <v>11</v>
      </c>
      <c r="AQ50" s="55">
        <v>27</v>
      </c>
      <c r="AR50" s="55">
        <v>12</v>
      </c>
      <c r="AS50" s="55">
        <v>3</v>
      </c>
      <c r="AT50" s="55">
        <f>SUM(C50:AS50)</f>
        <v>1060</v>
      </c>
    </row>
    <row r="51" spans="1:46" s="16" customFormat="1" x14ac:dyDescent="0.25">
      <c r="A51" s="45" t="s">
        <v>117</v>
      </c>
      <c r="B51" s="47"/>
      <c r="D51" s="41"/>
      <c r="E51" s="41"/>
      <c r="F51" s="41"/>
      <c r="G51" s="42"/>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3"/>
      <c r="AK51" s="41"/>
      <c r="AL51" s="43"/>
      <c r="AM51" s="43"/>
    </row>
    <row r="52" spans="1:46" s="23" customFormat="1" x14ac:dyDescent="0.25">
      <c r="A52" s="37"/>
      <c r="B52" s="47"/>
      <c r="C52" s="16"/>
      <c r="D52" s="41"/>
      <c r="E52" s="41"/>
      <c r="F52" s="41"/>
      <c r="G52" s="42"/>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3"/>
      <c r="AK52" s="41"/>
      <c r="AL52" s="43"/>
      <c r="AM52" s="43"/>
      <c r="AN52" s="16"/>
      <c r="AO52" s="16"/>
      <c r="AP52" s="16"/>
      <c r="AQ52" s="16"/>
      <c r="AR52" s="16"/>
      <c r="AS52" s="16"/>
      <c r="AT52" s="43">
        <f>SUM(C52:AS52)</f>
        <v>0</v>
      </c>
    </row>
    <row r="53" spans="1:46" s="3" customFormat="1" x14ac:dyDescent="0.25">
      <c r="A53" s="36" t="s">
        <v>134</v>
      </c>
      <c r="B53" s="49"/>
      <c r="C53" s="24"/>
      <c r="G53" s="19"/>
      <c r="AJ53" s="24"/>
      <c r="AN53" s="24"/>
      <c r="AO53" s="24"/>
      <c r="AP53" s="24"/>
      <c r="AQ53" s="24"/>
      <c r="AR53" s="24"/>
      <c r="AS53" s="24"/>
      <c r="AT53" s="24"/>
    </row>
    <row r="54" spans="1:46" s="52" customFormat="1" x14ac:dyDescent="0.25">
      <c r="A54" s="56" t="s">
        <v>137</v>
      </c>
      <c r="B54" s="51" t="s">
        <v>80</v>
      </c>
      <c r="C54" s="52">
        <v>43</v>
      </c>
      <c r="D54" s="53">
        <v>13</v>
      </c>
      <c r="E54" s="53">
        <v>24</v>
      </c>
      <c r="F54" s="53">
        <v>12</v>
      </c>
      <c r="G54" s="54">
        <v>12</v>
      </c>
      <c r="H54" s="53">
        <v>61</v>
      </c>
      <c r="I54" s="53">
        <v>159</v>
      </c>
      <c r="J54" s="53">
        <v>157</v>
      </c>
      <c r="K54" s="53">
        <v>74</v>
      </c>
      <c r="L54" s="53">
        <v>25</v>
      </c>
      <c r="M54" s="53">
        <v>0</v>
      </c>
      <c r="N54" s="53">
        <v>0</v>
      </c>
      <c r="O54" s="53">
        <v>0</v>
      </c>
      <c r="P54" s="53">
        <v>4</v>
      </c>
      <c r="Q54" s="53">
        <v>2</v>
      </c>
      <c r="R54" s="53">
        <v>52</v>
      </c>
      <c r="S54" s="53">
        <v>19</v>
      </c>
      <c r="T54" s="53">
        <v>52</v>
      </c>
      <c r="U54" s="53"/>
      <c r="V54" s="53">
        <v>12</v>
      </c>
      <c r="W54" s="53">
        <v>14</v>
      </c>
      <c r="X54" s="53">
        <v>15</v>
      </c>
      <c r="Y54" s="53">
        <f>SUM(1+34)</f>
        <v>35</v>
      </c>
      <c r="Z54" s="53">
        <v>11</v>
      </c>
      <c r="AA54" s="53">
        <v>0</v>
      </c>
      <c r="AB54" s="53">
        <v>3</v>
      </c>
      <c r="AC54" s="53">
        <v>1</v>
      </c>
      <c r="AD54" s="53">
        <v>6</v>
      </c>
      <c r="AE54" s="53">
        <v>25</v>
      </c>
      <c r="AF54" s="53">
        <v>0</v>
      </c>
      <c r="AG54" s="53">
        <v>19</v>
      </c>
      <c r="AH54" s="53">
        <v>15</v>
      </c>
      <c r="AI54" s="53">
        <v>25</v>
      </c>
      <c r="AJ54" s="55">
        <v>0</v>
      </c>
      <c r="AK54" s="53">
        <v>0</v>
      </c>
      <c r="AL54" s="55">
        <v>0</v>
      </c>
      <c r="AM54" s="55">
        <v>5</v>
      </c>
      <c r="AN54" s="55">
        <v>27</v>
      </c>
      <c r="AO54" s="55">
        <v>16</v>
      </c>
      <c r="AP54" s="55">
        <v>10</v>
      </c>
      <c r="AQ54" s="55">
        <v>28</v>
      </c>
      <c r="AR54" s="55">
        <v>12</v>
      </c>
      <c r="AS54" s="55">
        <v>2</v>
      </c>
      <c r="AT54" s="55">
        <f>SUM(C54:AS54)</f>
        <v>990</v>
      </c>
    </row>
    <row r="55" spans="1:46" s="16" customFormat="1" x14ac:dyDescent="0.25">
      <c r="A55" s="45" t="s">
        <v>117</v>
      </c>
      <c r="B55" s="47"/>
      <c r="D55" s="41"/>
      <c r="E55" s="41"/>
      <c r="F55" s="41"/>
      <c r="G55" s="42"/>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3"/>
      <c r="AK55" s="41"/>
      <c r="AL55" s="43"/>
      <c r="AM55" s="43"/>
    </row>
    <row r="56" spans="1:46" s="23" customFormat="1" x14ac:dyDescent="0.25">
      <c r="A56" s="37"/>
      <c r="B56" s="47"/>
      <c r="C56" s="16"/>
      <c r="D56" s="41"/>
      <c r="E56" s="41"/>
      <c r="F56" s="41"/>
      <c r="G56" s="42"/>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3"/>
      <c r="AK56" s="41"/>
      <c r="AL56" s="43"/>
      <c r="AM56" s="43"/>
      <c r="AN56" s="16"/>
      <c r="AO56" s="16"/>
      <c r="AP56" s="16"/>
      <c r="AQ56" s="16"/>
      <c r="AR56" s="16"/>
      <c r="AS56" s="16"/>
      <c r="AT56" s="43">
        <f>SUM(C56:AS56)</f>
        <v>0</v>
      </c>
    </row>
    <row r="57" spans="1:46" s="3" customFormat="1" x14ac:dyDescent="0.25">
      <c r="A57" s="36" t="s">
        <v>135</v>
      </c>
      <c r="B57" s="49"/>
      <c r="C57" s="24"/>
      <c r="G57" s="19"/>
      <c r="AJ57" s="24"/>
      <c r="AN57" s="24"/>
      <c r="AO57" s="24"/>
      <c r="AP57" s="24"/>
      <c r="AQ57" s="24"/>
      <c r="AR57" s="24"/>
      <c r="AS57" s="24"/>
      <c r="AT57" s="24"/>
    </row>
    <row r="58" spans="1:46" s="52" customFormat="1" x14ac:dyDescent="0.25">
      <c r="A58" s="56" t="s">
        <v>138</v>
      </c>
      <c r="B58" s="51" t="s">
        <v>80</v>
      </c>
      <c r="C58" s="52">
        <v>48</v>
      </c>
      <c r="D58" s="53">
        <v>14</v>
      </c>
      <c r="E58" s="53">
        <v>29</v>
      </c>
      <c r="F58" s="53">
        <v>12</v>
      </c>
      <c r="G58" s="54">
        <v>12</v>
      </c>
      <c r="H58" s="53">
        <v>62</v>
      </c>
      <c r="I58" s="53">
        <v>179</v>
      </c>
      <c r="J58" s="53">
        <v>172</v>
      </c>
      <c r="K58" s="53">
        <v>79</v>
      </c>
      <c r="L58" s="53">
        <v>26</v>
      </c>
      <c r="M58" s="53">
        <v>0</v>
      </c>
      <c r="N58" s="53">
        <v>0</v>
      </c>
      <c r="O58" s="53">
        <v>0</v>
      </c>
      <c r="P58" s="53">
        <v>4</v>
      </c>
      <c r="Q58" s="53">
        <v>2</v>
      </c>
      <c r="R58" s="53">
        <v>54</v>
      </c>
      <c r="S58" s="53">
        <v>19</v>
      </c>
      <c r="T58" s="53">
        <v>61</v>
      </c>
      <c r="U58" s="53"/>
      <c r="V58" s="53">
        <v>13</v>
      </c>
      <c r="W58" s="53">
        <v>14</v>
      </c>
      <c r="X58" s="53">
        <v>17</v>
      </c>
      <c r="Y58" s="53">
        <f>SUM(1+38)</f>
        <v>39</v>
      </c>
      <c r="Z58" s="53">
        <v>15</v>
      </c>
      <c r="AA58" s="53">
        <v>0</v>
      </c>
      <c r="AB58" s="53">
        <v>3</v>
      </c>
      <c r="AC58" s="53">
        <v>1</v>
      </c>
      <c r="AD58" s="53">
        <v>7</v>
      </c>
      <c r="AE58" s="53">
        <v>30</v>
      </c>
      <c r="AF58" s="53">
        <v>0</v>
      </c>
      <c r="AG58" s="53">
        <v>20</v>
      </c>
      <c r="AH58" s="53">
        <v>16</v>
      </c>
      <c r="AI58" s="53">
        <v>25</v>
      </c>
      <c r="AJ58" s="55">
        <v>0</v>
      </c>
      <c r="AK58" s="53">
        <v>0</v>
      </c>
      <c r="AL58" s="55">
        <v>0</v>
      </c>
      <c r="AM58" s="55">
        <v>5</v>
      </c>
      <c r="AN58" s="55">
        <v>32</v>
      </c>
      <c r="AO58" s="55">
        <v>22</v>
      </c>
      <c r="AP58" s="55">
        <v>7</v>
      </c>
      <c r="AQ58" s="55">
        <v>27</v>
      </c>
      <c r="AR58" s="55">
        <v>13</v>
      </c>
      <c r="AS58" s="55">
        <v>3</v>
      </c>
      <c r="AT58" s="55">
        <f>SUM(C58:AS58)</f>
        <v>1082</v>
      </c>
    </row>
    <row r="59" spans="1:46" s="16" customFormat="1" x14ac:dyDescent="0.25">
      <c r="A59" s="45" t="s">
        <v>117</v>
      </c>
      <c r="B59" s="47"/>
      <c r="D59" s="41"/>
      <c r="E59" s="41"/>
      <c r="F59" s="41"/>
      <c r="G59" s="42"/>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3"/>
      <c r="AK59" s="41"/>
      <c r="AL59" s="43"/>
      <c r="AM59" s="43"/>
    </row>
    <row r="60" spans="1:46" s="23" customFormat="1" x14ac:dyDescent="0.25">
      <c r="A60" s="37"/>
      <c r="B60" s="47"/>
      <c r="C60" s="16"/>
      <c r="D60" s="41"/>
      <c r="E60" s="41"/>
      <c r="F60" s="41"/>
      <c r="G60" s="42"/>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3"/>
      <c r="AK60" s="41"/>
      <c r="AL60" s="43"/>
      <c r="AM60" s="43"/>
      <c r="AN60" s="16"/>
      <c r="AO60" s="16"/>
      <c r="AP60" s="16"/>
      <c r="AQ60" s="16"/>
      <c r="AR60" s="16"/>
      <c r="AS60" s="16"/>
      <c r="AT60" s="43">
        <f>SUM(C60:AS60)</f>
        <v>0</v>
      </c>
    </row>
    <row r="61" spans="1:46" s="3" customFormat="1" x14ac:dyDescent="0.25">
      <c r="A61" s="35" t="s">
        <v>139</v>
      </c>
      <c r="B61" s="49"/>
      <c r="C61" s="24"/>
      <c r="G61" s="19"/>
      <c r="AJ61" s="24"/>
      <c r="AN61" s="24"/>
      <c r="AO61" s="24"/>
      <c r="AP61" s="24"/>
      <c r="AQ61" s="24"/>
      <c r="AR61" s="24"/>
      <c r="AS61" s="24"/>
      <c r="AT61" s="24"/>
    </row>
    <row r="62" spans="1:46" s="23" customFormat="1" x14ac:dyDescent="0.25">
      <c r="A62" s="45" t="s">
        <v>117</v>
      </c>
      <c r="B62" s="50"/>
      <c r="D62" s="41"/>
      <c r="E62" s="41"/>
      <c r="F62" s="41"/>
      <c r="G62" s="42"/>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3"/>
      <c r="AK62" s="41"/>
      <c r="AL62" s="43"/>
      <c r="AM62" s="43"/>
      <c r="AT62" s="43"/>
    </row>
    <row r="63" spans="1:46" s="23" customFormat="1" x14ac:dyDescent="0.25">
      <c r="A63" s="37" t="s">
        <v>414</v>
      </c>
      <c r="B63" s="50" t="s">
        <v>80</v>
      </c>
      <c r="D63" s="41"/>
      <c r="E63" s="41"/>
      <c r="F63" s="41"/>
      <c r="G63" s="42"/>
      <c r="H63" s="41"/>
      <c r="I63" s="41"/>
      <c r="J63" s="41"/>
      <c r="K63" s="41"/>
      <c r="L63" s="41"/>
      <c r="M63" s="41"/>
      <c r="N63" s="41"/>
      <c r="O63" s="41"/>
      <c r="P63" s="41"/>
      <c r="Q63" s="41"/>
      <c r="R63" s="41"/>
      <c r="S63" s="41"/>
      <c r="T63" s="41"/>
      <c r="U63" s="41"/>
      <c r="V63" s="41">
        <v>2</v>
      </c>
      <c r="W63" s="41"/>
      <c r="X63" s="41"/>
      <c r="Y63" s="41"/>
      <c r="Z63" s="41"/>
      <c r="AA63" s="41"/>
      <c r="AB63" s="41"/>
      <c r="AC63" s="41"/>
      <c r="AD63" s="41"/>
      <c r="AE63" s="41"/>
      <c r="AF63" s="41"/>
      <c r="AG63" s="41"/>
      <c r="AH63" s="41"/>
      <c r="AI63" s="41"/>
      <c r="AJ63" s="43"/>
      <c r="AK63" s="41"/>
      <c r="AL63" s="43"/>
      <c r="AM63" s="43"/>
      <c r="AT63" s="43">
        <f>SUM(C63:AS63)</f>
        <v>2</v>
      </c>
    </row>
    <row r="64" spans="1:46" s="52" customFormat="1" x14ac:dyDescent="0.25">
      <c r="A64" s="52" t="s">
        <v>415</v>
      </c>
      <c r="B64" s="51" t="s">
        <v>80</v>
      </c>
      <c r="D64" s="53"/>
      <c r="E64" s="53"/>
      <c r="F64" s="53"/>
      <c r="G64" s="54"/>
      <c r="H64" s="53"/>
      <c r="I64" s="53"/>
      <c r="J64" s="53"/>
      <c r="K64" s="53"/>
      <c r="L64" s="53"/>
      <c r="M64" s="53"/>
      <c r="N64" s="53"/>
      <c r="O64" s="53"/>
      <c r="P64" s="53"/>
      <c r="Q64" s="53"/>
      <c r="R64" s="53"/>
      <c r="S64" s="53"/>
      <c r="T64" s="53"/>
      <c r="U64" s="53"/>
      <c r="V64" s="53">
        <v>8</v>
      </c>
      <c r="W64" s="53"/>
      <c r="X64" s="53"/>
      <c r="Y64" s="53"/>
      <c r="Z64" s="53"/>
      <c r="AA64" s="53"/>
      <c r="AB64" s="53"/>
      <c r="AC64" s="53"/>
      <c r="AD64" s="53"/>
      <c r="AE64" s="53"/>
      <c r="AF64" s="53"/>
      <c r="AG64" s="53"/>
      <c r="AH64" s="53"/>
      <c r="AI64" s="53"/>
      <c r="AJ64" s="55"/>
      <c r="AK64" s="53"/>
      <c r="AL64" s="55"/>
      <c r="AM64" s="55"/>
      <c r="AT64" s="55">
        <f>SUM(C64:AS64)</f>
        <v>8</v>
      </c>
    </row>
    <row r="65" spans="1:46" s="3" customFormat="1" x14ac:dyDescent="0.25">
      <c r="A65" s="35" t="s">
        <v>140</v>
      </c>
      <c r="B65" s="49"/>
      <c r="C65" s="24"/>
      <c r="G65" s="19"/>
      <c r="AJ65" s="24"/>
      <c r="AN65" s="24"/>
      <c r="AO65" s="24"/>
      <c r="AP65" s="24"/>
      <c r="AQ65" s="24"/>
      <c r="AR65" s="24"/>
      <c r="AS65" s="24"/>
      <c r="AT65" s="24"/>
    </row>
    <row r="66" spans="1:46" s="4" customFormat="1" x14ac:dyDescent="0.25">
      <c r="A66" s="56" t="s">
        <v>141</v>
      </c>
      <c r="B66" s="57" t="s">
        <v>80</v>
      </c>
      <c r="D66" s="53"/>
      <c r="E66" s="53"/>
      <c r="F66" s="53"/>
      <c r="G66" s="54"/>
      <c r="H66" s="53"/>
      <c r="I66" s="53"/>
      <c r="J66" s="53"/>
      <c r="K66" s="53"/>
      <c r="L66" s="53"/>
      <c r="M66" s="53"/>
      <c r="N66" s="53"/>
      <c r="O66" s="53"/>
      <c r="P66" s="53"/>
      <c r="Q66" s="53"/>
      <c r="R66" s="53"/>
      <c r="S66" s="53"/>
      <c r="T66" s="53"/>
      <c r="U66" s="53"/>
      <c r="V66" s="53">
        <v>14</v>
      </c>
      <c r="W66" s="53"/>
      <c r="X66" s="53"/>
      <c r="Y66" s="53"/>
      <c r="Z66" s="53"/>
      <c r="AA66" s="53"/>
      <c r="AB66" s="53"/>
      <c r="AC66" s="53"/>
      <c r="AD66" s="53"/>
      <c r="AE66" s="53"/>
      <c r="AF66" s="53"/>
      <c r="AG66" s="53"/>
      <c r="AH66" s="53"/>
      <c r="AI66" s="53"/>
      <c r="AJ66" s="55"/>
      <c r="AK66" s="53"/>
      <c r="AL66" s="55"/>
      <c r="AM66" s="55"/>
      <c r="AT66" s="55">
        <f>SUM(C66:AS66)</f>
        <v>14</v>
      </c>
    </row>
    <row r="67" spans="1:46" s="23" customFormat="1" x14ac:dyDescent="0.25">
      <c r="A67" s="45" t="s">
        <v>117</v>
      </c>
      <c r="B67" s="50"/>
      <c r="D67" s="41"/>
      <c r="E67" s="41"/>
      <c r="F67" s="41"/>
      <c r="G67" s="42"/>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3"/>
      <c r="AK67" s="41"/>
      <c r="AL67" s="43"/>
      <c r="AM67" s="43"/>
      <c r="AT67" s="43"/>
    </row>
    <row r="68" spans="1:46" s="16" customFormat="1" x14ac:dyDescent="0.25">
      <c r="B68" s="47"/>
      <c r="D68" s="41"/>
      <c r="E68" s="41"/>
      <c r="F68" s="41"/>
      <c r="G68" s="42"/>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3"/>
      <c r="AK68" s="41"/>
      <c r="AL68" s="43"/>
      <c r="AM68" s="43"/>
      <c r="AT68" s="43">
        <f>SUM(C68:AS68)</f>
        <v>0</v>
      </c>
    </row>
    <row r="69" spans="1:46" s="3" customFormat="1" x14ac:dyDescent="0.25">
      <c r="A69" s="35" t="s">
        <v>142</v>
      </c>
      <c r="B69" s="49"/>
      <c r="C69" s="24"/>
      <c r="G69" s="19"/>
      <c r="AJ69" s="24"/>
      <c r="AN69" s="24"/>
      <c r="AO69" s="24"/>
      <c r="AP69" s="24"/>
      <c r="AQ69" s="24"/>
      <c r="AR69" s="24"/>
      <c r="AS69" s="24"/>
      <c r="AT69" s="24"/>
    </row>
    <row r="70" spans="1:46" s="23" customFormat="1" x14ac:dyDescent="0.25">
      <c r="A70" s="37" t="s">
        <v>203</v>
      </c>
      <c r="B70" s="50" t="s">
        <v>80</v>
      </c>
      <c r="D70" s="41"/>
      <c r="E70" s="41"/>
      <c r="F70" s="41"/>
      <c r="G70" s="42"/>
      <c r="H70" s="41"/>
      <c r="I70" s="41"/>
      <c r="J70" s="41"/>
      <c r="K70" s="41"/>
      <c r="L70" s="41"/>
      <c r="M70" s="41"/>
      <c r="N70" s="41"/>
      <c r="O70" s="41"/>
      <c r="P70" s="41"/>
      <c r="Q70" s="41"/>
      <c r="R70" s="41">
        <v>55</v>
      </c>
      <c r="S70" s="41"/>
      <c r="T70" s="41"/>
      <c r="U70" s="41"/>
      <c r="V70" s="41"/>
      <c r="W70" s="41">
        <v>15</v>
      </c>
      <c r="X70" s="41"/>
      <c r="Y70" s="41"/>
      <c r="Z70" s="41"/>
      <c r="AA70" s="41"/>
      <c r="AB70" s="41"/>
      <c r="AC70" s="41"/>
      <c r="AD70" s="41"/>
      <c r="AE70" s="41"/>
      <c r="AF70" s="41"/>
      <c r="AG70" s="41"/>
      <c r="AH70" s="41"/>
      <c r="AI70" s="41"/>
      <c r="AJ70" s="43"/>
      <c r="AK70" s="41"/>
      <c r="AL70" s="43"/>
      <c r="AM70" s="43"/>
      <c r="AT70" s="43">
        <f>SUM(C70:AS70)</f>
        <v>70</v>
      </c>
    </row>
    <row r="71" spans="1:46" s="23" customFormat="1" x14ac:dyDescent="0.25">
      <c r="A71" s="45" t="s">
        <v>117</v>
      </c>
      <c r="B71" s="50"/>
      <c r="D71" s="41"/>
      <c r="E71" s="41"/>
      <c r="F71" s="41"/>
      <c r="G71" s="42"/>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3"/>
      <c r="AK71" s="41"/>
      <c r="AL71" s="43"/>
      <c r="AM71" s="43"/>
      <c r="AT71" s="43"/>
    </row>
    <row r="72" spans="1:46" s="16" customFormat="1" x14ac:dyDescent="0.25">
      <c r="A72" s="16" t="s">
        <v>397</v>
      </c>
      <c r="B72" s="47"/>
      <c r="D72" s="41"/>
      <c r="E72" s="41"/>
      <c r="F72" s="41"/>
      <c r="G72" s="42"/>
      <c r="H72" s="41"/>
      <c r="I72" s="41"/>
      <c r="J72" s="41"/>
      <c r="K72" s="41"/>
      <c r="L72" s="41"/>
      <c r="M72" s="41"/>
      <c r="N72" s="41"/>
      <c r="O72" s="41"/>
      <c r="P72" s="41"/>
      <c r="Q72" s="41"/>
      <c r="R72" s="41">
        <v>1</v>
      </c>
      <c r="S72" s="41"/>
      <c r="T72" s="41"/>
      <c r="U72" s="41"/>
      <c r="V72" s="41"/>
      <c r="W72" s="41"/>
      <c r="X72" s="41"/>
      <c r="Y72" s="41"/>
      <c r="Z72" s="41"/>
      <c r="AA72" s="41"/>
      <c r="AB72" s="41"/>
      <c r="AC72" s="41"/>
      <c r="AD72" s="41"/>
      <c r="AE72" s="41"/>
      <c r="AF72" s="41"/>
      <c r="AG72" s="41"/>
      <c r="AH72" s="41"/>
      <c r="AI72" s="41"/>
      <c r="AJ72" s="43"/>
      <c r="AK72" s="41"/>
      <c r="AL72" s="43"/>
      <c r="AM72" s="43"/>
      <c r="AT72" s="43">
        <f>SUM(C72:AS72)</f>
        <v>1</v>
      </c>
    </row>
    <row r="73" spans="1:46" s="3" customFormat="1" x14ac:dyDescent="0.25">
      <c r="A73" s="35" t="s">
        <v>143</v>
      </c>
      <c r="B73" s="49"/>
      <c r="C73" s="24"/>
      <c r="G73" s="19"/>
      <c r="AJ73" s="24"/>
      <c r="AN73" s="24"/>
      <c r="AO73" s="24"/>
      <c r="AP73" s="24"/>
      <c r="AQ73" s="24"/>
      <c r="AR73" s="24"/>
      <c r="AS73" s="24"/>
      <c r="AT73" s="24"/>
    </row>
    <row r="74" spans="1:46" s="4" customFormat="1" x14ac:dyDescent="0.25">
      <c r="A74" s="56" t="s">
        <v>144</v>
      </c>
      <c r="B74" s="57" t="s">
        <v>80</v>
      </c>
      <c r="D74" s="53"/>
      <c r="E74" s="53"/>
      <c r="F74" s="53"/>
      <c r="G74" s="54"/>
      <c r="H74" s="53"/>
      <c r="I74" s="53"/>
      <c r="J74" s="53"/>
      <c r="K74" s="53"/>
      <c r="L74" s="53"/>
      <c r="M74" s="53"/>
      <c r="N74" s="53"/>
      <c r="O74" s="53"/>
      <c r="P74" s="53"/>
      <c r="Q74" s="53"/>
      <c r="R74" s="53">
        <v>55</v>
      </c>
      <c r="S74" s="53"/>
      <c r="T74" s="53"/>
      <c r="U74" s="53"/>
      <c r="V74" s="53"/>
      <c r="W74" s="53">
        <v>15</v>
      </c>
      <c r="X74" s="53"/>
      <c r="Y74" s="53"/>
      <c r="Z74" s="53"/>
      <c r="AA74" s="53"/>
      <c r="AB74" s="53"/>
      <c r="AC74" s="53"/>
      <c r="AD74" s="53"/>
      <c r="AE74" s="53"/>
      <c r="AF74" s="53"/>
      <c r="AG74" s="53"/>
      <c r="AH74" s="53"/>
      <c r="AI74" s="53"/>
      <c r="AJ74" s="55"/>
      <c r="AK74" s="53"/>
      <c r="AL74" s="55"/>
      <c r="AM74" s="55"/>
      <c r="AT74" s="55">
        <f>SUM(C74:AS74)</f>
        <v>70</v>
      </c>
    </row>
    <row r="75" spans="1:46" s="23" customFormat="1" x14ac:dyDescent="0.25">
      <c r="A75" s="45" t="s">
        <v>117</v>
      </c>
      <c r="B75" s="50"/>
      <c r="D75" s="41"/>
      <c r="E75" s="41"/>
      <c r="F75" s="41"/>
      <c r="G75" s="42"/>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3"/>
      <c r="AK75" s="41"/>
      <c r="AL75" s="43"/>
      <c r="AM75" s="43"/>
      <c r="AT75" s="43"/>
    </row>
    <row r="76" spans="1:46" s="16" customFormat="1" x14ac:dyDescent="0.25">
      <c r="A76" s="16" t="s">
        <v>392</v>
      </c>
      <c r="B76" s="47"/>
      <c r="D76" s="41"/>
      <c r="E76" s="41"/>
      <c r="F76" s="41"/>
      <c r="G76" s="42"/>
      <c r="H76" s="41"/>
      <c r="I76" s="41"/>
      <c r="J76" s="41"/>
      <c r="K76" s="41"/>
      <c r="L76" s="41"/>
      <c r="M76" s="41"/>
      <c r="N76" s="41"/>
      <c r="O76" s="41"/>
      <c r="P76" s="41"/>
      <c r="Q76" s="41"/>
      <c r="R76" s="41">
        <v>1</v>
      </c>
      <c r="S76" s="41"/>
      <c r="T76" s="41"/>
      <c r="U76" s="41"/>
      <c r="V76" s="41"/>
      <c r="W76" s="41"/>
      <c r="X76" s="41"/>
      <c r="Y76" s="41"/>
      <c r="Z76" s="41"/>
      <c r="AA76" s="41"/>
      <c r="AB76" s="41"/>
      <c r="AC76" s="41"/>
      <c r="AD76" s="41"/>
      <c r="AE76" s="41"/>
      <c r="AF76" s="41"/>
      <c r="AG76" s="41"/>
      <c r="AH76" s="41"/>
      <c r="AI76" s="41"/>
      <c r="AJ76" s="43"/>
      <c r="AK76" s="41"/>
      <c r="AL76" s="43"/>
      <c r="AM76" s="43"/>
      <c r="AT76" s="43">
        <f>SUM(C76:AS76)</f>
        <v>1</v>
      </c>
    </row>
    <row r="77" spans="1:46" s="3" customFormat="1" x14ac:dyDescent="0.25">
      <c r="A77" s="35" t="s">
        <v>145</v>
      </c>
      <c r="B77" s="49"/>
      <c r="C77" s="24"/>
      <c r="G77" s="19"/>
      <c r="AJ77" s="24"/>
      <c r="AN77" s="24"/>
      <c r="AO77" s="24"/>
      <c r="AP77" s="24"/>
      <c r="AQ77" s="24"/>
      <c r="AR77" s="24"/>
      <c r="AS77" s="24"/>
      <c r="AT77" s="24"/>
    </row>
    <row r="78" spans="1:46" s="4" customFormat="1" x14ac:dyDescent="0.25">
      <c r="A78" s="56" t="s">
        <v>204</v>
      </c>
      <c r="B78" s="57" t="s">
        <v>80</v>
      </c>
      <c r="D78" s="53"/>
      <c r="E78" s="53"/>
      <c r="F78" s="53"/>
      <c r="G78" s="54"/>
      <c r="H78" s="53"/>
      <c r="I78" s="53"/>
      <c r="J78" s="53"/>
      <c r="K78" s="53"/>
      <c r="L78" s="53"/>
      <c r="M78" s="53"/>
      <c r="N78" s="53"/>
      <c r="O78" s="53"/>
      <c r="P78" s="53"/>
      <c r="Q78" s="53"/>
      <c r="R78" s="53"/>
      <c r="S78" s="53"/>
      <c r="T78" s="53"/>
      <c r="U78" s="53"/>
      <c r="V78" s="53"/>
      <c r="W78" s="53"/>
      <c r="X78" s="53">
        <v>16</v>
      </c>
      <c r="Y78" s="53"/>
      <c r="Z78" s="53"/>
      <c r="AA78" s="53"/>
      <c r="AB78" s="53"/>
      <c r="AC78" s="53"/>
      <c r="AD78" s="53"/>
      <c r="AE78" s="53"/>
      <c r="AF78" s="53"/>
      <c r="AG78" s="53"/>
      <c r="AH78" s="53"/>
      <c r="AI78" s="53"/>
      <c r="AJ78" s="55"/>
      <c r="AK78" s="53"/>
      <c r="AL78" s="55"/>
      <c r="AM78" s="55"/>
      <c r="AT78" s="55">
        <f>SUM(C78:AS78)</f>
        <v>16</v>
      </c>
    </row>
    <row r="79" spans="1:46" s="23" customFormat="1" x14ac:dyDescent="0.25">
      <c r="A79" s="45" t="s">
        <v>117</v>
      </c>
      <c r="B79" s="50"/>
      <c r="D79" s="41"/>
      <c r="E79" s="41"/>
      <c r="F79" s="41"/>
      <c r="G79" s="42"/>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3"/>
      <c r="AK79" s="41"/>
      <c r="AL79" s="43"/>
      <c r="AM79" s="43"/>
      <c r="AT79" s="43"/>
    </row>
    <row r="80" spans="1:46" s="16" customFormat="1" x14ac:dyDescent="0.25">
      <c r="B80" s="47"/>
      <c r="D80" s="41"/>
      <c r="E80" s="41"/>
      <c r="F80" s="41"/>
      <c r="G80" s="42"/>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3"/>
      <c r="AK80" s="41"/>
      <c r="AL80" s="43"/>
      <c r="AM80" s="43"/>
      <c r="AT80" s="43">
        <f>SUM(C80:AS80)</f>
        <v>0</v>
      </c>
    </row>
    <row r="81" spans="1:46" s="3" customFormat="1" x14ac:dyDescent="0.25">
      <c r="A81" s="35" t="s">
        <v>146</v>
      </c>
      <c r="B81" s="49"/>
      <c r="C81" s="24"/>
      <c r="G81" s="19"/>
      <c r="AJ81" s="24"/>
      <c r="AN81" s="24"/>
      <c r="AO81" s="24"/>
      <c r="AP81" s="24"/>
      <c r="AQ81" s="24"/>
      <c r="AR81" s="24"/>
      <c r="AS81" s="24"/>
      <c r="AT81" s="24"/>
    </row>
    <row r="82" spans="1:46" s="4" customFormat="1" x14ac:dyDescent="0.25">
      <c r="A82" s="56" t="s">
        <v>205</v>
      </c>
      <c r="B82" s="57" t="s">
        <v>80</v>
      </c>
      <c r="D82" s="53"/>
      <c r="E82" s="53"/>
      <c r="F82" s="53"/>
      <c r="G82" s="54"/>
      <c r="H82" s="53"/>
      <c r="I82" s="53"/>
      <c r="J82" s="53"/>
      <c r="K82" s="53"/>
      <c r="L82" s="53"/>
      <c r="M82" s="53"/>
      <c r="N82" s="53"/>
      <c r="O82" s="53"/>
      <c r="P82" s="53"/>
      <c r="Q82" s="53"/>
      <c r="R82" s="53"/>
      <c r="S82" s="53"/>
      <c r="T82" s="53"/>
      <c r="U82" s="53"/>
      <c r="V82" s="53"/>
      <c r="W82" s="53"/>
      <c r="X82" s="53">
        <v>13</v>
      </c>
      <c r="Y82" s="53"/>
      <c r="Z82" s="53"/>
      <c r="AA82" s="53"/>
      <c r="AB82" s="53"/>
      <c r="AC82" s="53"/>
      <c r="AD82" s="53"/>
      <c r="AE82" s="53"/>
      <c r="AF82" s="53"/>
      <c r="AG82" s="53"/>
      <c r="AH82" s="53"/>
      <c r="AI82" s="53"/>
      <c r="AJ82" s="55"/>
      <c r="AK82" s="53"/>
      <c r="AL82" s="55"/>
      <c r="AM82" s="55"/>
      <c r="AT82" s="55">
        <f>SUM(C82:AS82)</f>
        <v>13</v>
      </c>
    </row>
    <row r="83" spans="1:46" s="23" customFormat="1" x14ac:dyDescent="0.25">
      <c r="A83" s="45" t="s">
        <v>117</v>
      </c>
      <c r="B83" s="50"/>
      <c r="D83" s="41"/>
      <c r="E83" s="41"/>
      <c r="F83" s="41"/>
      <c r="G83" s="42"/>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3"/>
      <c r="AK83" s="41"/>
      <c r="AL83" s="43"/>
      <c r="AM83" s="43"/>
      <c r="AT83" s="43"/>
    </row>
    <row r="84" spans="1:46" s="16" customFormat="1" x14ac:dyDescent="0.25">
      <c r="B84" s="47"/>
      <c r="D84" s="41"/>
      <c r="E84" s="41"/>
      <c r="F84" s="41"/>
      <c r="G84" s="42"/>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3"/>
      <c r="AK84" s="41"/>
      <c r="AL84" s="43"/>
      <c r="AM84" s="43"/>
      <c r="AT84" s="43">
        <f>SUM(C84:AS84)</f>
        <v>0</v>
      </c>
    </row>
    <row r="85" spans="1:46" s="3" customFormat="1" x14ac:dyDescent="0.25">
      <c r="A85" s="35" t="s">
        <v>147</v>
      </c>
      <c r="B85" s="49"/>
      <c r="C85" s="24"/>
      <c r="G85" s="19"/>
      <c r="AJ85" s="24"/>
      <c r="AN85" s="24"/>
      <c r="AO85" s="24"/>
      <c r="AP85" s="24"/>
      <c r="AQ85" s="24"/>
      <c r="AR85" s="24"/>
      <c r="AS85" s="24"/>
      <c r="AT85" s="24"/>
    </row>
    <row r="86" spans="1:46" s="4" customFormat="1" x14ac:dyDescent="0.25">
      <c r="A86" s="56" t="s">
        <v>206</v>
      </c>
      <c r="B86" s="57" t="s">
        <v>80</v>
      </c>
      <c r="D86" s="53"/>
      <c r="E86" s="53"/>
      <c r="F86" s="53"/>
      <c r="G86" s="54"/>
      <c r="H86" s="53"/>
      <c r="I86" s="53"/>
      <c r="J86" s="53"/>
      <c r="K86" s="53"/>
      <c r="L86" s="53"/>
      <c r="M86" s="53"/>
      <c r="N86" s="53"/>
      <c r="O86" s="53"/>
      <c r="P86" s="53"/>
      <c r="Q86" s="53"/>
      <c r="R86" s="53"/>
      <c r="S86" s="53"/>
      <c r="T86" s="53"/>
      <c r="U86" s="53"/>
      <c r="V86" s="53"/>
      <c r="W86" s="53"/>
      <c r="X86" s="53"/>
      <c r="Y86" s="53">
        <f>SUM(1+34)</f>
        <v>35</v>
      </c>
      <c r="Z86" s="53">
        <v>8</v>
      </c>
      <c r="AA86" s="53">
        <v>0</v>
      </c>
      <c r="AB86" s="53">
        <v>3</v>
      </c>
      <c r="AC86" s="53">
        <v>1</v>
      </c>
      <c r="AD86" s="53">
        <v>7</v>
      </c>
      <c r="AE86" s="53"/>
      <c r="AF86" s="53"/>
      <c r="AG86" s="53"/>
      <c r="AH86" s="53"/>
      <c r="AI86" s="53"/>
      <c r="AJ86" s="55"/>
      <c r="AK86" s="53"/>
      <c r="AL86" s="55"/>
      <c r="AM86" s="55"/>
      <c r="AT86" s="55">
        <f>SUM(C86:AS86)</f>
        <v>54</v>
      </c>
    </row>
    <row r="87" spans="1:46" s="23" customFormat="1" x14ac:dyDescent="0.25">
      <c r="A87" s="45" t="s">
        <v>117</v>
      </c>
      <c r="B87" s="50"/>
      <c r="D87" s="41"/>
      <c r="E87" s="41"/>
      <c r="F87" s="41"/>
      <c r="G87" s="42"/>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3"/>
      <c r="AK87" s="41"/>
      <c r="AL87" s="43"/>
      <c r="AM87" s="43"/>
      <c r="AT87" s="43"/>
    </row>
    <row r="88" spans="1:46" s="16" customFormat="1" x14ac:dyDescent="0.25">
      <c r="B88" s="47"/>
      <c r="D88" s="41"/>
      <c r="E88" s="41"/>
      <c r="F88" s="41"/>
      <c r="G88" s="42"/>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3"/>
      <c r="AK88" s="41"/>
      <c r="AL88" s="43"/>
      <c r="AM88" s="43"/>
      <c r="AT88" s="43">
        <f>SUM(C88:AS88)</f>
        <v>0</v>
      </c>
    </row>
    <row r="89" spans="1:46" s="3" customFormat="1" x14ac:dyDescent="0.25">
      <c r="A89" s="35" t="s">
        <v>148</v>
      </c>
      <c r="B89" s="49"/>
      <c r="C89" s="24"/>
      <c r="G89" s="19"/>
      <c r="AJ89" s="24"/>
      <c r="AN89" s="24"/>
      <c r="AO89" s="24"/>
      <c r="AP89" s="24"/>
      <c r="AQ89" s="24"/>
      <c r="AR89" s="24"/>
      <c r="AS89" s="24"/>
      <c r="AT89" s="24"/>
    </row>
    <row r="90" spans="1:46" s="23" customFormat="1" x14ac:dyDescent="0.25">
      <c r="A90" s="37" t="s">
        <v>149</v>
      </c>
      <c r="B90" s="50" t="s">
        <v>80</v>
      </c>
      <c r="D90" s="41"/>
      <c r="E90" s="41"/>
      <c r="F90" s="41"/>
      <c r="G90" s="42"/>
      <c r="H90" s="41"/>
      <c r="I90" s="41"/>
      <c r="J90" s="41"/>
      <c r="K90" s="41"/>
      <c r="L90" s="41"/>
      <c r="M90" s="41"/>
      <c r="N90" s="41"/>
      <c r="O90" s="41"/>
      <c r="P90" s="41"/>
      <c r="Q90" s="41"/>
      <c r="R90" s="41"/>
      <c r="S90" s="41"/>
      <c r="T90" s="41"/>
      <c r="U90" s="41"/>
      <c r="V90" s="41"/>
      <c r="W90" s="41"/>
      <c r="X90" s="41"/>
      <c r="Y90" s="41">
        <f>SUM(1+36)</f>
        <v>37</v>
      </c>
      <c r="Z90" s="41">
        <v>11</v>
      </c>
      <c r="AA90" s="41">
        <v>0</v>
      </c>
      <c r="AB90" s="41">
        <v>3</v>
      </c>
      <c r="AC90" s="41">
        <v>1</v>
      </c>
      <c r="AD90" s="41">
        <v>7</v>
      </c>
      <c r="AE90" s="41"/>
      <c r="AF90" s="41"/>
      <c r="AG90" s="41"/>
      <c r="AH90" s="41"/>
      <c r="AI90" s="41"/>
      <c r="AJ90" s="43"/>
      <c r="AK90" s="41"/>
      <c r="AL90" s="43"/>
      <c r="AM90" s="43"/>
      <c r="AT90" s="43">
        <f>SUM(C90:AS90)</f>
        <v>59</v>
      </c>
    </row>
    <row r="91" spans="1:46" s="23" customFormat="1" x14ac:dyDescent="0.25">
      <c r="A91" s="45" t="s">
        <v>117</v>
      </c>
      <c r="B91" s="50"/>
      <c r="D91" s="41"/>
      <c r="E91" s="41"/>
      <c r="F91" s="41"/>
      <c r="G91" s="42"/>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3"/>
      <c r="AK91" s="41"/>
      <c r="AL91" s="43"/>
      <c r="AM91" s="43"/>
      <c r="AT91" s="43"/>
    </row>
    <row r="92" spans="1:46" s="16" customFormat="1" x14ac:dyDescent="0.25">
      <c r="B92" s="47"/>
      <c r="D92" s="41"/>
      <c r="E92" s="41"/>
      <c r="F92" s="41"/>
      <c r="G92" s="42"/>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3"/>
      <c r="AK92" s="41"/>
      <c r="AL92" s="43"/>
      <c r="AM92" s="43"/>
      <c r="AT92" s="43">
        <f>SUM(C92:AS92)</f>
        <v>0</v>
      </c>
    </row>
    <row r="93" spans="1:46" s="3" customFormat="1" x14ac:dyDescent="0.25">
      <c r="A93" s="35" t="s">
        <v>151</v>
      </c>
      <c r="B93" s="49"/>
      <c r="C93" s="24"/>
      <c r="G93" s="19"/>
      <c r="AJ93" s="24"/>
      <c r="AN93" s="24"/>
      <c r="AO93" s="24"/>
      <c r="AP93" s="24"/>
      <c r="AQ93" s="24"/>
      <c r="AR93" s="24"/>
      <c r="AS93" s="24"/>
      <c r="AT93" s="24"/>
    </row>
    <row r="94" spans="1:46" s="23" customFormat="1" x14ac:dyDescent="0.25">
      <c r="A94" s="45" t="s">
        <v>117</v>
      </c>
      <c r="B94" s="50"/>
      <c r="D94" s="41"/>
      <c r="E94" s="41"/>
      <c r="F94" s="41"/>
      <c r="G94" s="42"/>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3"/>
      <c r="AK94" s="41"/>
      <c r="AL94" s="43"/>
      <c r="AM94" s="43"/>
      <c r="AT94" s="43"/>
    </row>
    <row r="95" spans="1:46" s="4" customFormat="1" x14ac:dyDescent="0.25">
      <c r="A95" s="56" t="s">
        <v>365</v>
      </c>
      <c r="B95" s="57" t="s">
        <v>80</v>
      </c>
      <c r="D95" s="53"/>
      <c r="E95" s="53"/>
      <c r="F95" s="53"/>
      <c r="G95" s="54"/>
      <c r="H95" s="53"/>
      <c r="I95" s="53"/>
      <c r="J95" s="53"/>
      <c r="K95" s="53"/>
      <c r="L95" s="53"/>
      <c r="M95" s="53"/>
      <c r="N95" s="53"/>
      <c r="O95" s="53"/>
      <c r="P95" s="53"/>
      <c r="Q95" s="53"/>
      <c r="R95" s="53"/>
      <c r="S95" s="53"/>
      <c r="T95" s="53"/>
      <c r="U95" s="53"/>
      <c r="V95" s="53"/>
      <c r="W95" s="53"/>
      <c r="X95" s="53"/>
      <c r="Y95" s="53"/>
      <c r="Z95" s="53"/>
      <c r="AA95" s="53"/>
      <c r="AB95" s="53"/>
      <c r="AC95" s="53"/>
      <c r="AD95" s="53"/>
      <c r="AE95" s="53">
        <v>10</v>
      </c>
      <c r="AF95" s="53"/>
      <c r="AG95" s="53"/>
      <c r="AH95" s="53"/>
      <c r="AI95" s="53"/>
      <c r="AJ95" s="55"/>
      <c r="AK95" s="53"/>
      <c r="AL95" s="55"/>
      <c r="AM95" s="55"/>
      <c r="AT95" s="55">
        <f>SUM(C95:AS95)</f>
        <v>10</v>
      </c>
    </row>
    <row r="96" spans="1:46" s="16" customFormat="1" x14ac:dyDescent="0.25">
      <c r="A96" s="16" t="s">
        <v>366</v>
      </c>
      <c r="B96" s="47" t="s">
        <v>80</v>
      </c>
      <c r="D96" s="41"/>
      <c r="E96" s="41"/>
      <c r="F96" s="41"/>
      <c r="G96" s="42"/>
      <c r="H96" s="41"/>
      <c r="I96" s="41"/>
      <c r="J96" s="41"/>
      <c r="K96" s="41"/>
      <c r="L96" s="41"/>
      <c r="M96" s="41"/>
      <c r="N96" s="41"/>
      <c r="O96" s="41"/>
      <c r="P96" s="41"/>
      <c r="Q96" s="41"/>
      <c r="R96" s="41"/>
      <c r="S96" s="41"/>
      <c r="T96" s="41"/>
      <c r="U96" s="41"/>
      <c r="V96" s="41"/>
      <c r="W96" s="41"/>
      <c r="X96" s="41"/>
      <c r="Y96" s="41"/>
      <c r="Z96" s="41"/>
      <c r="AA96" s="41"/>
      <c r="AB96" s="41"/>
      <c r="AC96" s="41"/>
      <c r="AD96" s="41"/>
      <c r="AE96" s="41">
        <v>1</v>
      </c>
      <c r="AF96" s="41"/>
      <c r="AG96" s="41"/>
      <c r="AH96" s="41"/>
      <c r="AI96" s="41"/>
      <c r="AJ96" s="43"/>
      <c r="AK96" s="41"/>
      <c r="AL96" s="43"/>
      <c r="AM96" s="43"/>
      <c r="AT96" s="43">
        <f>SUM(C96:AS96)</f>
        <v>1</v>
      </c>
    </row>
    <row r="97" spans="1:46" s="3" customFormat="1" x14ac:dyDescent="0.25">
      <c r="A97" s="35" t="s">
        <v>150</v>
      </c>
      <c r="B97" s="49"/>
      <c r="C97" s="24"/>
      <c r="G97" s="19"/>
      <c r="AJ97" s="24"/>
      <c r="AN97" s="24"/>
      <c r="AO97" s="24"/>
      <c r="AP97" s="24"/>
      <c r="AQ97" s="24"/>
      <c r="AR97" s="24"/>
      <c r="AS97" s="24"/>
      <c r="AT97" s="24"/>
    </row>
    <row r="98" spans="1:46" s="23" customFormat="1" x14ac:dyDescent="0.25">
      <c r="A98" s="45" t="s">
        <v>117</v>
      </c>
      <c r="B98" s="50"/>
      <c r="D98" s="41"/>
      <c r="E98" s="41"/>
      <c r="F98" s="41"/>
      <c r="G98" s="42"/>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3"/>
      <c r="AK98" s="41"/>
      <c r="AL98" s="43"/>
      <c r="AM98" s="43"/>
      <c r="AT98" s="43"/>
    </row>
    <row r="99" spans="1:46" s="4" customFormat="1" x14ac:dyDescent="0.25">
      <c r="A99" s="56" t="s">
        <v>367</v>
      </c>
      <c r="B99" s="57" t="s">
        <v>80</v>
      </c>
      <c r="D99" s="53"/>
      <c r="E99" s="53"/>
      <c r="F99" s="53"/>
      <c r="G99" s="54"/>
      <c r="H99" s="53"/>
      <c r="I99" s="53"/>
      <c r="J99" s="53"/>
      <c r="K99" s="53"/>
      <c r="L99" s="53"/>
      <c r="M99" s="53"/>
      <c r="N99" s="53"/>
      <c r="O99" s="53"/>
      <c r="P99" s="53"/>
      <c r="Q99" s="53"/>
      <c r="R99" s="53"/>
      <c r="S99" s="53"/>
      <c r="T99" s="53"/>
      <c r="U99" s="53"/>
      <c r="V99" s="53"/>
      <c r="W99" s="53"/>
      <c r="X99" s="53"/>
      <c r="Y99" s="53"/>
      <c r="Z99" s="53"/>
      <c r="AA99" s="53"/>
      <c r="AB99" s="53"/>
      <c r="AC99" s="53"/>
      <c r="AD99" s="53"/>
      <c r="AE99" s="53">
        <v>11</v>
      </c>
      <c r="AF99" s="53"/>
      <c r="AG99" s="53"/>
      <c r="AH99" s="53"/>
      <c r="AI99" s="53"/>
      <c r="AJ99" s="55"/>
      <c r="AK99" s="53"/>
      <c r="AL99" s="55"/>
      <c r="AM99" s="55"/>
      <c r="AT99" s="55">
        <f>SUM(C99:AS99)</f>
        <v>11</v>
      </c>
    </row>
    <row r="100" spans="1:46" s="16" customFormat="1" x14ac:dyDescent="0.25">
      <c r="B100" s="47"/>
      <c r="D100" s="41"/>
      <c r="E100" s="41"/>
      <c r="F100" s="41"/>
      <c r="G100" s="42"/>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3"/>
      <c r="AK100" s="41"/>
      <c r="AL100" s="43"/>
      <c r="AM100" s="43"/>
      <c r="AT100" s="43">
        <f>SUM(C100:AS100)</f>
        <v>0</v>
      </c>
    </row>
    <row r="101" spans="1:46" s="3" customFormat="1" x14ac:dyDescent="0.25">
      <c r="A101" s="35" t="s">
        <v>152</v>
      </c>
      <c r="B101" s="49"/>
      <c r="C101" s="24"/>
      <c r="G101" s="19"/>
      <c r="AJ101" s="24"/>
      <c r="AN101" s="24"/>
      <c r="AO101" s="24"/>
      <c r="AP101" s="24"/>
      <c r="AQ101" s="24"/>
      <c r="AR101" s="24"/>
      <c r="AS101" s="24"/>
      <c r="AT101" s="24"/>
    </row>
    <row r="102" spans="1:46" s="4" customFormat="1" x14ac:dyDescent="0.25">
      <c r="A102" s="56" t="s">
        <v>175</v>
      </c>
      <c r="B102" s="57" t="s">
        <v>80</v>
      </c>
      <c r="D102" s="53"/>
      <c r="E102" s="53"/>
      <c r="F102" s="53"/>
      <c r="G102" s="54"/>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v>19</v>
      </c>
      <c r="AH102" s="53"/>
      <c r="AI102" s="53"/>
      <c r="AJ102" s="55"/>
      <c r="AK102" s="53"/>
      <c r="AL102" s="55"/>
      <c r="AM102" s="55"/>
      <c r="AT102" s="55">
        <f>SUM(C102:AS102)</f>
        <v>19</v>
      </c>
    </row>
    <row r="103" spans="1:46" s="23" customFormat="1" x14ac:dyDescent="0.25">
      <c r="A103" s="45" t="s">
        <v>117</v>
      </c>
      <c r="B103" s="50"/>
      <c r="D103" s="41"/>
      <c r="E103" s="41"/>
      <c r="F103" s="41"/>
      <c r="G103" s="42"/>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3"/>
      <c r="AK103" s="41"/>
      <c r="AL103" s="43"/>
      <c r="AM103" s="43"/>
      <c r="AT103" s="43"/>
    </row>
    <row r="104" spans="1:46" s="16" customFormat="1" x14ac:dyDescent="0.25">
      <c r="B104" s="47"/>
      <c r="D104" s="41"/>
      <c r="E104" s="41"/>
      <c r="F104" s="41"/>
      <c r="G104" s="42"/>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3"/>
      <c r="AK104" s="41"/>
      <c r="AL104" s="43"/>
      <c r="AM104" s="43"/>
      <c r="AT104" s="43">
        <f>SUM(C104:AS104)</f>
        <v>0</v>
      </c>
    </row>
    <row r="105" spans="1:46" s="3" customFormat="1" x14ac:dyDescent="0.25">
      <c r="A105" s="35" t="s">
        <v>153</v>
      </c>
      <c r="B105" s="49"/>
      <c r="C105" s="24"/>
      <c r="G105" s="19"/>
      <c r="AJ105" s="24"/>
      <c r="AN105" s="24"/>
      <c r="AO105" s="24"/>
      <c r="AP105" s="24"/>
      <c r="AQ105" s="24"/>
      <c r="AR105" s="24"/>
      <c r="AS105" s="24"/>
      <c r="AT105" s="24"/>
    </row>
    <row r="106" spans="1:46" s="4" customFormat="1" x14ac:dyDescent="0.25">
      <c r="A106" s="56" t="s">
        <v>207</v>
      </c>
      <c r="B106" s="57" t="s">
        <v>80</v>
      </c>
      <c r="D106" s="53"/>
      <c r="E106" s="53"/>
      <c r="F106" s="53"/>
      <c r="G106" s="54"/>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v>18</v>
      </c>
      <c r="AH106" s="53"/>
      <c r="AI106" s="53"/>
      <c r="AJ106" s="55"/>
      <c r="AK106" s="53"/>
      <c r="AL106" s="55"/>
      <c r="AM106" s="55"/>
      <c r="AT106" s="55">
        <f>SUM(C106:AS106)</f>
        <v>18</v>
      </c>
    </row>
    <row r="107" spans="1:46" s="23" customFormat="1" x14ac:dyDescent="0.25">
      <c r="A107" s="45" t="s">
        <v>117</v>
      </c>
      <c r="B107" s="50"/>
      <c r="D107" s="41"/>
      <c r="E107" s="41"/>
      <c r="F107" s="41"/>
      <c r="G107" s="42"/>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3"/>
      <c r="AK107" s="41"/>
      <c r="AL107" s="43"/>
      <c r="AM107" s="43"/>
      <c r="AT107" s="43"/>
    </row>
    <row r="108" spans="1:46" s="16" customFormat="1" x14ac:dyDescent="0.25">
      <c r="B108" s="47"/>
      <c r="D108" s="41"/>
      <c r="E108" s="41"/>
      <c r="F108" s="41"/>
      <c r="G108" s="42"/>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3"/>
      <c r="AK108" s="41"/>
      <c r="AL108" s="43"/>
      <c r="AM108" s="43"/>
      <c r="AT108" s="43">
        <f>SUM(C108:AS108)</f>
        <v>0</v>
      </c>
    </row>
    <row r="109" spans="1:46" s="3" customFormat="1" x14ac:dyDescent="0.25">
      <c r="A109" s="35" t="s">
        <v>154</v>
      </c>
      <c r="B109" s="49"/>
      <c r="C109" s="24"/>
      <c r="G109" s="19"/>
      <c r="AJ109" s="24"/>
      <c r="AN109" s="24"/>
      <c r="AO109" s="24"/>
      <c r="AP109" s="24"/>
      <c r="AQ109" s="24"/>
      <c r="AR109" s="24"/>
      <c r="AS109" s="24"/>
      <c r="AT109" s="24"/>
    </row>
    <row r="110" spans="1:46" s="23" customFormat="1" x14ac:dyDescent="0.25">
      <c r="A110" s="37" t="s">
        <v>156</v>
      </c>
      <c r="B110" s="50" t="s">
        <v>80</v>
      </c>
      <c r="D110" s="41"/>
      <c r="E110" s="41"/>
      <c r="F110" s="41"/>
      <c r="G110" s="42"/>
      <c r="H110" s="41"/>
      <c r="I110" s="41"/>
      <c r="J110" s="41"/>
      <c r="K110" s="41"/>
      <c r="L110" s="41"/>
      <c r="M110" s="41"/>
      <c r="N110" s="41"/>
      <c r="O110" s="41"/>
      <c r="P110" s="41"/>
      <c r="Q110" s="41"/>
      <c r="R110" s="41"/>
      <c r="S110" s="41">
        <v>21</v>
      </c>
      <c r="T110" s="41"/>
      <c r="U110" s="41"/>
      <c r="V110" s="41"/>
      <c r="W110" s="41"/>
      <c r="X110" s="41"/>
      <c r="Y110" s="41"/>
      <c r="Z110" s="41"/>
      <c r="AA110" s="41"/>
      <c r="AB110" s="41"/>
      <c r="AC110" s="41"/>
      <c r="AD110" s="41"/>
      <c r="AE110" s="41"/>
      <c r="AF110" s="41"/>
      <c r="AG110" s="41"/>
      <c r="AH110" s="41">
        <v>16</v>
      </c>
      <c r="AI110" s="41"/>
      <c r="AJ110" s="43"/>
      <c r="AK110" s="41"/>
      <c r="AL110" s="43"/>
      <c r="AM110" s="43"/>
      <c r="AT110" s="43">
        <f>SUM(C110:AS110)</f>
        <v>37</v>
      </c>
    </row>
    <row r="111" spans="1:46" s="23" customFormat="1" x14ac:dyDescent="0.25">
      <c r="A111" s="45" t="s">
        <v>117</v>
      </c>
      <c r="B111" s="50"/>
      <c r="D111" s="41"/>
      <c r="E111" s="41"/>
      <c r="F111" s="41"/>
      <c r="G111" s="42"/>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3"/>
      <c r="AK111" s="41"/>
      <c r="AL111" s="43"/>
      <c r="AM111" s="43"/>
      <c r="AT111" s="43"/>
    </row>
    <row r="112" spans="1:46" s="16" customFormat="1" x14ac:dyDescent="0.25">
      <c r="B112" s="47"/>
      <c r="D112" s="41"/>
      <c r="E112" s="41"/>
      <c r="F112" s="41"/>
      <c r="G112" s="42"/>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3"/>
      <c r="AK112" s="41"/>
      <c r="AL112" s="43"/>
      <c r="AM112" s="43"/>
      <c r="AT112" s="43">
        <f>SUM(C112:AS112)</f>
        <v>0</v>
      </c>
    </row>
    <row r="113" spans="1:46" s="3" customFormat="1" x14ac:dyDescent="0.25">
      <c r="A113" s="35" t="s">
        <v>155</v>
      </c>
      <c r="B113" s="49"/>
      <c r="C113" s="24"/>
      <c r="G113" s="19"/>
      <c r="AJ113" s="24"/>
      <c r="AN113" s="24"/>
      <c r="AO113" s="24"/>
      <c r="AP113" s="24"/>
      <c r="AQ113" s="24"/>
      <c r="AR113" s="24"/>
      <c r="AS113" s="24"/>
      <c r="AT113" s="24"/>
    </row>
    <row r="114" spans="1:46" s="23" customFormat="1" x14ac:dyDescent="0.25">
      <c r="A114" s="37" t="s">
        <v>208</v>
      </c>
      <c r="B114" s="50" t="s">
        <v>80</v>
      </c>
      <c r="D114" s="41"/>
      <c r="E114" s="41"/>
      <c r="F114" s="41"/>
      <c r="G114" s="42"/>
      <c r="H114" s="41"/>
      <c r="I114" s="41"/>
      <c r="J114" s="41"/>
      <c r="K114" s="41"/>
      <c r="L114" s="41"/>
      <c r="M114" s="41"/>
      <c r="N114" s="41"/>
      <c r="O114" s="41"/>
      <c r="P114" s="41"/>
      <c r="Q114" s="41"/>
      <c r="R114" s="41"/>
      <c r="S114" s="41">
        <v>21</v>
      </c>
      <c r="T114" s="41"/>
      <c r="U114" s="41"/>
      <c r="V114" s="41"/>
      <c r="W114" s="41"/>
      <c r="X114" s="41"/>
      <c r="Y114" s="41"/>
      <c r="Z114" s="41"/>
      <c r="AA114" s="41"/>
      <c r="AB114" s="41"/>
      <c r="AC114" s="41"/>
      <c r="AD114" s="41"/>
      <c r="AE114" s="41"/>
      <c r="AF114" s="41"/>
      <c r="AG114" s="41"/>
      <c r="AH114" s="41">
        <v>17</v>
      </c>
      <c r="AI114" s="41"/>
      <c r="AJ114" s="43"/>
      <c r="AK114" s="41"/>
      <c r="AL114" s="43"/>
      <c r="AM114" s="43"/>
      <c r="AT114" s="43">
        <f>SUM(C114:AS114)</f>
        <v>38</v>
      </c>
    </row>
    <row r="115" spans="1:46" s="23" customFormat="1" x14ac:dyDescent="0.25">
      <c r="A115" s="45" t="s">
        <v>117</v>
      </c>
      <c r="B115" s="50"/>
      <c r="D115" s="41"/>
      <c r="E115" s="41"/>
      <c r="F115" s="41"/>
      <c r="G115" s="42"/>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3"/>
      <c r="AK115" s="41"/>
      <c r="AL115" s="43"/>
      <c r="AM115" s="43"/>
      <c r="AT115" s="43"/>
    </row>
    <row r="116" spans="1:46" s="16" customFormat="1" x14ac:dyDescent="0.25">
      <c r="B116" s="47"/>
      <c r="D116" s="41"/>
      <c r="E116" s="41"/>
      <c r="F116" s="41"/>
      <c r="G116" s="42"/>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3"/>
      <c r="AK116" s="41"/>
      <c r="AL116" s="43"/>
      <c r="AM116" s="43"/>
      <c r="AT116" s="43">
        <f>SUM(C116:AS116)</f>
        <v>0</v>
      </c>
    </row>
    <row r="117" spans="1:46" s="3" customFormat="1" x14ac:dyDescent="0.25">
      <c r="A117" s="35" t="s">
        <v>157</v>
      </c>
      <c r="B117" s="49"/>
      <c r="C117" s="24"/>
      <c r="G117" s="19"/>
      <c r="AJ117" s="24"/>
      <c r="AN117" s="24"/>
      <c r="AO117" s="24"/>
      <c r="AP117" s="24"/>
      <c r="AQ117" s="24"/>
      <c r="AR117" s="24"/>
      <c r="AS117" s="24"/>
      <c r="AT117" s="24"/>
    </row>
    <row r="118" spans="1:46" s="4" customFormat="1" x14ac:dyDescent="0.25">
      <c r="A118" s="56" t="s">
        <v>209</v>
      </c>
      <c r="B118" s="57" t="s">
        <v>80</v>
      </c>
      <c r="D118" s="53"/>
      <c r="E118" s="53"/>
      <c r="F118" s="53"/>
      <c r="G118" s="54"/>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v>23</v>
      </c>
      <c r="AJ118" s="55">
        <v>0</v>
      </c>
      <c r="AK118" s="53">
        <v>0</v>
      </c>
      <c r="AL118" s="55">
        <v>0</v>
      </c>
      <c r="AM118" s="55">
        <v>5</v>
      </c>
      <c r="AT118" s="55">
        <f>SUM(C118:AS118)</f>
        <v>28</v>
      </c>
    </row>
    <row r="119" spans="1:46" s="23" customFormat="1" x14ac:dyDescent="0.25">
      <c r="A119" s="45" t="s">
        <v>117</v>
      </c>
      <c r="B119" s="50"/>
      <c r="D119" s="41"/>
      <c r="E119" s="41"/>
      <c r="F119" s="41"/>
      <c r="G119" s="42"/>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3"/>
      <c r="AK119" s="41"/>
      <c r="AL119" s="43"/>
      <c r="AM119" s="43"/>
      <c r="AT119" s="43"/>
    </row>
    <row r="120" spans="1:46" s="16" customFormat="1" x14ac:dyDescent="0.25">
      <c r="B120" s="47"/>
      <c r="D120" s="41"/>
      <c r="E120" s="41"/>
      <c r="F120" s="41"/>
      <c r="G120" s="42"/>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3"/>
      <c r="AK120" s="41"/>
      <c r="AL120" s="43"/>
      <c r="AM120" s="43"/>
      <c r="AT120" s="43">
        <f>SUM(C120:AS120)</f>
        <v>0</v>
      </c>
    </row>
    <row r="121" spans="1:46" s="3" customFormat="1" x14ac:dyDescent="0.25">
      <c r="A121" s="35" t="s">
        <v>158</v>
      </c>
      <c r="B121" s="49"/>
      <c r="C121" s="24"/>
      <c r="G121" s="19"/>
      <c r="AJ121" s="24"/>
      <c r="AN121" s="24"/>
      <c r="AO121" s="24"/>
      <c r="AP121" s="24"/>
      <c r="AQ121" s="24"/>
      <c r="AR121" s="24"/>
      <c r="AS121" s="24"/>
      <c r="AT121" s="24"/>
    </row>
    <row r="122" spans="1:46" s="4" customFormat="1" x14ac:dyDescent="0.25">
      <c r="A122" s="56" t="s">
        <v>210</v>
      </c>
      <c r="B122" s="57" t="s">
        <v>80</v>
      </c>
      <c r="D122" s="53"/>
      <c r="E122" s="53"/>
      <c r="F122" s="53"/>
      <c r="G122" s="54"/>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v>24</v>
      </c>
      <c r="AJ122" s="55">
        <v>0</v>
      </c>
      <c r="AK122" s="53">
        <v>0</v>
      </c>
      <c r="AL122" s="55">
        <v>0</v>
      </c>
      <c r="AM122" s="55">
        <v>4</v>
      </c>
      <c r="AT122" s="55">
        <f>SUM(C122:AS122)</f>
        <v>28</v>
      </c>
    </row>
    <row r="123" spans="1:46" s="23" customFormat="1" x14ac:dyDescent="0.25">
      <c r="A123" s="45" t="s">
        <v>117</v>
      </c>
      <c r="B123" s="50"/>
      <c r="D123" s="41"/>
      <c r="E123" s="41"/>
      <c r="F123" s="41"/>
      <c r="G123" s="42"/>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3"/>
      <c r="AK123" s="41"/>
      <c r="AL123" s="43"/>
      <c r="AM123" s="43"/>
      <c r="AT123" s="43"/>
    </row>
    <row r="124" spans="1:46" s="16" customFormat="1" x14ac:dyDescent="0.25">
      <c r="B124" s="47"/>
      <c r="D124" s="41"/>
      <c r="E124" s="41"/>
      <c r="F124" s="41"/>
      <c r="G124" s="42"/>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3"/>
      <c r="AK124" s="41"/>
      <c r="AL124" s="43"/>
      <c r="AM124" s="43"/>
      <c r="AT124" s="43">
        <f>SUM(C124:AS124)</f>
        <v>0</v>
      </c>
    </row>
    <row r="125" spans="1:46" s="3" customFormat="1" x14ac:dyDescent="0.25">
      <c r="A125" s="35" t="s">
        <v>159</v>
      </c>
      <c r="B125" s="49"/>
      <c r="C125" s="24"/>
      <c r="G125" s="19"/>
      <c r="AJ125" s="24"/>
      <c r="AN125" s="24"/>
      <c r="AO125" s="24"/>
      <c r="AP125" s="24"/>
      <c r="AQ125" s="24"/>
      <c r="AR125" s="24"/>
      <c r="AS125" s="24"/>
      <c r="AT125" s="24"/>
    </row>
    <row r="126" spans="1:46" s="4" customFormat="1" x14ac:dyDescent="0.25">
      <c r="A126" s="56" t="s">
        <v>212</v>
      </c>
      <c r="B126" s="57" t="s">
        <v>80</v>
      </c>
      <c r="D126" s="53"/>
      <c r="E126" s="53"/>
      <c r="F126" s="53"/>
      <c r="G126" s="54"/>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5"/>
      <c r="AK126" s="53"/>
      <c r="AL126" s="55"/>
      <c r="AM126" s="55"/>
      <c r="AN126" s="4">
        <v>32</v>
      </c>
      <c r="AT126" s="55">
        <f>SUM(C126:AS126)</f>
        <v>32</v>
      </c>
    </row>
    <row r="127" spans="1:46" s="23" customFormat="1" x14ac:dyDescent="0.25">
      <c r="A127" s="45" t="s">
        <v>117</v>
      </c>
      <c r="B127" s="50"/>
      <c r="D127" s="41"/>
      <c r="E127" s="41"/>
      <c r="F127" s="41"/>
      <c r="G127" s="42"/>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3"/>
      <c r="AK127" s="41"/>
      <c r="AL127" s="43"/>
      <c r="AM127" s="43"/>
      <c r="AT127" s="43"/>
    </row>
    <row r="128" spans="1:46" s="16" customFormat="1" x14ac:dyDescent="0.25">
      <c r="A128" s="16" t="s">
        <v>383</v>
      </c>
      <c r="B128" s="47" t="s">
        <v>79</v>
      </c>
      <c r="D128" s="41"/>
      <c r="E128" s="41"/>
      <c r="F128" s="41"/>
      <c r="G128" s="42"/>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3"/>
      <c r="AK128" s="41"/>
      <c r="AL128" s="43"/>
      <c r="AM128" s="43"/>
      <c r="AN128" s="16">
        <v>1</v>
      </c>
      <c r="AT128" s="43">
        <f>SUM(C128:AS128)</f>
        <v>1</v>
      </c>
    </row>
    <row r="129" spans="1:46" s="3" customFormat="1" x14ac:dyDescent="0.25">
      <c r="A129" s="35" t="s">
        <v>160</v>
      </c>
      <c r="B129" s="49"/>
      <c r="C129" s="24"/>
      <c r="G129" s="19"/>
      <c r="AJ129" s="24"/>
      <c r="AN129" s="24"/>
      <c r="AO129" s="24"/>
      <c r="AP129" s="24"/>
      <c r="AQ129" s="24"/>
      <c r="AR129" s="24"/>
      <c r="AS129" s="24"/>
      <c r="AT129" s="24"/>
    </row>
    <row r="130" spans="1:46" s="4" customFormat="1" x14ac:dyDescent="0.25">
      <c r="A130" s="56" t="s">
        <v>211</v>
      </c>
      <c r="B130" s="57" t="s">
        <v>80</v>
      </c>
      <c r="D130" s="53"/>
      <c r="E130" s="53"/>
      <c r="F130" s="53"/>
      <c r="G130" s="54"/>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5"/>
      <c r="AK130" s="53"/>
      <c r="AL130" s="55"/>
      <c r="AM130" s="55"/>
      <c r="AN130" s="4">
        <v>30</v>
      </c>
      <c r="AT130" s="55">
        <f>SUM(C130:AS130)</f>
        <v>30</v>
      </c>
    </row>
    <row r="131" spans="1:46" s="23" customFormat="1" x14ac:dyDescent="0.25">
      <c r="A131" s="45" t="s">
        <v>117</v>
      </c>
      <c r="B131" s="50"/>
      <c r="D131" s="41"/>
      <c r="E131" s="41"/>
      <c r="F131" s="41"/>
      <c r="G131" s="42"/>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3"/>
      <c r="AK131" s="41"/>
      <c r="AL131" s="43"/>
      <c r="AM131" s="43"/>
      <c r="AT131" s="43"/>
    </row>
    <row r="132" spans="1:46" s="16" customFormat="1" x14ac:dyDescent="0.25">
      <c r="B132" s="47"/>
      <c r="D132" s="41"/>
      <c r="E132" s="41"/>
      <c r="F132" s="41"/>
      <c r="G132" s="42"/>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3"/>
      <c r="AK132" s="41"/>
      <c r="AL132" s="43"/>
      <c r="AM132" s="43"/>
      <c r="AT132" s="43">
        <f>SUM(C132:AS132)</f>
        <v>0</v>
      </c>
    </row>
    <row r="133" spans="1:46" s="3" customFormat="1" x14ac:dyDescent="0.25">
      <c r="A133" s="35" t="s">
        <v>161</v>
      </c>
      <c r="B133" s="49"/>
      <c r="C133" s="24"/>
      <c r="G133" s="19"/>
      <c r="AJ133" s="24"/>
      <c r="AN133" s="24"/>
      <c r="AO133" s="24"/>
      <c r="AP133" s="24"/>
      <c r="AQ133" s="24"/>
      <c r="AR133" s="24"/>
      <c r="AS133" s="24"/>
      <c r="AT133" s="24"/>
    </row>
    <row r="134" spans="1:46" s="4" customFormat="1" x14ac:dyDescent="0.25">
      <c r="A134" s="56" t="s">
        <v>213</v>
      </c>
      <c r="B134" s="57" t="s">
        <v>80</v>
      </c>
      <c r="D134" s="53"/>
      <c r="E134" s="53"/>
      <c r="F134" s="53"/>
      <c r="G134" s="54"/>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5"/>
      <c r="AK134" s="53"/>
      <c r="AL134" s="55"/>
      <c r="AM134" s="55"/>
      <c r="AO134" s="4">
        <v>20</v>
      </c>
      <c r="AT134" s="55">
        <f>SUM(C134:AS134)</f>
        <v>20</v>
      </c>
    </row>
    <row r="135" spans="1:46" s="23" customFormat="1" x14ac:dyDescent="0.25">
      <c r="A135" s="45" t="s">
        <v>117</v>
      </c>
      <c r="B135" s="50"/>
      <c r="D135" s="41"/>
      <c r="E135" s="41"/>
      <c r="F135" s="41"/>
      <c r="G135" s="42"/>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3"/>
      <c r="AK135" s="41"/>
      <c r="AL135" s="43"/>
      <c r="AM135" s="43"/>
      <c r="AT135" s="43"/>
    </row>
    <row r="136" spans="1:46" s="16" customFormat="1" x14ac:dyDescent="0.25">
      <c r="B136" s="47"/>
      <c r="D136" s="41"/>
      <c r="E136" s="41"/>
      <c r="F136" s="41"/>
      <c r="G136" s="42"/>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3"/>
      <c r="AK136" s="41"/>
      <c r="AL136" s="43"/>
      <c r="AM136" s="43"/>
      <c r="AT136" s="43">
        <f>SUM(C136:AS136)</f>
        <v>0</v>
      </c>
    </row>
    <row r="137" spans="1:46" s="3" customFormat="1" x14ac:dyDescent="0.25">
      <c r="A137" s="35" t="s">
        <v>162</v>
      </c>
      <c r="B137" s="49"/>
      <c r="C137" s="24"/>
      <c r="G137" s="19"/>
      <c r="AJ137" s="24"/>
      <c r="AN137" s="24"/>
      <c r="AO137" s="24"/>
      <c r="AP137" s="24"/>
      <c r="AQ137" s="24"/>
      <c r="AR137" s="24"/>
      <c r="AS137" s="24"/>
      <c r="AT137" s="24"/>
    </row>
    <row r="138" spans="1:46" s="4" customFormat="1" x14ac:dyDescent="0.25">
      <c r="A138" s="56" t="s">
        <v>214</v>
      </c>
      <c r="B138" s="57" t="s">
        <v>80</v>
      </c>
      <c r="D138" s="53"/>
      <c r="E138" s="53"/>
      <c r="F138" s="53"/>
      <c r="G138" s="54"/>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5"/>
      <c r="AK138" s="53"/>
      <c r="AL138" s="55"/>
      <c r="AM138" s="55"/>
      <c r="AO138" s="4">
        <v>20</v>
      </c>
      <c r="AT138" s="55">
        <f>SUM(C138:AS138)</f>
        <v>20</v>
      </c>
    </row>
    <row r="139" spans="1:46" s="23" customFormat="1" x14ac:dyDescent="0.25">
      <c r="A139" s="45" t="s">
        <v>117</v>
      </c>
      <c r="B139" s="50"/>
      <c r="D139" s="41"/>
      <c r="E139" s="41"/>
      <c r="F139" s="41"/>
      <c r="G139" s="42"/>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3"/>
      <c r="AK139" s="41"/>
      <c r="AL139" s="43"/>
      <c r="AM139" s="43"/>
      <c r="AT139" s="43"/>
    </row>
    <row r="140" spans="1:46" s="16" customFormat="1" x14ac:dyDescent="0.25">
      <c r="B140" s="47"/>
      <c r="D140" s="41"/>
      <c r="E140" s="41"/>
      <c r="F140" s="41"/>
      <c r="G140" s="42"/>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3"/>
      <c r="AK140" s="41"/>
      <c r="AL140" s="43"/>
      <c r="AM140" s="43"/>
      <c r="AT140" s="43">
        <f>SUM(C140:AS140)</f>
        <v>0</v>
      </c>
    </row>
    <row r="141" spans="1:46" s="3" customFormat="1" x14ac:dyDescent="0.25">
      <c r="A141" s="35" t="s">
        <v>163</v>
      </c>
      <c r="B141" s="49"/>
      <c r="C141" s="24"/>
      <c r="G141" s="19"/>
      <c r="AJ141" s="24"/>
      <c r="AN141" s="24"/>
      <c r="AO141" s="24"/>
      <c r="AP141" s="24"/>
      <c r="AQ141" s="24"/>
      <c r="AR141" s="24"/>
      <c r="AS141" s="24"/>
      <c r="AT141" s="24"/>
    </row>
    <row r="142" spans="1:46" s="4" customFormat="1" x14ac:dyDescent="0.25">
      <c r="A142" s="56" t="s">
        <v>165</v>
      </c>
      <c r="B142" s="57" t="s">
        <v>80</v>
      </c>
      <c r="D142" s="53"/>
      <c r="E142" s="53"/>
      <c r="F142" s="53"/>
      <c r="G142" s="54"/>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5"/>
      <c r="AK142" s="53"/>
      <c r="AL142" s="55"/>
      <c r="AM142" s="55"/>
      <c r="AP142" s="4">
        <v>9</v>
      </c>
      <c r="AT142" s="55">
        <f>SUM(C142:AS142)</f>
        <v>9</v>
      </c>
    </row>
    <row r="143" spans="1:46" s="23" customFormat="1" x14ac:dyDescent="0.25">
      <c r="A143" s="45" t="s">
        <v>117</v>
      </c>
      <c r="B143" s="50"/>
      <c r="D143" s="41"/>
      <c r="E143" s="41"/>
      <c r="F143" s="41"/>
      <c r="G143" s="42"/>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3"/>
      <c r="AK143" s="41"/>
      <c r="AL143" s="43"/>
      <c r="AM143" s="43"/>
      <c r="AT143" s="43"/>
    </row>
    <row r="144" spans="1:46" s="16" customFormat="1" x14ac:dyDescent="0.25">
      <c r="B144" s="47"/>
      <c r="D144" s="41"/>
      <c r="E144" s="41"/>
      <c r="F144" s="41"/>
      <c r="G144" s="42"/>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3"/>
      <c r="AK144" s="41"/>
      <c r="AL144" s="43"/>
      <c r="AM144" s="43"/>
      <c r="AT144" s="43">
        <f>SUM(C144:AS144)</f>
        <v>0</v>
      </c>
    </row>
    <row r="145" spans="1:46" s="3" customFormat="1" x14ac:dyDescent="0.25">
      <c r="A145" s="35" t="s">
        <v>164</v>
      </c>
      <c r="B145" s="49"/>
      <c r="C145" s="24"/>
      <c r="G145" s="19"/>
      <c r="AJ145" s="24"/>
      <c r="AN145" s="24"/>
      <c r="AO145" s="24"/>
      <c r="AP145" s="24"/>
      <c r="AQ145" s="24"/>
      <c r="AR145" s="24"/>
      <c r="AS145" s="24"/>
      <c r="AT145" s="24"/>
    </row>
    <row r="146" spans="1:46" s="4" customFormat="1" x14ac:dyDescent="0.25">
      <c r="A146" s="56" t="s">
        <v>215</v>
      </c>
      <c r="B146" s="57" t="s">
        <v>80</v>
      </c>
      <c r="D146" s="53"/>
      <c r="E146" s="53"/>
      <c r="F146" s="53"/>
      <c r="G146" s="54"/>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5"/>
      <c r="AK146" s="53"/>
      <c r="AL146" s="55"/>
      <c r="AM146" s="55"/>
      <c r="AP146" s="4">
        <v>8</v>
      </c>
      <c r="AT146" s="55">
        <f>SUM(C146:AS146)</f>
        <v>8</v>
      </c>
    </row>
    <row r="147" spans="1:46" s="23" customFormat="1" x14ac:dyDescent="0.25">
      <c r="A147" s="45" t="s">
        <v>117</v>
      </c>
      <c r="B147" s="50"/>
      <c r="D147" s="41"/>
      <c r="E147" s="41"/>
      <c r="F147" s="41"/>
      <c r="G147" s="42"/>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3"/>
      <c r="AK147" s="41"/>
      <c r="AL147" s="43"/>
      <c r="AM147" s="43"/>
      <c r="AT147" s="43"/>
    </row>
    <row r="148" spans="1:46" s="16" customFormat="1" x14ac:dyDescent="0.25">
      <c r="B148" s="47"/>
      <c r="D148" s="41"/>
      <c r="E148" s="41"/>
      <c r="F148" s="41"/>
      <c r="G148" s="42"/>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3"/>
      <c r="AK148" s="41"/>
      <c r="AL148" s="43"/>
      <c r="AM148" s="43"/>
      <c r="AT148" s="43">
        <f>SUM(C148:AS148)</f>
        <v>0</v>
      </c>
    </row>
    <row r="149" spans="1:46" s="3" customFormat="1" x14ac:dyDescent="0.25">
      <c r="A149" s="35" t="s">
        <v>166</v>
      </c>
      <c r="B149" s="49"/>
      <c r="C149" s="24"/>
      <c r="G149" s="19"/>
      <c r="AJ149" s="24"/>
      <c r="AN149" s="24"/>
      <c r="AO149" s="24"/>
      <c r="AP149" s="24"/>
      <c r="AQ149" s="24"/>
      <c r="AR149" s="24"/>
      <c r="AS149" s="24"/>
      <c r="AT149" s="24"/>
    </row>
    <row r="150" spans="1:46" s="23" customFormat="1" x14ac:dyDescent="0.25">
      <c r="A150" s="23" t="s">
        <v>202</v>
      </c>
      <c r="B150" s="50"/>
      <c r="D150" s="41"/>
      <c r="E150" s="41"/>
      <c r="F150" s="41"/>
      <c r="G150" s="42"/>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3"/>
      <c r="AK150" s="41"/>
      <c r="AL150" s="43"/>
      <c r="AM150" s="43"/>
      <c r="AT150" s="43">
        <f>SUM(C150:AS150)</f>
        <v>0</v>
      </c>
    </row>
    <row r="151" spans="1:46" s="23" customFormat="1" x14ac:dyDescent="0.25">
      <c r="A151" s="45" t="s">
        <v>117</v>
      </c>
      <c r="B151" s="50"/>
      <c r="D151" s="41"/>
      <c r="E151" s="41"/>
      <c r="F151" s="41"/>
      <c r="G151" s="42"/>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3"/>
      <c r="AK151" s="41"/>
      <c r="AL151" s="43"/>
      <c r="AM151" s="43"/>
      <c r="AT151" s="43"/>
    </row>
    <row r="152" spans="1:46" s="16" customFormat="1" x14ac:dyDescent="0.25">
      <c r="A152" s="16" t="s">
        <v>346</v>
      </c>
      <c r="B152" s="47" t="s">
        <v>80</v>
      </c>
      <c r="D152" s="41"/>
      <c r="E152" s="41"/>
      <c r="F152" s="41"/>
      <c r="G152" s="42"/>
      <c r="H152" s="41"/>
      <c r="I152" s="41"/>
      <c r="J152" s="41"/>
      <c r="K152" s="41"/>
      <c r="L152" s="41"/>
      <c r="M152" s="41"/>
      <c r="N152" s="41"/>
      <c r="O152" s="41"/>
      <c r="P152" s="41"/>
      <c r="Q152" s="41"/>
      <c r="R152" s="41"/>
      <c r="S152" s="41">
        <v>1</v>
      </c>
      <c r="T152" s="41"/>
      <c r="U152" s="41"/>
      <c r="V152" s="41"/>
      <c r="W152" s="41"/>
      <c r="X152" s="41"/>
      <c r="Y152" s="41"/>
      <c r="Z152" s="41"/>
      <c r="AA152" s="41"/>
      <c r="AB152" s="41"/>
      <c r="AC152" s="41"/>
      <c r="AD152" s="41"/>
      <c r="AE152" s="41"/>
      <c r="AF152" s="41"/>
      <c r="AG152" s="41"/>
      <c r="AH152" s="41"/>
      <c r="AI152" s="41"/>
      <c r="AJ152" s="43"/>
      <c r="AK152" s="41"/>
      <c r="AL152" s="43"/>
      <c r="AM152" s="43"/>
      <c r="AT152" s="43">
        <f t="shared" ref="AT152:AT158" si="0">SUM(C152:AS152)</f>
        <v>1</v>
      </c>
    </row>
    <row r="153" spans="1:46" s="16" customFormat="1" x14ac:dyDescent="0.25">
      <c r="A153" s="16" t="s">
        <v>347</v>
      </c>
      <c r="B153" s="47" t="s">
        <v>80</v>
      </c>
      <c r="D153" s="41"/>
      <c r="E153" s="41"/>
      <c r="F153" s="41"/>
      <c r="G153" s="42"/>
      <c r="H153" s="41"/>
      <c r="I153" s="41"/>
      <c r="J153" s="41"/>
      <c r="K153" s="41"/>
      <c r="L153" s="41"/>
      <c r="M153" s="41"/>
      <c r="N153" s="41"/>
      <c r="O153" s="41"/>
      <c r="P153" s="41"/>
      <c r="Q153" s="41"/>
      <c r="R153" s="41"/>
      <c r="S153" s="41">
        <v>1</v>
      </c>
      <c r="T153" s="41"/>
      <c r="U153" s="41"/>
      <c r="V153" s="41"/>
      <c r="W153" s="41"/>
      <c r="X153" s="41"/>
      <c r="Y153" s="41"/>
      <c r="Z153" s="41"/>
      <c r="AA153" s="41"/>
      <c r="AB153" s="41"/>
      <c r="AC153" s="41"/>
      <c r="AD153" s="41"/>
      <c r="AE153" s="41"/>
      <c r="AF153" s="41"/>
      <c r="AG153" s="41"/>
      <c r="AH153" s="41"/>
      <c r="AI153" s="41"/>
      <c r="AJ153" s="43"/>
      <c r="AK153" s="41"/>
      <c r="AL153" s="43"/>
      <c r="AM153" s="43"/>
      <c r="AT153" s="43">
        <f t="shared" si="0"/>
        <v>1</v>
      </c>
    </row>
    <row r="154" spans="1:46" s="16" customFormat="1" x14ac:dyDescent="0.25">
      <c r="A154" s="16" t="s">
        <v>343</v>
      </c>
      <c r="B154" s="47"/>
      <c r="D154" s="41"/>
      <c r="E154" s="41"/>
      <c r="F154" s="41"/>
      <c r="G154" s="42"/>
      <c r="H154" s="41"/>
      <c r="I154" s="41"/>
      <c r="J154" s="41"/>
      <c r="K154" s="41"/>
      <c r="L154" s="41"/>
      <c r="M154" s="41"/>
      <c r="N154" s="41"/>
      <c r="O154" s="41"/>
      <c r="P154" s="41"/>
      <c r="Q154" s="41"/>
      <c r="R154" s="41"/>
      <c r="S154" s="41">
        <v>1</v>
      </c>
      <c r="T154" s="41"/>
      <c r="U154" s="41"/>
      <c r="V154" s="41"/>
      <c r="W154" s="41"/>
      <c r="X154" s="41"/>
      <c r="Y154" s="41"/>
      <c r="Z154" s="41"/>
      <c r="AA154" s="41"/>
      <c r="AB154" s="41"/>
      <c r="AC154" s="41"/>
      <c r="AD154" s="41"/>
      <c r="AE154" s="41"/>
      <c r="AF154" s="41"/>
      <c r="AG154" s="41"/>
      <c r="AH154" s="41"/>
      <c r="AI154" s="41"/>
      <c r="AJ154" s="43"/>
      <c r="AK154" s="41"/>
      <c r="AL154" s="43"/>
      <c r="AM154" s="43"/>
      <c r="AT154" s="43">
        <f t="shared" si="0"/>
        <v>1</v>
      </c>
    </row>
    <row r="155" spans="1:46" s="16" customFormat="1" x14ac:dyDescent="0.25">
      <c r="A155" s="16" t="s">
        <v>348</v>
      </c>
      <c r="B155" s="47"/>
      <c r="D155" s="41"/>
      <c r="E155" s="41"/>
      <c r="F155" s="41"/>
      <c r="G155" s="42"/>
      <c r="H155" s="41"/>
      <c r="I155" s="41"/>
      <c r="J155" s="41"/>
      <c r="K155" s="41"/>
      <c r="L155" s="41"/>
      <c r="M155" s="41"/>
      <c r="N155" s="41"/>
      <c r="O155" s="41"/>
      <c r="P155" s="41"/>
      <c r="Q155" s="41"/>
      <c r="R155" s="41"/>
      <c r="S155" s="41">
        <v>1</v>
      </c>
      <c r="T155" s="41"/>
      <c r="U155" s="41"/>
      <c r="V155" s="41"/>
      <c r="W155" s="41"/>
      <c r="X155" s="41"/>
      <c r="Y155" s="41"/>
      <c r="Z155" s="41"/>
      <c r="AA155" s="41"/>
      <c r="AB155" s="41"/>
      <c r="AC155" s="41"/>
      <c r="AD155" s="41"/>
      <c r="AE155" s="41"/>
      <c r="AF155" s="41"/>
      <c r="AG155" s="41"/>
      <c r="AH155" s="41"/>
      <c r="AI155" s="41"/>
      <c r="AJ155" s="43"/>
      <c r="AK155" s="41"/>
      <c r="AL155" s="43"/>
      <c r="AM155" s="43"/>
      <c r="AT155" s="43">
        <f t="shared" si="0"/>
        <v>1</v>
      </c>
    </row>
    <row r="156" spans="1:46" s="16" customFormat="1" x14ac:dyDescent="0.25">
      <c r="A156" s="16" t="s">
        <v>349</v>
      </c>
      <c r="B156" s="47" t="s">
        <v>80</v>
      </c>
      <c r="D156" s="41"/>
      <c r="E156" s="41"/>
      <c r="F156" s="41"/>
      <c r="G156" s="42"/>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3"/>
      <c r="AK156" s="41"/>
      <c r="AL156" s="43"/>
      <c r="AM156" s="43"/>
      <c r="AQ156" s="16">
        <v>1</v>
      </c>
      <c r="AT156" s="43">
        <f t="shared" si="0"/>
        <v>1</v>
      </c>
    </row>
    <row r="157" spans="1:46" s="16" customFormat="1" x14ac:dyDescent="0.25">
      <c r="A157" s="16" t="s">
        <v>350</v>
      </c>
      <c r="B157" s="47" t="s">
        <v>80</v>
      </c>
      <c r="D157" s="41"/>
      <c r="E157" s="41"/>
      <c r="F157" s="41"/>
      <c r="G157" s="42"/>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3"/>
      <c r="AK157" s="41"/>
      <c r="AL157" s="43"/>
      <c r="AM157" s="43"/>
      <c r="AQ157" s="16">
        <v>1</v>
      </c>
      <c r="AT157" s="43">
        <f t="shared" si="0"/>
        <v>1</v>
      </c>
    </row>
    <row r="158" spans="1:46" s="16" customFormat="1" x14ac:dyDescent="0.25">
      <c r="A158" s="16" t="s">
        <v>351</v>
      </c>
      <c r="B158" s="47" t="s">
        <v>80</v>
      </c>
      <c r="D158" s="41"/>
      <c r="E158" s="41"/>
      <c r="F158" s="41"/>
      <c r="G158" s="42"/>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3"/>
      <c r="AK158" s="41"/>
      <c r="AL158" s="43"/>
      <c r="AM158" s="43"/>
      <c r="AQ158" s="16">
        <v>2</v>
      </c>
      <c r="AT158" s="43">
        <f t="shared" si="0"/>
        <v>2</v>
      </c>
    </row>
    <row r="159" spans="1:46" s="3" customFormat="1" x14ac:dyDescent="0.25">
      <c r="A159" s="35" t="s">
        <v>167</v>
      </c>
      <c r="B159" s="49"/>
      <c r="C159" s="24"/>
      <c r="G159" s="19"/>
      <c r="AJ159" s="24"/>
      <c r="AN159" s="24"/>
      <c r="AO159" s="24"/>
      <c r="AP159" s="24"/>
      <c r="AQ159" s="24"/>
      <c r="AR159" s="24"/>
      <c r="AS159" s="24"/>
      <c r="AT159" s="24"/>
    </row>
    <row r="160" spans="1:46" s="4" customFormat="1" x14ac:dyDescent="0.25">
      <c r="A160" s="56" t="s">
        <v>216</v>
      </c>
      <c r="B160" s="57" t="s">
        <v>80</v>
      </c>
      <c r="D160" s="53"/>
      <c r="E160" s="53"/>
      <c r="F160" s="53"/>
      <c r="G160" s="54"/>
      <c r="H160" s="53"/>
      <c r="I160" s="53"/>
      <c r="J160" s="53"/>
      <c r="K160" s="53"/>
      <c r="L160" s="53"/>
      <c r="M160" s="53"/>
      <c r="N160" s="53"/>
      <c r="O160" s="53"/>
      <c r="P160" s="53"/>
      <c r="Q160" s="53"/>
      <c r="R160" s="53"/>
      <c r="S160" s="53"/>
      <c r="T160" s="53">
        <v>65</v>
      </c>
      <c r="U160" s="53"/>
      <c r="V160" s="53"/>
      <c r="W160" s="53"/>
      <c r="X160" s="53"/>
      <c r="Y160" s="53"/>
      <c r="Z160" s="53"/>
      <c r="AA160" s="53"/>
      <c r="AB160" s="53"/>
      <c r="AC160" s="53"/>
      <c r="AD160" s="53"/>
      <c r="AE160" s="53"/>
      <c r="AF160" s="53"/>
      <c r="AG160" s="53"/>
      <c r="AH160" s="53"/>
      <c r="AI160" s="53"/>
      <c r="AJ160" s="55"/>
      <c r="AK160" s="53"/>
      <c r="AL160" s="55"/>
      <c r="AM160" s="55"/>
      <c r="AQ160" s="4">
        <v>28</v>
      </c>
      <c r="AT160" s="55">
        <f>SUM(C160:AS160)</f>
        <v>93</v>
      </c>
    </row>
    <row r="161" spans="1:46" s="23" customFormat="1" x14ac:dyDescent="0.25">
      <c r="A161" s="45" t="s">
        <v>117</v>
      </c>
      <c r="B161" s="50"/>
      <c r="D161" s="41"/>
      <c r="E161" s="41"/>
      <c r="F161" s="41"/>
      <c r="G161" s="42"/>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3"/>
      <c r="AK161" s="41"/>
      <c r="AL161" s="43"/>
      <c r="AM161" s="43"/>
      <c r="AT161" s="43"/>
    </row>
    <row r="162" spans="1:46" s="16" customFormat="1" x14ac:dyDescent="0.25">
      <c r="B162" s="47"/>
      <c r="D162" s="41"/>
      <c r="E162" s="41"/>
      <c r="F162" s="41"/>
      <c r="G162" s="42"/>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3"/>
      <c r="AK162" s="41"/>
      <c r="AL162" s="43"/>
      <c r="AM162" s="43"/>
      <c r="AT162" s="43">
        <f>SUM(C162:AS162)</f>
        <v>0</v>
      </c>
    </row>
    <row r="163" spans="1:46" s="3" customFormat="1" x14ac:dyDescent="0.25">
      <c r="A163" s="35" t="s">
        <v>168</v>
      </c>
      <c r="B163" s="49"/>
      <c r="C163" s="24"/>
      <c r="G163" s="19"/>
      <c r="AJ163" s="24"/>
      <c r="AN163" s="24"/>
      <c r="AO163" s="24"/>
      <c r="AP163" s="24"/>
      <c r="AQ163" s="24"/>
      <c r="AR163" s="24"/>
      <c r="AS163" s="24"/>
      <c r="AT163" s="24"/>
    </row>
    <row r="164" spans="1:46" s="4" customFormat="1" x14ac:dyDescent="0.25">
      <c r="A164" s="56" t="s">
        <v>170</v>
      </c>
      <c r="B164" s="57" t="s">
        <v>80</v>
      </c>
      <c r="D164" s="53"/>
      <c r="E164" s="53"/>
      <c r="F164" s="53"/>
      <c r="G164" s="54"/>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5"/>
      <c r="AK164" s="53"/>
      <c r="AL164" s="55"/>
      <c r="AM164" s="55"/>
      <c r="AR164" s="4">
        <v>13</v>
      </c>
      <c r="AT164" s="55">
        <f>SUM(C164:AS164)</f>
        <v>13</v>
      </c>
    </row>
    <row r="165" spans="1:46" s="23" customFormat="1" x14ac:dyDescent="0.25">
      <c r="A165" s="45" t="s">
        <v>117</v>
      </c>
      <c r="B165" s="50"/>
      <c r="D165" s="41"/>
      <c r="E165" s="41"/>
      <c r="F165" s="41"/>
      <c r="G165" s="42"/>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3"/>
      <c r="AK165" s="41"/>
      <c r="AL165" s="43"/>
      <c r="AM165" s="43"/>
      <c r="AT165" s="43"/>
    </row>
    <row r="166" spans="1:46" s="16" customFormat="1" x14ac:dyDescent="0.25">
      <c r="B166" s="47"/>
      <c r="D166" s="41"/>
      <c r="E166" s="41"/>
      <c r="F166" s="41"/>
      <c r="G166" s="42"/>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3"/>
      <c r="AK166" s="41"/>
      <c r="AL166" s="43"/>
      <c r="AM166" s="43"/>
      <c r="AT166" s="43">
        <f>SUM(C166:AS166)</f>
        <v>0</v>
      </c>
    </row>
    <row r="167" spans="1:46" s="3" customFormat="1" x14ac:dyDescent="0.25">
      <c r="A167" s="35" t="s">
        <v>169</v>
      </c>
      <c r="B167" s="49"/>
      <c r="C167" s="24"/>
      <c r="G167" s="19"/>
      <c r="AJ167" s="24"/>
      <c r="AN167" s="24"/>
      <c r="AO167" s="24"/>
      <c r="AP167" s="24"/>
      <c r="AQ167" s="24"/>
      <c r="AR167" s="24"/>
      <c r="AS167" s="24"/>
      <c r="AT167" s="24"/>
    </row>
    <row r="168" spans="1:46" s="4" customFormat="1" x14ac:dyDescent="0.25">
      <c r="A168" s="56" t="s">
        <v>171</v>
      </c>
      <c r="B168" s="57" t="s">
        <v>79</v>
      </c>
      <c r="D168" s="53"/>
      <c r="E168" s="53"/>
      <c r="F168" s="53"/>
      <c r="G168" s="54"/>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5"/>
      <c r="AK168" s="53"/>
      <c r="AL168" s="55"/>
      <c r="AM168" s="55"/>
      <c r="AR168" s="4">
        <v>1</v>
      </c>
      <c r="AT168" s="55">
        <f>SUM(C168:AS168)</f>
        <v>1</v>
      </c>
    </row>
    <row r="169" spans="1:46" s="23" customFormat="1" x14ac:dyDescent="0.25">
      <c r="A169" s="45" t="s">
        <v>117</v>
      </c>
      <c r="B169" s="50"/>
      <c r="D169" s="41"/>
      <c r="E169" s="41"/>
      <c r="F169" s="41"/>
      <c r="G169" s="42"/>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3"/>
      <c r="AK169" s="41"/>
      <c r="AL169" s="43"/>
      <c r="AM169" s="43"/>
      <c r="AT169" s="43"/>
    </row>
    <row r="170" spans="1:46" s="16" customFormat="1" x14ac:dyDescent="0.25">
      <c r="A170" s="16" t="s">
        <v>339</v>
      </c>
      <c r="B170" s="47" t="s">
        <v>80</v>
      </c>
      <c r="D170" s="41"/>
      <c r="E170" s="41"/>
      <c r="F170" s="41"/>
      <c r="G170" s="42"/>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3"/>
      <c r="AK170" s="41"/>
      <c r="AL170" s="43"/>
      <c r="AM170" s="43"/>
      <c r="AR170" s="16">
        <v>1</v>
      </c>
      <c r="AT170" s="43">
        <f>SUM(C170:AS170)</f>
        <v>1</v>
      </c>
    </row>
    <row r="171" spans="1:46" s="16" customFormat="1" x14ac:dyDescent="0.25">
      <c r="A171" s="16" t="s">
        <v>340</v>
      </c>
      <c r="B171" s="47" t="s">
        <v>80</v>
      </c>
      <c r="D171" s="41"/>
      <c r="E171" s="41"/>
      <c r="F171" s="41"/>
      <c r="G171" s="42"/>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3"/>
      <c r="AK171" s="41"/>
      <c r="AL171" s="43"/>
      <c r="AM171" s="43"/>
      <c r="AR171" s="16">
        <v>1</v>
      </c>
      <c r="AT171" s="43">
        <f>SUM(C171:AS171)</f>
        <v>1</v>
      </c>
    </row>
    <row r="172" spans="1:46" s="3" customFormat="1" x14ac:dyDescent="0.25">
      <c r="A172" s="35" t="s">
        <v>172</v>
      </c>
      <c r="B172" s="49"/>
      <c r="C172" s="24"/>
      <c r="G172" s="19"/>
      <c r="AJ172" s="24"/>
      <c r="AN172" s="24"/>
      <c r="AO172" s="24"/>
      <c r="AP172" s="24"/>
      <c r="AQ172" s="24"/>
      <c r="AR172" s="24"/>
      <c r="AS172" s="24"/>
      <c r="AT172" s="24"/>
    </row>
    <row r="173" spans="1:46" s="23" customFormat="1" x14ac:dyDescent="0.25">
      <c r="A173" s="45" t="s">
        <v>117</v>
      </c>
      <c r="B173" s="50"/>
      <c r="D173" s="41"/>
      <c r="E173" s="41"/>
      <c r="F173" s="41"/>
      <c r="G173" s="42"/>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3"/>
      <c r="AK173" s="41"/>
      <c r="AL173" s="43"/>
      <c r="AM173" s="43"/>
      <c r="AT173" s="43"/>
    </row>
    <row r="174" spans="1:46" s="23" customFormat="1" x14ac:dyDescent="0.25">
      <c r="A174" s="37" t="s">
        <v>400</v>
      </c>
      <c r="B174" s="50" t="s">
        <v>80</v>
      </c>
      <c r="D174" s="41"/>
      <c r="E174" s="41"/>
      <c r="F174" s="41"/>
      <c r="G174" s="42"/>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3"/>
      <c r="AK174" s="41"/>
      <c r="AL174" s="43"/>
      <c r="AM174" s="43"/>
      <c r="AS174" s="23">
        <v>1</v>
      </c>
      <c r="AT174" s="43">
        <f>SUM(C174:AS174)</f>
        <v>1</v>
      </c>
    </row>
    <row r="175" spans="1:46" s="16" customFormat="1" x14ac:dyDescent="0.25">
      <c r="A175" s="16" t="s">
        <v>401</v>
      </c>
      <c r="B175" s="47" t="s">
        <v>80</v>
      </c>
      <c r="D175" s="41"/>
      <c r="E175" s="41"/>
      <c r="F175" s="41"/>
      <c r="G175" s="42"/>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3"/>
      <c r="AK175" s="41"/>
      <c r="AL175" s="43"/>
      <c r="AM175" s="43"/>
      <c r="AS175" s="16">
        <v>1</v>
      </c>
      <c r="AT175" s="43">
        <f>SUM(C175:AS175)</f>
        <v>1</v>
      </c>
    </row>
    <row r="176" spans="1:46" s="3" customFormat="1" x14ac:dyDescent="0.25">
      <c r="A176" s="35" t="s">
        <v>173</v>
      </c>
      <c r="B176" s="49"/>
      <c r="C176" s="24"/>
      <c r="G176" s="19"/>
      <c r="AJ176" s="24"/>
      <c r="AN176" s="24"/>
      <c r="AO176" s="24"/>
      <c r="AP176" s="24"/>
      <c r="AQ176" s="24"/>
      <c r="AR176" s="24"/>
      <c r="AS176" s="24"/>
      <c r="AT176" s="24"/>
    </row>
    <row r="177" spans="1:46" s="23" customFormat="1" x14ac:dyDescent="0.25">
      <c r="A177" s="45" t="s">
        <v>117</v>
      </c>
      <c r="B177" s="50"/>
      <c r="D177" s="41"/>
      <c r="E177" s="41"/>
      <c r="F177" s="41"/>
      <c r="G177" s="42"/>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3"/>
      <c r="AK177" s="41"/>
      <c r="AL177" s="43"/>
      <c r="AM177" s="43"/>
      <c r="AT177" s="43"/>
    </row>
    <row r="178" spans="1:46" s="4" customFormat="1" x14ac:dyDescent="0.25">
      <c r="A178" s="56" t="s">
        <v>400</v>
      </c>
      <c r="B178" s="57" t="s">
        <v>80</v>
      </c>
      <c r="D178" s="53"/>
      <c r="E178" s="53"/>
      <c r="F178" s="53"/>
      <c r="G178" s="54"/>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5"/>
      <c r="AK178" s="53"/>
      <c r="AL178" s="55"/>
      <c r="AM178" s="55"/>
      <c r="AS178" s="4">
        <v>3</v>
      </c>
      <c r="AT178" s="55">
        <f>SUM(C178:AS178)</f>
        <v>3</v>
      </c>
    </row>
    <row r="179" spans="1:46" s="16" customFormat="1" x14ac:dyDescent="0.25">
      <c r="B179" s="47"/>
      <c r="D179" s="41"/>
      <c r="E179" s="41"/>
      <c r="F179" s="41"/>
      <c r="G179" s="42"/>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3"/>
      <c r="AK179" s="41"/>
      <c r="AL179" s="43"/>
      <c r="AM179" s="43"/>
      <c r="AT179" s="43">
        <f>SUM(C179:AS179)</f>
        <v>0</v>
      </c>
    </row>
    <row r="180" spans="1:46" s="3" customFormat="1" x14ac:dyDescent="0.25">
      <c r="A180" s="35" t="s">
        <v>217</v>
      </c>
      <c r="B180" s="49"/>
      <c r="C180" s="24"/>
      <c r="G180" s="19"/>
      <c r="AJ180" s="24"/>
      <c r="AN180" s="24"/>
      <c r="AO180" s="24"/>
      <c r="AP180" s="24"/>
      <c r="AQ180" s="24"/>
      <c r="AR180" s="24"/>
      <c r="AS180" s="24"/>
      <c r="AT180" s="24"/>
    </row>
    <row r="181" spans="1:46" s="23" customFormat="1" x14ac:dyDescent="0.25">
      <c r="A181" s="45" t="s">
        <v>117</v>
      </c>
      <c r="B181" s="50"/>
      <c r="D181" s="41"/>
      <c r="E181" s="41"/>
      <c r="F181" s="41"/>
      <c r="G181" s="42"/>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3"/>
      <c r="AK181" s="41"/>
      <c r="AL181" s="43"/>
      <c r="AM181" s="43"/>
      <c r="AT181" s="43">
        <f>SUM(C181:AS181)</f>
        <v>0</v>
      </c>
    </row>
    <row r="182" spans="1:46" s="16" customFormat="1" x14ac:dyDescent="0.25">
      <c r="A182" s="16" t="s">
        <v>198</v>
      </c>
      <c r="B182" s="47" t="s">
        <v>80</v>
      </c>
      <c r="C182" s="16">
        <v>1</v>
      </c>
      <c r="D182" s="41"/>
      <c r="E182" s="41"/>
      <c r="F182" s="41"/>
      <c r="G182" s="42"/>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3"/>
      <c r="AK182" s="41"/>
      <c r="AL182" s="43"/>
      <c r="AM182" s="43"/>
      <c r="AT182" s="43"/>
    </row>
    <row r="183" spans="1:46" s="16" customFormat="1" x14ac:dyDescent="0.25">
      <c r="B183" s="47"/>
      <c r="D183" s="41"/>
      <c r="E183" s="41"/>
      <c r="F183" s="41"/>
      <c r="G183" s="42"/>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3"/>
      <c r="AK183" s="41"/>
      <c r="AL183" s="43"/>
      <c r="AM183" s="43"/>
      <c r="AT183" s="43">
        <f>SUM(C183:AS183)</f>
        <v>0</v>
      </c>
    </row>
    <row r="184" spans="1:46" s="3" customFormat="1" x14ac:dyDescent="0.25">
      <c r="A184" s="35" t="s">
        <v>218</v>
      </c>
      <c r="B184" s="49"/>
      <c r="C184" s="24"/>
      <c r="G184" s="19"/>
      <c r="AJ184" s="24"/>
      <c r="AN184" s="24"/>
      <c r="AO184" s="24"/>
      <c r="AP184" s="24"/>
      <c r="AQ184" s="24"/>
      <c r="AR184" s="24"/>
      <c r="AS184" s="24"/>
      <c r="AT184" s="24"/>
    </row>
    <row r="185" spans="1:46" s="4" customFormat="1" x14ac:dyDescent="0.25">
      <c r="A185" s="4" t="s">
        <v>136</v>
      </c>
      <c r="B185" s="57" t="s">
        <v>80</v>
      </c>
      <c r="C185" s="4">
        <v>47</v>
      </c>
      <c r="D185" s="53"/>
      <c r="E185" s="53"/>
      <c r="F185" s="53"/>
      <c r="G185" s="54"/>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5"/>
      <c r="AK185" s="53"/>
      <c r="AL185" s="55"/>
      <c r="AM185" s="55"/>
      <c r="AT185" s="55">
        <f>SUM(C185:AS185)</f>
        <v>47</v>
      </c>
    </row>
    <row r="186" spans="1:46" s="16" customFormat="1" x14ac:dyDescent="0.25">
      <c r="A186" s="45" t="s">
        <v>117</v>
      </c>
      <c r="B186" s="47"/>
      <c r="D186" s="41"/>
      <c r="E186" s="41"/>
      <c r="F186" s="41"/>
      <c r="G186" s="42"/>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3"/>
      <c r="AK186" s="41"/>
      <c r="AL186" s="43"/>
      <c r="AM186" s="43"/>
      <c r="AT186" s="43"/>
    </row>
    <row r="187" spans="1:46" s="16" customFormat="1" x14ac:dyDescent="0.25">
      <c r="A187" s="16" t="s">
        <v>391</v>
      </c>
      <c r="B187" s="47" t="s">
        <v>80</v>
      </c>
      <c r="C187" s="16">
        <v>2</v>
      </c>
      <c r="D187" s="41"/>
      <c r="E187" s="41"/>
      <c r="F187" s="41"/>
      <c r="G187" s="42"/>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3"/>
      <c r="AK187" s="41"/>
      <c r="AL187" s="43"/>
      <c r="AM187" s="43"/>
      <c r="AT187" s="43">
        <f>SUM(C187:AS187)</f>
        <v>2</v>
      </c>
    </row>
    <row r="188" spans="1:46" s="3" customFormat="1" x14ac:dyDescent="0.25">
      <c r="A188" s="35" t="s">
        <v>221</v>
      </c>
      <c r="B188" s="49"/>
      <c r="C188" s="24"/>
      <c r="G188" s="19"/>
      <c r="AJ188" s="24"/>
      <c r="AN188" s="24"/>
      <c r="AO188" s="24"/>
      <c r="AP188" s="24"/>
      <c r="AQ188" s="24"/>
      <c r="AR188" s="24"/>
      <c r="AS188" s="24"/>
      <c r="AT188" s="24"/>
    </row>
    <row r="189" spans="1:46" s="23" customFormat="1" x14ac:dyDescent="0.25">
      <c r="A189" s="45" t="s">
        <v>117</v>
      </c>
      <c r="B189" s="50"/>
      <c r="D189" s="41"/>
      <c r="E189" s="41"/>
      <c r="F189" s="41"/>
      <c r="G189" s="42"/>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3"/>
      <c r="AK189" s="41"/>
      <c r="AL189" s="43"/>
      <c r="AM189" s="43"/>
      <c r="AT189" s="43">
        <f>SUM(C189:AS189)</f>
        <v>0</v>
      </c>
    </row>
    <row r="190" spans="1:46" s="16" customFormat="1" x14ac:dyDescent="0.25">
      <c r="B190" s="47"/>
      <c r="D190" s="41"/>
      <c r="E190" s="41"/>
      <c r="F190" s="41"/>
      <c r="G190" s="42"/>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3"/>
      <c r="AK190" s="41"/>
      <c r="AL190" s="43"/>
      <c r="AM190" s="43"/>
      <c r="AT190" s="43"/>
    </row>
    <row r="191" spans="1:46" s="16" customFormat="1" x14ac:dyDescent="0.25">
      <c r="B191" s="47"/>
      <c r="D191" s="41"/>
      <c r="E191" s="41"/>
      <c r="F191" s="41"/>
      <c r="G191" s="42"/>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3"/>
      <c r="AK191" s="41"/>
      <c r="AL191" s="43"/>
      <c r="AM191" s="43"/>
      <c r="AT191" s="43">
        <f>SUM(C191:AS191)</f>
        <v>0</v>
      </c>
    </row>
    <row r="192" spans="1:46" s="3" customFormat="1" x14ac:dyDescent="0.25">
      <c r="A192" s="35" t="s">
        <v>222</v>
      </c>
      <c r="B192" s="49"/>
      <c r="C192" s="24"/>
      <c r="G192" s="19"/>
      <c r="AJ192" s="24"/>
      <c r="AN192" s="24"/>
      <c r="AO192" s="24"/>
      <c r="AP192" s="24"/>
      <c r="AQ192" s="24"/>
      <c r="AR192" s="24"/>
      <c r="AS192" s="24"/>
      <c r="AT192" s="24"/>
    </row>
    <row r="193" spans="1:46" s="23" customFormat="1" x14ac:dyDescent="0.25">
      <c r="A193" s="45" t="s">
        <v>117</v>
      </c>
      <c r="B193" s="50"/>
      <c r="D193" s="41"/>
      <c r="E193" s="41"/>
      <c r="F193" s="41"/>
      <c r="G193" s="42"/>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3"/>
      <c r="AK193" s="41"/>
      <c r="AL193" s="43"/>
      <c r="AM193" s="43"/>
      <c r="AT193" s="43">
        <f>SUM(C193:AS193)</f>
        <v>0</v>
      </c>
    </row>
    <row r="194" spans="1:46" s="16" customFormat="1" x14ac:dyDescent="0.25">
      <c r="B194" s="47"/>
      <c r="D194" s="41"/>
      <c r="E194" s="41"/>
      <c r="F194" s="41"/>
      <c r="G194" s="42"/>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3"/>
      <c r="AK194" s="41"/>
      <c r="AL194" s="43"/>
      <c r="AM194" s="43"/>
      <c r="AT194" s="43"/>
    </row>
    <row r="195" spans="1:46" s="16" customFormat="1" x14ac:dyDescent="0.25">
      <c r="B195" s="47"/>
      <c r="D195" s="41"/>
      <c r="E195" s="41"/>
      <c r="F195" s="41"/>
      <c r="G195" s="42"/>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3"/>
      <c r="AK195" s="41"/>
      <c r="AL195" s="43"/>
      <c r="AM195" s="43"/>
      <c r="AT195" s="43">
        <f>SUM(C195:AS195)</f>
        <v>0</v>
      </c>
    </row>
    <row r="196" spans="1:46" s="3" customFormat="1" x14ac:dyDescent="0.25">
      <c r="A196" s="35" t="s">
        <v>223</v>
      </c>
      <c r="B196" s="49"/>
      <c r="C196" s="24"/>
      <c r="G196" s="19"/>
      <c r="AJ196" s="24"/>
      <c r="AN196" s="24"/>
      <c r="AO196" s="24"/>
      <c r="AP196" s="24"/>
      <c r="AQ196" s="24"/>
      <c r="AR196" s="24"/>
      <c r="AS196" s="24"/>
      <c r="AT196" s="24"/>
    </row>
    <row r="197" spans="1:46" s="4" customFormat="1" x14ac:dyDescent="0.25">
      <c r="A197" s="4" t="s">
        <v>225</v>
      </c>
      <c r="B197" s="57" t="s">
        <v>80</v>
      </c>
      <c r="D197" s="53"/>
      <c r="E197" s="53">
        <v>27</v>
      </c>
      <c r="F197" s="53"/>
      <c r="G197" s="54"/>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5"/>
      <c r="AK197" s="53"/>
      <c r="AL197" s="55"/>
      <c r="AM197" s="55"/>
      <c r="AT197" s="55">
        <f>SUM(C197:AS197)</f>
        <v>27</v>
      </c>
    </row>
    <row r="198" spans="1:46" s="16" customFormat="1" x14ac:dyDescent="0.25">
      <c r="A198" s="45" t="s">
        <v>117</v>
      </c>
      <c r="B198" s="47"/>
      <c r="D198" s="41"/>
      <c r="E198" s="41"/>
      <c r="F198" s="41"/>
      <c r="G198" s="42"/>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3"/>
      <c r="AK198" s="41"/>
      <c r="AL198" s="43"/>
      <c r="AM198" s="43"/>
      <c r="AT198" s="43"/>
    </row>
    <row r="199" spans="1:46" s="16" customFormat="1" x14ac:dyDescent="0.25">
      <c r="B199" s="47"/>
      <c r="D199" s="41"/>
      <c r="E199" s="41"/>
      <c r="F199" s="41"/>
      <c r="G199" s="42"/>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3"/>
      <c r="AK199" s="41"/>
      <c r="AL199" s="43"/>
      <c r="AM199" s="43"/>
      <c r="AT199" s="43">
        <f>SUM(C199:AS199)</f>
        <v>0</v>
      </c>
    </row>
    <row r="200" spans="1:46" s="3" customFormat="1" x14ac:dyDescent="0.25">
      <c r="A200" s="35" t="s">
        <v>224</v>
      </c>
      <c r="B200" s="49"/>
      <c r="C200" s="24"/>
      <c r="G200" s="19"/>
      <c r="AJ200" s="24"/>
      <c r="AN200" s="24"/>
      <c r="AO200" s="24"/>
      <c r="AP200" s="24"/>
      <c r="AQ200" s="24"/>
      <c r="AR200" s="24"/>
      <c r="AS200" s="24"/>
      <c r="AT200" s="24"/>
    </row>
    <row r="201" spans="1:46" s="4" customFormat="1" x14ac:dyDescent="0.25">
      <c r="A201" s="4" t="s">
        <v>226</v>
      </c>
      <c r="B201" s="57" t="s">
        <v>80</v>
      </c>
      <c r="D201" s="53"/>
      <c r="E201" s="53">
        <v>25</v>
      </c>
      <c r="F201" s="53"/>
      <c r="G201" s="54"/>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5"/>
      <c r="AK201" s="53"/>
      <c r="AL201" s="55"/>
      <c r="AM201" s="55"/>
      <c r="AT201" s="55">
        <f>SUM(C201:AS201)</f>
        <v>25</v>
      </c>
    </row>
    <row r="202" spans="1:46" s="16" customFormat="1" x14ac:dyDescent="0.25">
      <c r="A202" s="45" t="s">
        <v>117</v>
      </c>
      <c r="B202" s="47"/>
      <c r="D202" s="41"/>
      <c r="E202" s="41"/>
      <c r="F202" s="41"/>
      <c r="G202" s="42"/>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3"/>
      <c r="AK202" s="41"/>
      <c r="AL202" s="43"/>
      <c r="AM202" s="43"/>
      <c r="AT202" s="43"/>
    </row>
    <row r="203" spans="1:46" s="16" customFormat="1" x14ac:dyDescent="0.25">
      <c r="B203" s="47"/>
      <c r="D203" s="41"/>
      <c r="E203" s="41"/>
      <c r="F203" s="41"/>
      <c r="G203" s="42"/>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3"/>
      <c r="AK203" s="41"/>
      <c r="AL203" s="43"/>
      <c r="AM203" s="43"/>
      <c r="AT203" s="43">
        <f>SUM(C203:AS203)</f>
        <v>0</v>
      </c>
    </row>
    <row r="204" spans="1:46" s="3" customFormat="1" x14ac:dyDescent="0.25">
      <c r="A204" s="35" t="s">
        <v>227</v>
      </c>
      <c r="B204" s="49"/>
      <c r="C204" s="24"/>
      <c r="G204" s="19"/>
      <c r="AJ204" s="24"/>
      <c r="AN204" s="24"/>
      <c r="AO204" s="24"/>
      <c r="AP204" s="24"/>
      <c r="AQ204" s="24"/>
      <c r="AR204" s="24"/>
      <c r="AS204" s="24"/>
      <c r="AT204" s="24"/>
    </row>
    <row r="205" spans="1:46" s="23" customFormat="1" x14ac:dyDescent="0.25">
      <c r="A205" s="45" t="s">
        <v>117</v>
      </c>
      <c r="B205" s="50"/>
      <c r="D205" s="41"/>
      <c r="E205" s="41"/>
      <c r="F205" s="41"/>
      <c r="G205" s="42"/>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3"/>
      <c r="AK205" s="41"/>
      <c r="AL205" s="43"/>
      <c r="AM205" s="43"/>
      <c r="AT205" s="43">
        <f>SUM(C205:AS205)</f>
        <v>0</v>
      </c>
    </row>
    <row r="206" spans="1:46" s="16" customFormat="1" x14ac:dyDescent="0.25">
      <c r="A206" s="16" t="s">
        <v>378</v>
      </c>
      <c r="B206" s="47" t="s">
        <v>80</v>
      </c>
      <c r="D206" s="41"/>
      <c r="E206" s="41"/>
      <c r="F206" s="41">
        <v>1</v>
      </c>
      <c r="G206" s="42"/>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3"/>
      <c r="AK206" s="41"/>
      <c r="AL206" s="43"/>
      <c r="AM206" s="43"/>
      <c r="AT206" s="43"/>
    </row>
    <row r="207" spans="1:46" s="16" customFormat="1" x14ac:dyDescent="0.25">
      <c r="B207" s="47"/>
      <c r="D207" s="41"/>
      <c r="E207" s="41"/>
      <c r="F207" s="41"/>
      <c r="G207" s="42"/>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3"/>
      <c r="AK207" s="41"/>
      <c r="AL207" s="43"/>
      <c r="AM207" s="43"/>
      <c r="AT207" s="43">
        <f>SUM(C207:AS207)</f>
        <v>0</v>
      </c>
    </row>
    <row r="208" spans="1:46" s="3" customFormat="1" x14ac:dyDescent="0.25">
      <c r="A208" s="35" t="s">
        <v>228</v>
      </c>
      <c r="B208" s="49"/>
      <c r="C208" s="24"/>
      <c r="G208" s="19"/>
      <c r="AJ208" s="24"/>
      <c r="AN208" s="24"/>
      <c r="AO208" s="24"/>
      <c r="AP208" s="24"/>
      <c r="AQ208" s="24"/>
      <c r="AR208" s="24"/>
      <c r="AS208" s="24"/>
      <c r="AT208" s="24"/>
    </row>
    <row r="209" spans="1:46" s="4" customFormat="1" x14ac:dyDescent="0.25">
      <c r="A209" s="4" t="s">
        <v>229</v>
      </c>
      <c r="B209" s="57" t="s">
        <v>80</v>
      </c>
      <c r="D209" s="53"/>
      <c r="E209" s="53"/>
      <c r="F209" s="53">
        <v>9</v>
      </c>
      <c r="G209" s="54"/>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5"/>
      <c r="AK209" s="53"/>
      <c r="AL209" s="55"/>
      <c r="AM209" s="55"/>
      <c r="AT209" s="55">
        <f>SUM(C209:AS209)</f>
        <v>9</v>
      </c>
    </row>
    <row r="210" spans="1:46" s="16" customFormat="1" x14ac:dyDescent="0.25">
      <c r="A210" s="45" t="s">
        <v>117</v>
      </c>
      <c r="B210" s="47"/>
      <c r="D210" s="41"/>
      <c r="E210" s="41"/>
      <c r="F210" s="41"/>
      <c r="G210" s="42"/>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3"/>
      <c r="AK210" s="41"/>
      <c r="AL210" s="43"/>
      <c r="AM210" s="43"/>
      <c r="AT210" s="43"/>
    </row>
    <row r="211" spans="1:46" s="16" customFormat="1" x14ac:dyDescent="0.25">
      <c r="B211" s="47"/>
      <c r="D211" s="41"/>
      <c r="E211" s="41"/>
      <c r="F211" s="41"/>
      <c r="G211" s="42"/>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3"/>
      <c r="AK211" s="41"/>
      <c r="AL211" s="43"/>
      <c r="AM211" s="43"/>
      <c r="AT211" s="43">
        <f>SUM(C211:AS211)</f>
        <v>0</v>
      </c>
    </row>
    <row r="212" spans="1:46" s="3" customFormat="1" x14ac:dyDescent="0.25">
      <c r="A212" s="35" t="s">
        <v>230</v>
      </c>
      <c r="B212" s="49"/>
      <c r="C212" s="24"/>
      <c r="G212" s="19"/>
      <c r="AJ212" s="24"/>
      <c r="AN212" s="24"/>
      <c r="AO212" s="24"/>
      <c r="AP212" s="24"/>
      <c r="AQ212" s="24"/>
      <c r="AR212" s="24"/>
      <c r="AS212" s="24"/>
      <c r="AT212" s="24"/>
    </row>
    <row r="213" spans="1:46" s="23" customFormat="1" x14ac:dyDescent="0.25">
      <c r="A213" s="23" t="s">
        <v>232</v>
      </c>
      <c r="B213" s="50" t="s">
        <v>80</v>
      </c>
      <c r="D213" s="41"/>
      <c r="E213" s="41"/>
      <c r="F213" s="41"/>
      <c r="G213" s="42">
        <v>12</v>
      </c>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3"/>
      <c r="AK213" s="41"/>
      <c r="AL213" s="43"/>
      <c r="AM213" s="43"/>
      <c r="AT213" s="43">
        <f>SUM(C213:AS213)</f>
        <v>12</v>
      </c>
    </row>
    <row r="214" spans="1:46" s="16" customFormat="1" x14ac:dyDescent="0.25">
      <c r="A214" s="45" t="s">
        <v>117</v>
      </c>
      <c r="B214" s="47"/>
      <c r="D214" s="41"/>
      <c r="E214" s="41"/>
      <c r="F214" s="41"/>
      <c r="G214" s="42"/>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3"/>
      <c r="AK214" s="41"/>
      <c r="AL214" s="43"/>
      <c r="AM214" s="43"/>
      <c r="AT214" s="43"/>
    </row>
    <row r="215" spans="1:46" s="16" customFormat="1" x14ac:dyDescent="0.25">
      <c r="B215" s="47"/>
      <c r="D215" s="41"/>
      <c r="E215" s="41"/>
      <c r="F215" s="41"/>
      <c r="G215" s="42"/>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3"/>
      <c r="AK215" s="41"/>
      <c r="AL215" s="43"/>
      <c r="AM215" s="43"/>
      <c r="AT215" s="43">
        <f>SUM(C215:AS215)</f>
        <v>0</v>
      </c>
    </row>
    <row r="216" spans="1:46" s="3" customFormat="1" x14ac:dyDescent="0.25">
      <c r="A216" s="35" t="s">
        <v>231</v>
      </c>
      <c r="B216" s="49"/>
      <c r="C216" s="24"/>
      <c r="G216" s="19"/>
      <c r="AJ216" s="24"/>
      <c r="AN216" s="24"/>
      <c r="AO216" s="24"/>
      <c r="AP216" s="24"/>
      <c r="AQ216" s="24"/>
      <c r="AR216" s="24"/>
      <c r="AS216" s="24"/>
      <c r="AT216" s="24"/>
    </row>
    <row r="217" spans="1:46" s="23" customFormat="1" x14ac:dyDescent="0.25">
      <c r="A217" s="23" t="s">
        <v>233</v>
      </c>
      <c r="B217" s="50" t="s">
        <v>80</v>
      </c>
      <c r="D217" s="41"/>
      <c r="E217" s="41"/>
      <c r="F217" s="41"/>
      <c r="G217" s="42">
        <v>11</v>
      </c>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3"/>
      <c r="AK217" s="41"/>
      <c r="AL217" s="43"/>
      <c r="AM217" s="43"/>
      <c r="AT217" s="43">
        <f>SUM(C217:AS217)</f>
        <v>11</v>
      </c>
    </row>
    <row r="218" spans="1:46" s="16" customFormat="1" x14ac:dyDescent="0.25">
      <c r="A218" s="45" t="s">
        <v>117</v>
      </c>
      <c r="B218" s="47"/>
      <c r="D218" s="41"/>
      <c r="E218" s="41"/>
      <c r="F218" s="41"/>
      <c r="G218" s="42"/>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3"/>
      <c r="AK218" s="41"/>
      <c r="AL218" s="43"/>
      <c r="AM218" s="43"/>
      <c r="AT218" s="43"/>
    </row>
    <row r="219" spans="1:46" s="16" customFormat="1" x14ac:dyDescent="0.25">
      <c r="B219" s="47"/>
      <c r="D219" s="41"/>
      <c r="E219" s="41"/>
      <c r="F219" s="41"/>
      <c r="G219" s="42"/>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3"/>
      <c r="AK219" s="41"/>
      <c r="AL219" s="43"/>
      <c r="AM219" s="43"/>
      <c r="AT219" s="43">
        <f>SUM(C219:AS219)</f>
        <v>0</v>
      </c>
    </row>
    <row r="220" spans="1:46" s="3" customFormat="1" x14ac:dyDescent="0.25">
      <c r="A220" s="35" t="s">
        <v>234</v>
      </c>
      <c r="B220" s="49"/>
      <c r="C220" s="24"/>
      <c r="G220" s="19"/>
      <c r="AJ220" s="24"/>
      <c r="AN220" s="24"/>
      <c r="AO220" s="24"/>
      <c r="AP220" s="24"/>
      <c r="AQ220" s="24"/>
      <c r="AR220" s="24"/>
      <c r="AS220" s="24"/>
      <c r="AT220" s="24"/>
    </row>
    <row r="221" spans="1:46" s="4" customFormat="1" x14ac:dyDescent="0.25">
      <c r="A221" s="4" t="s">
        <v>236</v>
      </c>
      <c r="B221" s="57" t="s">
        <v>80</v>
      </c>
      <c r="D221" s="53"/>
      <c r="E221" s="53"/>
      <c r="F221" s="53"/>
      <c r="G221" s="54"/>
      <c r="H221" s="53">
        <v>34</v>
      </c>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5"/>
      <c r="AK221" s="53"/>
      <c r="AL221" s="55"/>
      <c r="AM221" s="55"/>
      <c r="AT221" s="55">
        <f>SUM(C221:AS221)</f>
        <v>34</v>
      </c>
    </row>
    <row r="222" spans="1:46" s="16" customFormat="1" x14ac:dyDescent="0.25">
      <c r="A222" s="16" t="s">
        <v>237</v>
      </c>
      <c r="B222" s="47" t="s">
        <v>80</v>
      </c>
      <c r="D222" s="41"/>
      <c r="E222" s="41"/>
      <c r="F222" s="41"/>
      <c r="G222" s="42"/>
      <c r="H222" s="41">
        <v>25</v>
      </c>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3"/>
      <c r="AK222" s="41"/>
      <c r="AL222" s="43"/>
      <c r="AM222" s="43"/>
      <c r="AT222" s="43">
        <f>SUM(C222:AS222)</f>
        <v>25</v>
      </c>
    </row>
    <row r="223" spans="1:46" s="16" customFormat="1" x14ac:dyDescent="0.25">
      <c r="A223" s="45" t="s">
        <v>117</v>
      </c>
      <c r="B223" s="47"/>
      <c r="D223" s="41"/>
      <c r="E223" s="41"/>
      <c r="F223" s="41"/>
      <c r="G223" s="42"/>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3"/>
      <c r="AK223" s="41"/>
      <c r="AL223" s="43"/>
      <c r="AM223" s="43"/>
      <c r="AT223" s="43"/>
    </row>
    <row r="224" spans="1:46" s="16" customFormat="1" x14ac:dyDescent="0.25">
      <c r="B224" s="47"/>
      <c r="D224" s="41"/>
      <c r="E224" s="41"/>
      <c r="F224" s="41"/>
      <c r="G224" s="42"/>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3"/>
      <c r="AK224" s="41"/>
      <c r="AL224" s="43"/>
      <c r="AM224" s="43"/>
      <c r="AT224" s="43">
        <f>SUM(C224:AS224)</f>
        <v>0</v>
      </c>
    </row>
    <row r="225" spans="1:46" s="3" customFormat="1" x14ac:dyDescent="0.25">
      <c r="A225" s="35" t="s">
        <v>235</v>
      </c>
      <c r="B225" s="49"/>
      <c r="C225" s="24"/>
      <c r="G225" s="19"/>
      <c r="AJ225" s="24"/>
      <c r="AN225" s="24"/>
      <c r="AO225" s="24"/>
      <c r="AP225" s="24"/>
      <c r="AQ225" s="24"/>
      <c r="AR225" s="24"/>
      <c r="AS225" s="24"/>
      <c r="AT225" s="24"/>
    </row>
    <row r="226" spans="1:46" s="4" customFormat="1" x14ac:dyDescent="0.25">
      <c r="A226" s="52" t="s">
        <v>238</v>
      </c>
      <c r="B226" s="57" t="s">
        <v>80</v>
      </c>
      <c r="D226" s="53"/>
      <c r="E226" s="53"/>
      <c r="F226" s="53"/>
      <c r="G226" s="54"/>
      <c r="H226" s="53">
        <v>55</v>
      </c>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5"/>
      <c r="AK226" s="53"/>
      <c r="AL226" s="55"/>
      <c r="AM226" s="55"/>
      <c r="AT226" s="55">
        <f>SUM(C226:AS226)</f>
        <v>55</v>
      </c>
    </row>
    <row r="227" spans="1:46" s="16" customFormat="1" x14ac:dyDescent="0.25">
      <c r="A227" s="45" t="s">
        <v>117</v>
      </c>
      <c r="B227" s="47"/>
      <c r="D227" s="41"/>
      <c r="E227" s="41"/>
      <c r="F227" s="41"/>
      <c r="G227" s="42"/>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3"/>
      <c r="AK227" s="41"/>
      <c r="AL227" s="43"/>
      <c r="AM227" s="43"/>
      <c r="AT227" s="43"/>
    </row>
    <row r="228" spans="1:46" s="16" customFormat="1" x14ac:dyDescent="0.25">
      <c r="B228" s="47"/>
      <c r="D228" s="41"/>
      <c r="E228" s="41"/>
      <c r="F228" s="41"/>
      <c r="G228" s="42"/>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3"/>
      <c r="AK228" s="41"/>
      <c r="AL228" s="43"/>
      <c r="AM228" s="43"/>
      <c r="AT228" s="43">
        <f>SUM(C228:AS228)</f>
        <v>0</v>
      </c>
    </row>
    <row r="229" spans="1:46" s="3" customFormat="1" x14ac:dyDescent="0.25">
      <c r="A229" s="35" t="s">
        <v>239</v>
      </c>
      <c r="B229" s="49"/>
      <c r="C229" s="24"/>
      <c r="G229" s="19"/>
      <c r="AJ229" s="24"/>
      <c r="AN229" s="24"/>
      <c r="AO229" s="24"/>
      <c r="AP229" s="24"/>
      <c r="AQ229" s="24"/>
      <c r="AR229" s="24"/>
      <c r="AS229" s="24"/>
      <c r="AT229" s="24"/>
    </row>
    <row r="230" spans="1:46" s="23" customFormat="1" x14ac:dyDescent="0.25">
      <c r="A230" s="45" t="s">
        <v>117</v>
      </c>
      <c r="B230" s="50"/>
      <c r="D230" s="41"/>
      <c r="E230" s="41"/>
      <c r="F230" s="41"/>
      <c r="G230" s="42"/>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3"/>
      <c r="AK230" s="41"/>
      <c r="AL230" s="43"/>
      <c r="AM230" s="43"/>
      <c r="AT230" s="43"/>
    </row>
    <row r="231" spans="1:46" s="16" customFormat="1" x14ac:dyDescent="0.25">
      <c r="A231" s="16" t="s">
        <v>372</v>
      </c>
      <c r="B231" s="47" t="s">
        <v>80</v>
      </c>
      <c r="D231" s="41"/>
      <c r="E231" s="41"/>
      <c r="F231" s="41"/>
      <c r="G231" s="42"/>
      <c r="H231" s="41"/>
      <c r="I231" s="41">
        <v>1</v>
      </c>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3"/>
      <c r="AK231" s="41"/>
      <c r="AL231" s="43"/>
      <c r="AM231" s="43"/>
      <c r="AT231" s="43">
        <f>SUM(C231:AS231)</f>
        <v>1</v>
      </c>
    </row>
    <row r="232" spans="1:46" s="16" customFormat="1" x14ac:dyDescent="0.25">
      <c r="A232" s="16" t="s">
        <v>373</v>
      </c>
      <c r="B232" s="47" t="s">
        <v>80</v>
      </c>
      <c r="D232" s="41"/>
      <c r="E232" s="41"/>
      <c r="F232" s="41"/>
      <c r="G232" s="42"/>
      <c r="H232" s="41"/>
      <c r="I232" s="41">
        <v>1</v>
      </c>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3"/>
      <c r="AK232" s="41"/>
      <c r="AL232" s="43"/>
      <c r="AM232" s="43"/>
      <c r="AT232" s="43">
        <f>SUM(C232:AS232)</f>
        <v>1</v>
      </c>
    </row>
    <row r="233" spans="1:46" s="16" customFormat="1" x14ac:dyDescent="0.25">
      <c r="A233" s="16" t="s">
        <v>374</v>
      </c>
      <c r="B233" s="47" t="s">
        <v>80</v>
      </c>
      <c r="D233" s="41"/>
      <c r="E233" s="41"/>
      <c r="F233" s="41"/>
      <c r="G233" s="42"/>
      <c r="H233" s="41"/>
      <c r="I233" s="41">
        <v>1</v>
      </c>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3"/>
      <c r="AK233" s="41"/>
      <c r="AL233" s="43"/>
      <c r="AM233" s="43"/>
      <c r="AT233" s="43">
        <f>SUM(C233:AS233)</f>
        <v>1</v>
      </c>
    </row>
    <row r="234" spans="1:46" s="16" customFormat="1" x14ac:dyDescent="0.25">
      <c r="A234" s="16" t="s">
        <v>200</v>
      </c>
      <c r="B234" s="47" t="s">
        <v>80</v>
      </c>
      <c r="D234" s="41"/>
      <c r="E234" s="41"/>
      <c r="F234" s="41"/>
      <c r="G234" s="42"/>
      <c r="H234" s="41"/>
      <c r="I234" s="41">
        <v>1</v>
      </c>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3"/>
      <c r="AK234" s="41"/>
      <c r="AL234" s="43"/>
      <c r="AM234" s="43"/>
      <c r="AT234" s="43">
        <f>SUM(C234:AS234)</f>
        <v>1</v>
      </c>
    </row>
    <row r="235" spans="1:46" s="16" customFormat="1" x14ac:dyDescent="0.25">
      <c r="A235" s="16" t="s">
        <v>375</v>
      </c>
      <c r="B235" s="47" t="s">
        <v>80</v>
      </c>
      <c r="D235" s="41"/>
      <c r="E235" s="41"/>
      <c r="F235" s="41"/>
      <c r="G235" s="42"/>
      <c r="H235" s="41"/>
      <c r="I235" s="41">
        <v>2</v>
      </c>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3"/>
      <c r="AK235" s="41"/>
      <c r="AL235" s="43"/>
      <c r="AM235" s="43"/>
      <c r="AT235" s="43">
        <f>SUM(C235:AS235)</f>
        <v>2</v>
      </c>
    </row>
    <row r="236" spans="1:46" s="3" customFormat="1" x14ac:dyDescent="0.25">
      <c r="A236" s="35" t="s">
        <v>240</v>
      </c>
      <c r="B236" s="49"/>
      <c r="C236" s="24"/>
      <c r="G236" s="19"/>
      <c r="AJ236" s="24"/>
      <c r="AN236" s="24"/>
      <c r="AO236" s="24"/>
      <c r="AP236" s="24"/>
      <c r="AQ236" s="24"/>
      <c r="AR236" s="24"/>
      <c r="AS236" s="24"/>
      <c r="AT236" s="24"/>
    </row>
    <row r="237" spans="1:46" s="23" customFormat="1" x14ac:dyDescent="0.25">
      <c r="A237" s="45" t="s">
        <v>117</v>
      </c>
      <c r="B237" s="50"/>
      <c r="D237" s="41"/>
      <c r="E237" s="41"/>
      <c r="F237" s="41"/>
      <c r="G237" s="42"/>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3"/>
      <c r="AK237" s="41"/>
      <c r="AL237" s="43"/>
      <c r="AM237" s="43"/>
      <c r="AT237" s="43"/>
    </row>
    <row r="238" spans="1:46" s="16" customFormat="1" x14ac:dyDescent="0.25">
      <c r="A238" s="16" t="s">
        <v>376</v>
      </c>
      <c r="B238" s="47" t="s">
        <v>80</v>
      </c>
      <c r="D238" s="41"/>
      <c r="E238" s="41"/>
      <c r="F238" s="41"/>
      <c r="G238" s="42"/>
      <c r="H238" s="41"/>
      <c r="I238" s="41">
        <v>1</v>
      </c>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3"/>
      <c r="AK238" s="41"/>
      <c r="AL238" s="43"/>
      <c r="AM238" s="43"/>
      <c r="AT238" s="43">
        <f>SUM(C238:AS238)</f>
        <v>1</v>
      </c>
    </row>
    <row r="239" spans="1:46" s="16" customFormat="1" x14ac:dyDescent="0.25">
      <c r="A239" s="16" t="s">
        <v>374</v>
      </c>
      <c r="B239" s="47" t="s">
        <v>80</v>
      </c>
      <c r="D239" s="41"/>
      <c r="E239" s="41"/>
      <c r="F239" s="41"/>
      <c r="G239" s="42"/>
      <c r="H239" s="41"/>
      <c r="I239" s="41">
        <v>1</v>
      </c>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3"/>
      <c r="AK239" s="41"/>
      <c r="AL239" s="43"/>
      <c r="AM239" s="43"/>
      <c r="AT239" s="43">
        <f>SUM(C239:AS239)</f>
        <v>1</v>
      </c>
    </row>
    <row r="240" spans="1:46" s="16" customFormat="1" x14ac:dyDescent="0.25">
      <c r="A240" s="16" t="s">
        <v>377</v>
      </c>
      <c r="B240" s="47" t="s">
        <v>80</v>
      </c>
      <c r="D240" s="41"/>
      <c r="E240" s="41"/>
      <c r="F240" s="41"/>
      <c r="G240" s="42"/>
      <c r="H240" s="41"/>
      <c r="I240" s="41">
        <v>1</v>
      </c>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3"/>
      <c r="AK240" s="41"/>
      <c r="AL240" s="43"/>
      <c r="AM240" s="43"/>
      <c r="AT240" s="43">
        <f>SUM(C240:AS240)</f>
        <v>1</v>
      </c>
    </row>
    <row r="241" spans="1:46" s="16" customFormat="1" x14ac:dyDescent="0.25">
      <c r="A241" s="16" t="s">
        <v>354</v>
      </c>
      <c r="B241" s="47" t="s">
        <v>80</v>
      </c>
      <c r="D241" s="41"/>
      <c r="E241" s="41"/>
      <c r="F241" s="41"/>
      <c r="G241" s="42"/>
      <c r="H241" s="41"/>
      <c r="I241" s="41">
        <v>1</v>
      </c>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3"/>
      <c r="AK241" s="41"/>
      <c r="AL241" s="43"/>
      <c r="AM241" s="43"/>
      <c r="AT241" s="43">
        <f>SUM(C241:AS241)</f>
        <v>1</v>
      </c>
    </row>
    <row r="242" spans="1:46" s="3" customFormat="1" x14ac:dyDescent="0.25">
      <c r="A242" s="35" t="s">
        <v>241</v>
      </c>
      <c r="B242" s="49"/>
      <c r="C242" s="24"/>
      <c r="G242" s="19"/>
      <c r="AJ242" s="24"/>
      <c r="AN242" s="24"/>
      <c r="AO242" s="24"/>
      <c r="AP242" s="24"/>
      <c r="AQ242" s="24"/>
      <c r="AR242" s="24"/>
      <c r="AS242" s="24"/>
      <c r="AT242" s="24"/>
    </row>
    <row r="243" spans="1:46" s="4" customFormat="1" x14ac:dyDescent="0.25">
      <c r="A243" s="4" t="s">
        <v>243</v>
      </c>
      <c r="B243" s="57" t="s">
        <v>80</v>
      </c>
      <c r="D243" s="53"/>
      <c r="E243" s="53"/>
      <c r="F243" s="53"/>
      <c r="G243" s="54"/>
      <c r="H243" s="53"/>
      <c r="I243" s="53"/>
      <c r="J243" s="53">
        <v>145</v>
      </c>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5"/>
      <c r="AK243" s="53"/>
      <c r="AL243" s="55"/>
      <c r="AM243" s="55"/>
      <c r="AT243" s="55">
        <f>SUM(C243:AS243)</f>
        <v>145</v>
      </c>
    </row>
    <row r="244" spans="1:46" s="16" customFormat="1" x14ac:dyDescent="0.25">
      <c r="A244" s="45" t="s">
        <v>117</v>
      </c>
      <c r="B244" s="47"/>
      <c r="D244" s="41"/>
      <c r="E244" s="41"/>
      <c r="F244" s="41"/>
      <c r="G244" s="42"/>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3"/>
      <c r="AK244" s="41"/>
      <c r="AL244" s="43"/>
      <c r="AM244" s="43"/>
      <c r="AT244" s="43"/>
    </row>
    <row r="245" spans="1:46" s="16" customFormat="1" x14ac:dyDescent="0.25">
      <c r="A245" s="16" t="s">
        <v>384</v>
      </c>
      <c r="B245" s="47" t="s">
        <v>80</v>
      </c>
      <c r="D245" s="41"/>
      <c r="E245" s="41"/>
      <c r="F245" s="41"/>
      <c r="G245" s="42"/>
      <c r="H245" s="41"/>
      <c r="I245" s="41"/>
      <c r="J245" s="41">
        <v>1</v>
      </c>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3"/>
      <c r="AK245" s="41"/>
      <c r="AL245" s="43"/>
      <c r="AM245" s="43"/>
      <c r="AT245" s="43">
        <f>SUM(C245:AS245)</f>
        <v>1</v>
      </c>
    </row>
    <row r="246" spans="1:46" s="16" customFormat="1" x14ac:dyDescent="0.25">
      <c r="A246" s="16" t="s">
        <v>386</v>
      </c>
      <c r="B246" s="47" t="s">
        <v>80</v>
      </c>
      <c r="D246" s="41"/>
      <c r="E246" s="41"/>
      <c r="F246" s="41"/>
      <c r="G246" s="42"/>
      <c r="H246" s="41"/>
      <c r="I246" s="41"/>
      <c r="J246" s="41">
        <v>1</v>
      </c>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3"/>
      <c r="AK246" s="41"/>
      <c r="AL246" s="43"/>
      <c r="AM246" s="43"/>
      <c r="AT246" s="43">
        <f>SUM(C246:AS246)</f>
        <v>1</v>
      </c>
    </row>
    <row r="247" spans="1:46" s="16" customFormat="1" x14ac:dyDescent="0.25">
      <c r="A247" s="16" t="s">
        <v>385</v>
      </c>
      <c r="B247" s="47" t="s">
        <v>80</v>
      </c>
      <c r="D247" s="41"/>
      <c r="E247" s="41"/>
      <c r="F247" s="41"/>
      <c r="G247" s="42"/>
      <c r="H247" s="41"/>
      <c r="I247" s="41"/>
      <c r="J247" s="41">
        <v>1</v>
      </c>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3"/>
      <c r="AK247" s="41"/>
      <c r="AL247" s="43"/>
      <c r="AM247" s="43"/>
      <c r="AT247" s="43">
        <f>SUM(C247:AS247)</f>
        <v>1</v>
      </c>
    </row>
    <row r="248" spans="1:46" s="3" customFormat="1" x14ac:dyDescent="0.25">
      <c r="A248" s="35" t="s">
        <v>242</v>
      </c>
      <c r="B248" s="49"/>
      <c r="C248" s="24"/>
      <c r="G248" s="19"/>
      <c r="AJ248" s="24"/>
      <c r="AN248" s="24"/>
      <c r="AO248" s="24"/>
      <c r="AP248" s="24"/>
      <c r="AQ248" s="24"/>
      <c r="AR248" s="24"/>
      <c r="AS248" s="24"/>
      <c r="AT248" s="24"/>
    </row>
    <row r="249" spans="1:46" s="4" customFormat="1" x14ac:dyDescent="0.25">
      <c r="A249" s="4" t="s">
        <v>244</v>
      </c>
      <c r="B249" s="57" t="s">
        <v>80</v>
      </c>
      <c r="D249" s="53"/>
      <c r="E249" s="53"/>
      <c r="F249" s="53"/>
      <c r="G249" s="54"/>
      <c r="H249" s="53"/>
      <c r="I249" s="53"/>
      <c r="J249" s="53">
        <v>140</v>
      </c>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5"/>
      <c r="AK249" s="53"/>
      <c r="AL249" s="55"/>
      <c r="AM249" s="55"/>
      <c r="AT249" s="55">
        <f>SUM(C249:AS249)</f>
        <v>140</v>
      </c>
    </row>
    <row r="250" spans="1:46" s="16" customFormat="1" x14ac:dyDescent="0.25">
      <c r="A250" s="45" t="s">
        <v>117</v>
      </c>
      <c r="B250" s="47"/>
      <c r="D250" s="41"/>
      <c r="E250" s="41"/>
      <c r="F250" s="41"/>
      <c r="G250" s="42"/>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3"/>
      <c r="AK250" s="41"/>
      <c r="AL250" s="43"/>
      <c r="AM250" s="43"/>
      <c r="AT250" s="43"/>
    </row>
    <row r="251" spans="1:46" s="16" customFormat="1" x14ac:dyDescent="0.25">
      <c r="A251" s="16" t="s">
        <v>387</v>
      </c>
      <c r="B251" s="47" t="s">
        <v>80</v>
      </c>
      <c r="D251" s="41"/>
      <c r="E251" s="41"/>
      <c r="F251" s="41"/>
      <c r="G251" s="42"/>
      <c r="H251" s="41"/>
      <c r="I251" s="41"/>
      <c r="J251" s="41">
        <v>1</v>
      </c>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3"/>
      <c r="AK251" s="41"/>
      <c r="AL251" s="43"/>
      <c r="AM251" s="43"/>
      <c r="AT251" s="43">
        <f t="shared" ref="AT251:AT258" si="1">SUM(C251:AS251)</f>
        <v>1</v>
      </c>
    </row>
    <row r="252" spans="1:46" s="16" customFormat="1" x14ac:dyDescent="0.25">
      <c r="A252" s="16" t="s">
        <v>200</v>
      </c>
      <c r="B252" s="47" t="s">
        <v>80</v>
      </c>
      <c r="D252" s="41"/>
      <c r="E252" s="41"/>
      <c r="F252" s="41"/>
      <c r="G252" s="42"/>
      <c r="H252" s="41"/>
      <c r="I252" s="41"/>
      <c r="J252" s="41">
        <v>1</v>
      </c>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3"/>
      <c r="AK252" s="41"/>
      <c r="AL252" s="43"/>
      <c r="AM252" s="43"/>
      <c r="AT252" s="43">
        <f t="shared" si="1"/>
        <v>1</v>
      </c>
    </row>
    <row r="253" spans="1:46" s="16" customFormat="1" x14ac:dyDescent="0.25">
      <c r="A253" s="16" t="s">
        <v>388</v>
      </c>
      <c r="B253" s="47" t="s">
        <v>80</v>
      </c>
      <c r="D253" s="41"/>
      <c r="E253" s="41"/>
      <c r="F253" s="41"/>
      <c r="G253" s="42"/>
      <c r="H253" s="41"/>
      <c r="I253" s="41"/>
      <c r="J253" s="41">
        <v>1</v>
      </c>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3"/>
      <c r="AK253" s="41"/>
      <c r="AL253" s="43"/>
      <c r="AM253" s="43"/>
      <c r="AT253" s="43">
        <f t="shared" si="1"/>
        <v>1</v>
      </c>
    </row>
    <row r="254" spans="1:46" s="16" customFormat="1" x14ac:dyDescent="0.25">
      <c r="A254" s="16" t="s">
        <v>389</v>
      </c>
      <c r="B254" s="47" t="s">
        <v>80</v>
      </c>
      <c r="D254" s="41"/>
      <c r="E254" s="41"/>
      <c r="F254" s="41"/>
      <c r="G254" s="42"/>
      <c r="H254" s="41"/>
      <c r="I254" s="41"/>
      <c r="J254" s="41">
        <v>1</v>
      </c>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3"/>
      <c r="AK254" s="41"/>
      <c r="AL254" s="43"/>
      <c r="AM254" s="43"/>
      <c r="AT254" s="43">
        <f t="shared" si="1"/>
        <v>1</v>
      </c>
    </row>
    <row r="255" spans="1:46" s="16" customFormat="1" x14ac:dyDescent="0.25">
      <c r="A255" s="16" t="s">
        <v>386</v>
      </c>
      <c r="B255" s="47" t="s">
        <v>80</v>
      </c>
      <c r="D255" s="41"/>
      <c r="E255" s="41"/>
      <c r="F255" s="41"/>
      <c r="G255" s="42"/>
      <c r="H255" s="41"/>
      <c r="I255" s="41"/>
      <c r="J255" s="41">
        <v>1</v>
      </c>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3"/>
      <c r="AK255" s="41"/>
      <c r="AL255" s="43"/>
      <c r="AM255" s="43"/>
      <c r="AT255" s="43">
        <f t="shared" si="1"/>
        <v>1</v>
      </c>
    </row>
    <row r="256" spans="1:46" s="16" customFormat="1" x14ac:dyDescent="0.25">
      <c r="A256" s="16" t="s">
        <v>390</v>
      </c>
      <c r="B256" s="47" t="s">
        <v>80</v>
      </c>
      <c r="D256" s="41"/>
      <c r="E256" s="41"/>
      <c r="F256" s="41"/>
      <c r="G256" s="42"/>
      <c r="H256" s="41"/>
      <c r="I256" s="41"/>
      <c r="J256" s="41">
        <v>1</v>
      </c>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3"/>
      <c r="AK256" s="41"/>
      <c r="AL256" s="43"/>
      <c r="AM256" s="43"/>
      <c r="AT256" s="43">
        <f t="shared" si="1"/>
        <v>1</v>
      </c>
    </row>
    <row r="257" spans="1:46" s="16" customFormat="1" x14ac:dyDescent="0.25">
      <c r="A257" s="16" t="s">
        <v>355</v>
      </c>
      <c r="B257" s="47" t="s">
        <v>80</v>
      </c>
      <c r="D257" s="41"/>
      <c r="E257" s="41"/>
      <c r="F257" s="41"/>
      <c r="G257" s="42"/>
      <c r="H257" s="41"/>
      <c r="I257" s="41"/>
      <c r="J257" s="41">
        <v>1</v>
      </c>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3"/>
      <c r="AK257" s="41"/>
      <c r="AL257" s="43"/>
      <c r="AM257" s="43"/>
      <c r="AT257" s="43">
        <f t="shared" si="1"/>
        <v>1</v>
      </c>
    </row>
    <row r="258" spans="1:46" s="16" customFormat="1" x14ac:dyDescent="0.25">
      <c r="A258" s="16" t="s">
        <v>385</v>
      </c>
      <c r="B258" s="47" t="s">
        <v>80</v>
      </c>
      <c r="D258" s="41"/>
      <c r="E258" s="41"/>
      <c r="F258" s="41"/>
      <c r="G258" s="42"/>
      <c r="H258" s="41"/>
      <c r="I258" s="41"/>
      <c r="J258" s="41">
        <v>1</v>
      </c>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3"/>
      <c r="AK258" s="41"/>
      <c r="AL258" s="43"/>
      <c r="AM258" s="43"/>
      <c r="AT258" s="43">
        <f t="shared" si="1"/>
        <v>1</v>
      </c>
    </row>
    <row r="259" spans="1:46" s="3" customFormat="1" x14ac:dyDescent="0.25">
      <c r="A259" s="35" t="s">
        <v>245</v>
      </c>
      <c r="B259" s="49"/>
      <c r="C259" s="24"/>
      <c r="G259" s="19"/>
      <c r="AJ259" s="24"/>
      <c r="AN259" s="24"/>
      <c r="AO259" s="24"/>
      <c r="AP259" s="24"/>
      <c r="AQ259" s="24"/>
      <c r="AR259" s="24"/>
      <c r="AS259" s="24"/>
      <c r="AT259" s="24"/>
    </row>
    <row r="260" spans="1:46" s="23" customFormat="1" x14ac:dyDescent="0.25">
      <c r="A260" s="45" t="s">
        <v>117</v>
      </c>
      <c r="B260" s="50"/>
      <c r="D260" s="41"/>
      <c r="E260" s="41"/>
      <c r="F260" s="41"/>
      <c r="G260" s="42"/>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3"/>
      <c r="AK260" s="41"/>
      <c r="AL260" s="43"/>
      <c r="AM260" s="43"/>
      <c r="AT260" s="43"/>
    </row>
    <row r="261" spans="1:46" s="16" customFormat="1" x14ac:dyDescent="0.25">
      <c r="A261" s="16" t="s">
        <v>356</v>
      </c>
      <c r="B261" s="47" t="s">
        <v>80</v>
      </c>
      <c r="D261" s="41"/>
      <c r="E261" s="41"/>
      <c r="F261" s="41"/>
      <c r="G261" s="42"/>
      <c r="H261" s="41"/>
      <c r="I261" s="41"/>
      <c r="J261" s="41"/>
      <c r="K261" s="41">
        <v>2</v>
      </c>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3"/>
      <c r="AK261" s="41"/>
      <c r="AL261" s="43"/>
      <c r="AM261" s="43"/>
      <c r="AT261" s="43">
        <f>SUM(C261:AS261)</f>
        <v>2</v>
      </c>
    </row>
    <row r="262" spans="1:46" s="16" customFormat="1" x14ac:dyDescent="0.25">
      <c r="A262" s="16" t="s">
        <v>354</v>
      </c>
      <c r="B262" s="47" t="s">
        <v>80</v>
      </c>
      <c r="D262" s="41"/>
      <c r="E262" s="41"/>
      <c r="F262" s="41"/>
      <c r="G262" s="42"/>
      <c r="H262" s="41"/>
      <c r="I262" s="41"/>
      <c r="J262" s="41"/>
      <c r="K262" s="41">
        <v>1</v>
      </c>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3"/>
      <c r="AK262" s="41"/>
      <c r="AL262" s="43"/>
      <c r="AM262" s="43"/>
      <c r="AT262" s="43">
        <f>SUM(C262:AS262)</f>
        <v>1</v>
      </c>
    </row>
    <row r="263" spans="1:46" s="3" customFormat="1" x14ac:dyDescent="0.25">
      <c r="A263" s="35" t="s">
        <v>246</v>
      </c>
      <c r="B263" s="49"/>
      <c r="C263" s="24"/>
      <c r="G263" s="19"/>
      <c r="AJ263" s="24"/>
      <c r="AN263" s="24"/>
      <c r="AO263" s="24"/>
      <c r="AP263" s="24"/>
      <c r="AQ263" s="24"/>
      <c r="AR263" s="24"/>
      <c r="AS263" s="24"/>
      <c r="AT263" s="24"/>
    </row>
    <row r="264" spans="1:46" s="4" customFormat="1" x14ac:dyDescent="0.25">
      <c r="A264" s="4" t="s">
        <v>132</v>
      </c>
      <c r="B264" s="57" t="s">
        <v>80</v>
      </c>
      <c r="D264" s="53"/>
      <c r="E264" s="53"/>
      <c r="F264" s="53"/>
      <c r="G264" s="54"/>
      <c r="H264" s="53"/>
      <c r="I264" s="53"/>
      <c r="J264" s="53"/>
      <c r="K264" s="53">
        <v>78</v>
      </c>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5"/>
      <c r="AK264" s="53"/>
      <c r="AL264" s="55"/>
      <c r="AM264" s="55"/>
      <c r="AT264" s="55">
        <f>SUM(C264:AS264)</f>
        <v>78</v>
      </c>
    </row>
    <row r="265" spans="1:46" s="16" customFormat="1" x14ac:dyDescent="0.25">
      <c r="A265" s="45" t="s">
        <v>117</v>
      </c>
      <c r="B265" s="47"/>
      <c r="D265" s="41"/>
      <c r="E265" s="41"/>
      <c r="F265" s="41"/>
      <c r="G265" s="42"/>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3"/>
      <c r="AK265" s="41"/>
      <c r="AL265" s="43"/>
      <c r="AM265" s="43"/>
      <c r="AT265" s="43"/>
    </row>
    <row r="266" spans="1:46" s="16" customFormat="1" x14ac:dyDescent="0.25">
      <c r="A266" s="16" t="s">
        <v>355</v>
      </c>
      <c r="B266" s="47" t="s">
        <v>80</v>
      </c>
      <c r="D266" s="41"/>
      <c r="E266" s="41"/>
      <c r="F266" s="41"/>
      <c r="G266" s="42"/>
      <c r="H266" s="41"/>
      <c r="I266" s="41"/>
      <c r="J266" s="41"/>
      <c r="K266" s="41">
        <v>2</v>
      </c>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3"/>
      <c r="AK266" s="41"/>
      <c r="AL266" s="43"/>
      <c r="AM266" s="43"/>
      <c r="AT266" s="43">
        <f>SUM(C266:AS266)</f>
        <v>2</v>
      </c>
    </row>
    <row r="267" spans="1:46" s="3" customFormat="1" x14ac:dyDescent="0.25">
      <c r="A267" s="35" t="s">
        <v>247</v>
      </c>
      <c r="B267" s="49"/>
      <c r="C267" s="24"/>
      <c r="G267" s="19"/>
      <c r="AJ267" s="24"/>
      <c r="AN267" s="24"/>
      <c r="AO267" s="24"/>
      <c r="AP267" s="24"/>
      <c r="AQ267" s="24"/>
      <c r="AR267" s="24"/>
      <c r="AS267" s="24"/>
      <c r="AT267" s="24"/>
    </row>
    <row r="268" spans="1:46" s="4" customFormat="1" x14ac:dyDescent="0.25">
      <c r="A268" s="4" t="s">
        <v>250</v>
      </c>
      <c r="B268" s="57" t="s">
        <v>80</v>
      </c>
      <c r="D268" s="53"/>
      <c r="E268" s="53"/>
      <c r="F268" s="53"/>
      <c r="G268" s="54"/>
      <c r="H268" s="53"/>
      <c r="I268" s="53"/>
      <c r="J268" s="53"/>
      <c r="K268" s="53"/>
      <c r="L268" s="53">
        <v>23</v>
      </c>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5"/>
      <c r="AK268" s="53"/>
      <c r="AL268" s="55"/>
      <c r="AM268" s="55"/>
      <c r="AT268" s="55">
        <f>SUM(C268:AS268)</f>
        <v>23</v>
      </c>
    </row>
    <row r="269" spans="1:46" s="16" customFormat="1" x14ac:dyDescent="0.25">
      <c r="A269" s="45" t="s">
        <v>117</v>
      </c>
      <c r="B269" s="47"/>
      <c r="D269" s="41"/>
      <c r="E269" s="41"/>
      <c r="F269" s="41"/>
      <c r="G269" s="42"/>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3"/>
      <c r="AK269" s="41"/>
      <c r="AL269" s="43"/>
      <c r="AM269" s="43"/>
      <c r="AT269" s="43"/>
    </row>
    <row r="270" spans="1:46" s="16" customFormat="1" x14ac:dyDescent="0.25">
      <c r="B270" s="47"/>
      <c r="D270" s="41"/>
      <c r="E270" s="41"/>
      <c r="F270" s="41"/>
      <c r="G270" s="42"/>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3"/>
      <c r="AK270" s="41"/>
      <c r="AL270" s="43"/>
      <c r="AM270" s="43"/>
      <c r="AT270" s="43">
        <f>SUM(C270:AS270)</f>
        <v>0</v>
      </c>
    </row>
    <row r="271" spans="1:46" s="3" customFormat="1" x14ac:dyDescent="0.25">
      <c r="A271" s="35" t="s">
        <v>248</v>
      </c>
      <c r="B271" s="49"/>
      <c r="C271" s="24"/>
      <c r="G271" s="19"/>
      <c r="AJ271" s="24"/>
      <c r="AN271" s="24"/>
      <c r="AO271" s="24"/>
      <c r="AP271" s="24"/>
      <c r="AQ271" s="24"/>
      <c r="AR271" s="24"/>
      <c r="AS271" s="24"/>
      <c r="AT271" s="24"/>
    </row>
    <row r="272" spans="1:46" s="4" customFormat="1" x14ac:dyDescent="0.25">
      <c r="A272" s="4" t="s">
        <v>251</v>
      </c>
      <c r="B272" s="57" t="s">
        <v>80</v>
      </c>
      <c r="D272" s="53"/>
      <c r="E272" s="53"/>
      <c r="F272" s="53"/>
      <c r="G272" s="54"/>
      <c r="H272" s="53"/>
      <c r="I272" s="53"/>
      <c r="J272" s="53"/>
      <c r="K272" s="53"/>
      <c r="L272" s="53">
        <v>23</v>
      </c>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5"/>
      <c r="AK272" s="53"/>
      <c r="AL272" s="55"/>
      <c r="AM272" s="55"/>
      <c r="AT272" s="55">
        <f>SUM(C272:AS272)</f>
        <v>23</v>
      </c>
    </row>
    <row r="273" spans="1:46" s="16" customFormat="1" x14ac:dyDescent="0.25">
      <c r="A273" s="45" t="s">
        <v>117</v>
      </c>
      <c r="B273" s="47"/>
      <c r="D273" s="41"/>
      <c r="E273" s="41"/>
      <c r="F273" s="41"/>
      <c r="G273" s="42"/>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3"/>
      <c r="AK273" s="41"/>
      <c r="AL273" s="43"/>
      <c r="AM273" s="43"/>
      <c r="AT273" s="43"/>
    </row>
    <row r="274" spans="1:46" s="16" customFormat="1" x14ac:dyDescent="0.25">
      <c r="B274" s="47"/>
      <c r="D274" s="41"/>
      <c r="E274" s="41"/>
      <c r="F274" s="41"/>
      <c r="G274" s="42"/>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3"/>
      <c r="AK274" s="41"/>
      <c r="AL274" s="43"/>
      <c r="AM274" s="43"/>
      <c r="AT274" s="43">
        <f>SUM(C274:AS274)</f>
        <v>0</v>
      </c>
    </row>
    <row r="275" spans="1:46" s="3" customFormat="1" x14ac:dyDescent="0.25">
      <c r="A275" s="35" t="s">
        <v>249</v>
      </c>
      <c r="B275" s="49"/>
      <c r="C275" s="24"/>
      <c r="G275" s="19"/>
      <c r="AJ275" s="24"/>
      <c r="AN275" s="24"/>
      <c r="AO275" s="24"/>
      <c r="AP275" s="24"/>
      <c r="AQ275" s="24"/>
      <c r="AR275" s="24"/>
      <c r="AS275" s="24"/>
      <c r="AT275" s="24"/>
    </row>
    <row r="276" spans="1:46" s="23" customFormat="1" x14ac:dyDescent="0.25">
      <c r="A276" s="45" t="s">
        <v>117</v>
      </c>
      <c r="B276" s="50"/>
      <c r="D276" s="41"/>
      <c r="E276" s="41"/>
      <c r="F276" s="41"/>
      <c r="G276" s="42"/>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3"/>
      <c r="AK276" s="41"/>
      <c r="AL276" s="43"/>
      <c r="AM276" s="43"/>
      <c r="AT276" s="43"/>
    </row>
    <row r="277" spans="1:46" s="16" customFormat="1" x14ac:dyDescent="0.25">
      <c r="B277" s="47"/>
      <c r="D277" s="41"/>
      <c r="E277" s="41"/>
      <c r="F277" s="41"/>
      <c r="G277" s="42"/>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3"/>
      <c r="AK277" s="41"/>
      <c r="AL277" s="43"/>
      <c r="AM277" s="43"/>
      <c r="AT277" s="43">
        <f>SUM(C277:AS277)</f>
        <v>0</v>
      </c>
    </row>
    <row r="278" spans="1:46" s="16" customFormat="1" x14ac:dyDescent="0.25">
      <c r="B278" s="47"/>
      <c r="D278" s="41"/>
      <c r="E278" s="41"/>
      <c r="F278" s="41"/>
      <c r="G278" s="42"/>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3"/>
      <c r="AK278" s="41"/>
      <c r="AL278" s="43"/>
      <c r="AM278" s="43"/>
      <c r="AT278" s="43">
        <f>SUM(C278:AS278)</f>
        <v>0</v>
      </c>
    </row>
    <row r="279" spans="1:46" s="3" customFormat="1" x14ac:dyDescent="0.25">
      <c r="A279" s="35" t="s">
        <v>252</v>
      </c>
      <c r="B279" s="49"/>
      <c r="C279" s="24"/>
      <c r="G279" s="19"/>
      <c r="AJ279" s="24"/>
      <c r="AN279" s="24"/>
      <c r="AO279" s="24"/>
      <c r="AP279" s="24"/>
      <c r="AQ279" s="24"/>
      <c r="AR279" s="24"/>
      <c r="AS279" s="24"/>
      <c r="AT279" s="24"/>
    </row>
    <row r="280" spans="1:46" s="23" customFormat="1" x14ac:dyDescent="0.25">
      <c r="A280" s="45" t="s">
        <v>117</v>
      </c>
      <c r="B280" s="50"/>
      <c r="D280" s="41"/>
      <c r="E280" s="41"/>
      <c r="F280" s="41"/>
      <c r="G280" s="42"/>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3"/>
      <c r="AK280" s="41"/>
      <c r="AL280" s="43"/>
      <c r="AM280" s="43"/>
      <c r="AT280" s="43"/>
    </row>
    <row r="281" spans="1:46" s="16" customFormat="1" x14ac:dyDescent="0.25">
      <c r="B281" s="47"/>
      <c r="D281" s="41"/>
      <c r="E281" s="41"/>
      <c r="F281" s="41"/>
      <c r="G281" s="42"/>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3"/>
      <c r="AK281" s="41"/>
      <c r="AL281" s="43"/>
      <c r="AM281" s="43"/>
      <c r="AT281" s="43">
        <f>SUM(C281:AS281)</f>
        <v>0</v>
      </c>
    </row>
    <row r="282" spans="1:46" s="16" customFormat="1" x14ac:dyDescent="0.25">
      <c r="B282" s="47"/>
      <c r="D282" s="41"/>
      <c r="E282" s="41"/>
      <c r="F282" s="41"/>
      <c r="G282" s="42"/>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3"/>
      <c r="AK282" s="41"/>
      <c r="AL282" s="43"/>
      <c r="AM282" s="43"/>
      <c r="AT282" s="43">
        <f>SUM(C282:AS282)</f>
        <v>0</v>
      </c>
    </row>
    <row r="283" spans="1:46" s="3" customFormat="1" x14ac:dyDescent="0.25">
      <c r="A283" s="35" t="s">
        <v>253</v>
      </c>
      <c r="B283" s="49"/>
      <c r="C283" s="24"/>
      <c r="G283" s="19"/>
      <c r="AJ283" s="24"/>
      <c r="AN283" s="24"/>
      <c r="AO283" s="24"/>
      <c r="AP283" s="24"/>
      <c r="AQ283" s="24"/>
      <c r="AR283" s="24"/>
      <c r="AS283" s="24"/>
      <c r="AT283" s="24"/>
    </row>
    <row r="284" spans="1:46" s="23" customFormat="1" x14ac:dyDescent="0.25">
      <c r="A284" s="45" t="s">
        <v>117</v>
      </c>
      <c r="B284" s="50"/>
      <c r="D284" s="41"/>
      <c r="E284" s="41"/>
      <c r="F284" s="41"/>
      <c r="G284" s="42"/>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3"/>
      <c r="AK284" s="41"/>
      <c r="AL284" s="43"/>
      <c r="AM284" s="43"/>
      <c r="AT284" s="43"/>
    </row>
    <row r="285" spans="1:46" s="16" customFormat="1" x14ac:dyDescent="0.25">
      <c r="B285" s="47"/>
      <c r="D285" s="41"/>
      <c r="E285" s="41"/>
      <c r="F285" s="41"/>
      <c r="G285" s="42"/>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3"/>
      <c r="AK285" s="41"/>
      <c r="AL285" s="43"/>
      <c r="AM285" s="43"/>
      <c r="AT285" s="43">
        <f>SUM(C285:AS285)</f>
        <v>0</v>
      </c>
    </row>
    <row r="286" spans="1:46" s="16" customFormat="1" x14ac:dyDescent="0.25">
      <c r="B286" s="47"/>
      <c r="D286" s="41"/>
      <c r="E286" s="41"/>
      <c r="F286" s="41"/>
      <c r="G286" s="42"/>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3"/>
      <c r="AK286" s="41"/>
      <c r="AL286" s="43"/>
      <c r="AM286" s="43"/>
      <c r="AT286" s="43">
        <f>SUM(C286:AS286)</f>
        <v>0</v>
      </c>
    </row>
    <row r="287" spans="1:46" s="3" customFormat="1" x14ac:dyDescent="0.25">
      <c r="A287" s="35" t="s">
        <v>254</v>
      </c>
      <c r="B287" s="49"/>
      <c r="C287" s="24"/>
      <c r="G287" s="19"/>
      <c r="AJ287" s="24"/>
      <c r="AN287" s="24"/>
      <c r="AO287" s="24"/>
      <c r="AP287" s="24"/>
      <c r="AQ287" s="24"/>
      <c r="AR287" s="24"/>
      <c r="AS287" s="24"/>
      <c r="AT287" s="24"/>
    </row>
    <row r="288" spans="1:46" s="23" customFormat="1" x14ac:dyDescent="0.25">
      <c r="A288" s="45" t="s">
        <v>117</v>
      </c>
      <c r="B288" s="50"/>
      <c r="D288" s="41"/>
      <c r="E288" s="41"/>
      <c r="F288" s="41"/>
      <c r="G288" s="42"/>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3"/>
      <c r="AK288" s="41"/>
      <c r="AL288" s="43"/>
      <c r="AM288" s="43"/>
      <c r="AT288" s="43"/>
    </row>
    <row r="289" spans="1:46" s="16" customFormat="1" x14ac:dyDescent="0.25">
      <c r="B289" s="47"/>
      <c r="D289" s="41"/>
      <c r="E289" s="41"/>
      <c r="F289" s="41"/>
      <c r="G289" s="42"/>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3"/>
      <c r="AK289" s="41"/>
      <c r="AL289" s="43"/>
      <c r="AM289" s="43"/>
      <c r="AT289" s="43">
        <f>SUM(C289:AS289)</f>
        <v>0</v>
      </c>
    </row>
    <row r="290" spans="1:46" s="16" customFormat="1" x14ac:dyDescent="0.25">
      <c r="B290" s="47"/>
      <c r="D290" s="41"/>
      <c r="E290" s="41"/>
      <c r="F290" s="41"/>
      <c r="G290" s="42"/>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3"/>
      <c r="AK290" s="41"/>
      <c r="AL290" s="43"/>
      <c r="AM290" s="43"/>
      <c r="AT290" s="43">
        <f>SUM(C290:AS290)</f>
        <v>0</v>
      </c>
    </row>
    <row r="291" spans="1:46" s="3" customFormat="1" x14ac:dyDescent="0.25">
      <c r="A291" s="35" t="s">
        <v>255</v>
      </c>
      <c r="B291" s="49"/>
      <c r="C291" s="24"/>
      <c r="G291" s="19"/>
      <c r="AJ291" s="24"/>
      <c r="AN291" s="24"/>
      <c r="AO291" s="24"/>
      <c r="AP291" s="24"/>
      <c r="AQ291" s="24"/>
      <c r="AR291" s="24"/>
      <c r="AS291" s="24"/>
      <c r="AT291" s="24"/>
    </row>
    <row r="292" spans="1:46" s="23" customFormat="1" x14ac:dyDescent="0.25">
      <c r="A292" s="45" t="s">
        <v>117</v>
      </c>
      <c r="B292" s="50"/>
      <c r="D292" s="41"/>
      <c r="E292" s="41"/>
      <c r="F292" s="41"/>
      <c r="G292" s="42"/>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3"/>
      <c r="AK292" s="41"/>
      <c r="AL292" s="43"/>
      <c r="AM292" s="43"/>
      <c r="AT292" s="43"/>
    </row>
    <row r="293" spans="1:46" s="16" customFormat="1" x14ac:dyDescent="0.25">
      <c r="B293" s="47"/>
      <c r="D293" s="41"/>
      <c r="E293" s="41"/>
      <c r="F293" s="41"/>
      <c r="G293" s="42"/>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3"/>
      <c r="AK293" s="41"/>
      <c r="AL293" s="43"/>
      <c r="AM293" s="43"/>
      <c r="AT293" s="43">
        <f>SUM(C293:AS293)</f>
        <v>0</v>
      </c>
    </row>
    <row r="294" spans="1:46" s="16" customFormat="1" x14ac:dyDescent="0.25">
      <c r="B294" s="47"/>
      <c r="D294" s="41"/>
      <c r="E294" s="41"/>
      <c r="F294" s="41"/>
      <c r="G294" s="42"/>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3"/>
      <c r="AK294" s="41"/>
      <c r="AL294" s="43"/>
      <c r="AM294" s="43"/>
      <c r="AT294" s="43">
        <f>SUM(C294:AS294)</f>
        <v>0</v>
      </c>
    </row>
    <row r="295" spans="1:46" s="3" customFormat="1" x14ac:dyDescent="0.25">
      <c r="A295" s="35" t="s">
        <v>256</v>
      </c>
      <c r="B295" s="49"/>
      <c r="C295" s="24"/>
      <c r="G295" s="19"/>
      <c r="AJ295" s="24"/>
      <c r="AN295" s="24"/>
      <c r="AO295" s="24"/>
      <c r="AP295" s="24"/>
      <c r="AQ295" s="24"/>
      <c r="AR295" s="24"/>
      <c r="AS295" s="24"/>
      <c r="AT295" s="24"/>
    </row>
    <row r="296" spans="1:46" s="23" customFormat="1" x14ac:dyDescent="0.25">
      <c r="A296" s="45" t="s">
        <v>117</v>
      </c>
      <c r="B296" s="50"/>
      <c r="D296" s="41"/>
      <c r="E296" s="41"/>
      <c r="F296" s="41"/>
      <c r="G296" s="42"/>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3"/>
      <c r="AK296" s="41"/>
      <c r="AL296" s="43"/>
      <c r="AM296" s="43"/>
      <c r="AT296" s="43"/>
    </row>
    <row r="297" spans="1:46" s="16" customFormat="1" x14ac:dyDescent="0.25">
      <c r="B297" s="47"/>
      <c r="D297" s="41"/>
      <c r="E297" s="41"/>
      <c r="F297" s="41"/>
      <c r="G297" s="42"/>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3"/>
      <c r="AK297" s="41"/>
      <c r="AL297" s="43"/>
      <c r="AM297" s="43"/>
      <c r="AT297" s="43">
        <f>SUM(C297:AS297)</f>
        <v>0</v>
      </c>
    </row>
    <row r="298" spans="1:46" s="16" customFormat="1" x14ac:dyDescent="0.25">
      <c r="B298" s="47"/>
      <c r="D298" s="41"/>
      <c r="E298" s="41"/>
      <c r="F298" s="41"/>
      <c r="G298" s="42"/>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3"/>
      <c r="AK298" s="41"/>
      <c r="AL298" s="43"/>
      <c r="AM298" s="43"/>
      <c r="AT298" s="43">
        <f>SUM(C298:AS298)</f>
        <v>0</v>
      </c>
    </row>
    <row r="299" spans="1:46" s="3" customFormat="1" x14ac:dyDescent="0.25">
      <c r="A299" s="35" t="s">
        <v>257</v>
      </c>
      <c r="B299" s="49"/>
      <c r="C299" s="24"/>
      <c r="G299" s="19"/>
      <c r="AJ299" s="24"/>
      <c r="AN299" s="24"/>
      <c r="AO299" s="24"/>
      <c r="AP299" s="24"/>
      <c r="AQ299" s="24"/>
      <c r="AR299" s="24"/>
      <c r="AS299" s="24"/>
      <c r="AT299" s="24"/>
    </row>
    <row r="300" spans="1:46" s="23" customFormat="1" x14ac:dyDescent="0.25">
      <c r="A300" s="45" t="s">
        <v>117</v>
      </c>
      <c r="B300" s="50"/>
      <c r="D300" s="41"/>
      <c r="E300" s="41"/>
      <c r="F300" s="41"/>
      <c r="G300" s="42"/>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3"/>
      <c r="AK300" s="41"/>
      <c r="AL300" s="43"/>
      <c r="AM300" s="43"/>
      <c r="AT300" s="43"/>
    </row>
    <row r="301" spans="1:46" s="16" customFormat="1" x14ac:dyDescent="0.25">
      <c r="B301" s="47"/>
      <c r="D301" s="41"/>
      <c r="E301" s="41"/>
      <c r="F301" s="41"/>
      <c r="G301" s="42"/>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3"/>
      <c r="AK301" s="41"/>
      <c r="AL301" s="43"/>
      <c r="AM301" s="43"/>
      <c r="AT301" s="43">
        <f>SUM(C301:AS301)</f>
        <v>0</v>
      </c>
    </row>
    <row r="302" spans="1:46" s="16" customFormat="1" x14ac:dyDescent="0.25">
      <c r="B302" s="47"/>
      <c r="D302" s="41"/>
      <c r="E302" s="41"/>
      <c r="F302" s="41"/>
      <c r="G302" s="42"/>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3"/>
      <c r="AK302" s="41"/>
      <c r="AL302" s="43"/>
      <c r="AM302" s="43"/>
      <c r="AT302" s="43">
        <f>SUM(C302:AS302)</f>
        <v>0</v>
      </c>
    </row>
    <row r="303" spans="1:46" s="3" customFormat="1" x14ac:dyDescent="0.25">
      <c r="A303" s="35" t="s">
        <v>258</v>
      </c>
      <c r="B303" s="49"/>
      <c r="C303" s="24"/>
      <c r="G303" s="19"/>
      <c r="AJ303" s="24"/>
      <c r="AN303" s="24"/>
      <c r="AO303" s="24"/>
      <c r="AP303" s="24"/>
      <c r="AQ303" s="24"/>
      <c r="AR303" s="24"/>
      <c r="AS303" s="24"/>
      <c r="AT303" s="24"/>
    </row>
    <row r="304" spans="1:46" s="23" customFormat="1" x14ac:dyDescent="0.25">
      <c r="A304" s="45" t="s">
        <v>117</v>
      </c>
      <c r="B304" s="50"/>
      <c r="D304" s="41"/>
      <c r="E304" s="41"/>
      <c r="F304" s="41"/>
      <c r="G304" s="42"/>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3"/>
      <c r="AK304" s="41"/>
      <c r="AL304" s="43"/>
      <c r="AM304" s="43"/>
      <c r="AT304" s="43"/>
    </row>
    <row r="305" spans="1:46" s="16" customFormat="1" x14ac:dyDescent="0.25">
      <c r="B305" s="47"/>
      <c r="D305" s="41"/>
      <c r="E305" s="41"/>
      <c r="F305" s="41"/>
      <c r="G305" s="42"/>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3"/>
      <c r="AK305" s="41"/>
      <c r="AL305" s="43"/>
      <c r="AM305" s="43"/>
      <c r="AT305" s="43">
        <f>SUM(C305:AS305)</f>
        <v>0</v>
      </c>
    </row>
    <row r="306" spans="1:46" s="16" customFormat="1" x14ac:dyDescent="0.25">
      <c r="B306" s="47"/>
      <c r="D306" s="41"/>
      <c r="E306" s="41"/>
      <c r="F306" s="41"/>
      <c r="G306" s="42"/>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3"/>
      <c r="AK306" s="41"/>
      <c r="AL306" s="43"/>
      <c r="AM306" s="43"/>
      <c r="AT306" s="43">
        <f>SUM(C306:AS306)</f>
        <v>0</v>
      </c>
    </row>
    <row r="307" spans="1:46" s="3" customFormat="1" x14ac:dyDescent="0.25">
      <c r="A307" s="35" t="s">
        <v>259</v>
      </c>
      <c r="B307" s="49"/>
      <c r="C307" s="24"/>
      <c r="G307" s="19"/>
      <c r="AJ307" s="24"/>
      <c r="AN307" s="24"/>
      <c r="AO307" s="24"/>
      <c r="AP307" s="24"/>
      <c r="AQ307" s="24"/>
      <c r="AR307" s="24"/>
      <c r="AS307" s="24"/>
      <c r="AT307" s="24"/>
    </row>
    <row r="308" spans="1:46" s="23" customFormat="1" x14ac:dyDescent="0.25">
      <c r="A308" s="45" t="s">
        <v>117</v>
      </c>
      <c r="B308" s="50"/>
      <c r="D308" s="41"/>
      <c r="E308" s="41"/>
      <c r="F308" s="41"/>
      <c r="G308" s="42"/>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3"/>
      <c r="AK308" s="41"/>
      <c r="AL308" s="43"/>
      <c r="AM308" s="43"/>
      <c r="AT308" s="43"/>
    </row>
    <row r="309" spans="1:46" s="16" customFormat="1" x14ac:dyDescent="0.25">
      <c r="B309" s="47"/>
      <c r="D309" s="41"/>
      <c r="E309" s="41"/>
      <c r="F309" s="41"/>
      <c r="G309" s="42"/>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3"/>
      <c r="AK309" s="41"/>
      <c r="AL309" s="43"/>
      <c r="AM309" s="43"/>
      <c r="AT309" s="43">
        <f>SUM(C309:AS309)</f>
        <v>0</v>
      </c>
    </row>
    <row r="310" spans="1:46" s="16" customFormat="1" x14ac:dyDescent="0.25">
      <c r="B310" s="47"/>
      <c r="D310" s="41"/>
      <c r="E310" s="41"/>
      <c r="F310" s="41"/>
      <c r="G310" s="42"/>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3"/>
      <c r="AK310" s="41"/>
      <c r="AL310" s="43"/>
      <c r="AM310" s="43"/>
      <c r="AT310" s="43">
        <f>SUM(C310:AS310)</f>
        <v>0</v>
      </c>
    </row>
    <row r="311" spans="1:46" s="3" customFormat="1" x14ac:dyDescent="0.25">
      <c r="A311" s="35" t="s">
        <v>260</v>
      </c>
      <c r="B311" s="49"/>
      <c r="C311" s="24"/>
      <c r="G311" s="19"/>
      <c r="AJ311" s="24"/>
      <c r="AN311" s="24"/>
      <c r="AO311" s="24"/>
      <c r="AP311" s="24"/>
      <c r="AQ311" s="24"/>
      <c r="AR311" s="24"/>
      <c r="AS311" s="24"/>
      <c r="AT311" s="24"/>
    </row>
    <row r="312" spans="1:46" s="23" customFormat="1" x14ac:dyDescent="0.25">
      <c r="A312" s="45" t="s">
        <v>117</v>
      </c>
      <c r="B312" s="50"/>
      <c r="D312" s="41"/>
      <c r="E312" s="41"/>
      <c r="F312" s="41"/>
      <c r="G312" s="42"/>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3"/>
      <c r="AK312" s="41"/>
      <c r="AL312" s="43"/>
      <c r="AM312" s="43"/>
      <c r="AT312" s="43"/>
    </row>
    <row r="313" spans="1:46" s="16" customFormat="1" x14ac:dyDescent="0.25">
      <c r="B313" s="47"/>
      <c r="D313" s="41"/>
      <c r="E313" s="41"/>
      <c r="F313" s="41"/>
      <c r="G313" s="42"/>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3"/>
      <c r="AK313" s="41"/>
      <c r="AL313" s="43"/>
      <c r="AM313" s="43"/>
      <c r="AT313" s="43">
        <f>SUM(C313:AS313)</f>
        <v>0</v>
      </c>
    </row>
    <row r="314" spans="1:46" s="16" customFormat="1" x14ac:dyDescent="0.25">
      <c r="B314" s="47"/>
      <c r="D314" s="41"/>
      <c r="E314" s="41"/>
      <c r="F314" s="41"/>
      <c r="G314" s="42"/>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3"/>
      <c r="AK314" s="41"/>
      <c r="AL314" s="43"/>
      <c r="AM314" s="43"/>
      <c r="AT314" s="43">
        <f>SUM(C314:AS314)</f>
        <v>0</v>
      </c>
    </row>
    <row r="315" spans="1:46" s="3" customFormat="1" x14ac:dyDescent="0.25">
      <c r="A315" s="35" t="s">
        <v>261</v>
      </c>
      <c r="B315" s="49"/>
      <c r="C315" s="24"/>
      <c r="G315" s="19"/>
      <c r="AJ315" s="24"/>
      <c r="AN315" s="24"/>
      <c r="AO315" s="24"/>
      <c r="AP315" s="24"/>
      <c r="AQ315" s="24"/>
      <c r="AR315" s="24"/>
      <c r="AS315" s="24"/>
      <c r="AT315" s="24"/>
    </row>
    <row r="316" spans="1:46" s="23" customFormat="1" x14ac:dyDescent="0.25">
      <c r="A316" s="45" t="s">
        <v>117</v>
      </c>
      <c r="B316" s="50"/>
      <c r="D316" s="41"/>
      <c r="E316" s="41"/>
      <c r="F316" s="41"/>
      <c r="G316" s="42"/>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3"/>
      <c r="AK316" s="41"/>
      <c r="AL316" s="43"/>
      <c r="AM316" s="43"/>
      <c r="AT316" s="43"/>
    </row>
    <row r="317" spans="1:46" s="16" customFormat="1" x14ac:dyDescent="0.25">
      <c r="B317" s="47"/>
      <c r="D317" s="41"/>
      <c r="E317" s="41"/>
      <c r="F317" s="41"/>
      <c r="G317" s="42"/>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3"/>
      <c r="AK317" s="41"/>
      <c r="AL317" s="43"/>
      <c r="AM317" s="43"/>
      <c r="AT317" s="43">
        <f>SUM(C317:AS317)</f>
        <v>0</v>
      </c>
    </row>
    <row r="318" spans="1:46" s="16" customFormat="1" x14ac:dyDescent="0.25">
      <c r="B318" s="47"/>
      <c r="D318" s="41"/>
      <c r="E318" s="41"/>
      <c r="F318" s="41"/>
      <c r="G318" s="42"/>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3"/>
      <c r="AK318" s="41"/>
      <c r="AL318" s="43"/>
      <c r="AM318" s="43"/>
      <c r="AT318" s="43">
        <f>SUM(C318:AS318)</f>
        <v>0</v>
      </c>
    </row>
    <row r="319" spans="1:46" s="3" customFormat="1" x14ac:dyDescent="0.25">
      <c r="A319" s="35" t="s">
        <v>262</v>
      </c>
      <c r="B319" s="49"/>
      <c r="C319" s="24"/>
      <c r="G319" s="19"/>
      <c r="AJ319" s="24"/>
      <c r="AN319" s="24"/>
      <c r="AO319" s="24"/>
      <c r="AP319" s="24"/>
      <c r="AQ319" s="24"/>
      <c r="AR319" s="24"/>
      <c r="AS319" s="24"/>
      <c r="AT319" s="24"/>
    </row>
    <row r="320" spans="1:46" s="23" customFormat="1" x14ac:dyDescent="0.25">
      <c r="A320" s="45" t="s">
        <v>117</v>
      </c>
      <c r="B320" s="50"/>
      <c r="D320" s="41"/>
      <c r="E320" s="41"/>
      <c r="F320" s="41"/>
      <c r="G320" s="42"/>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3"/>
      <c r="AK320" s="41"/>
      <c r="AL320" s="43"/>
      <c r="AM320" s="43"/>
      <c r="AT320" s="43"/>
    </row>
    <row r="321" spans="1:46" s="16" customFormat="1" x14ac:dyDescent="0.25">
      <c r="B321" s="47"/>
      <c r="D321" s="41"/>
      <c r="E321" s="41"/>
      <c r="F321" s="41"/>
      <c r="G321" s="42"/>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3"/>
      <c r="AK321" s="41"/>
      <c r="AL321" s="43"/>
      <c r="AM321" s="43"/>
      <c r="AT321" s="43">
        <f>SUM(C321:AS321)</f>
        <v>0</v>
      </c>
    </row>
    <row r="322" spans="1:46" s="16" customFormat="1" x14ac:dyDescent="0.25">
      <c r="B322" s="47"/>
      <c r="D322" s="41"/>
      <c r="E322" s="41"/>
      <c r="F322" s="41"/>
      <c r="G322" s="42"/>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3"/>
      <c r="AK322" s="41"/>
      <c r="AL322" s="43"/>
      <c r="AM322" s="43"/>
      <c r="AT322" s="43">
        <f>SUM(C322:AS322)</f>
        <v>0</v>
      </c>
    </row>
    <row r="323" spans="1:46" s="3" customFormat="1" x14ac:dyDescent="0.25">
      <c r="A323" s="35" t="s">
        <v>263</v>
      </c>
      <c r="B323" s="49"/>
      <c r="C323" s="24"/>
      <c r="G323" s="19"/>
      <c r="AJ323" s="24"/>
      <c r="AN323" s="24"/>
      <c r="AO323" s="24"/>
      <c r="AP323" s="24"/>
      <c r="AQ323" s="24"/>
      <c r="AR323" s="24"/>
      <c r="AS323" s="24"/>
      <c r="AT323" s="24"/>
    </row>
    <row r="324" spans="1:46" s="23" customFormat="1" x14ac:dyDescent="0.25">
      <c r="A324" s="45" t="s">
        <v>117</v>
      </c>
      <c r="B324" s="50"/>
      <c r="D324" s="41"/>
      <c r="E324" s="41"/>
      <c r="F324" s="41"/>
      <c r="G324" s="42"/>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3"/>
      <c r="AK324" s="41"/>
      <c r="AL324" s="43"/>
      <c r="AM324" s="43"/>
      <c r="AT324" s="43"/>
    </row>
    <row r="325" spans="1:46" s="16" customFormat="1" x14ac:dyDescent="0.25">
      <c r="B325" s="47"/>
      <c r="D325" s="41"/>
      <c r="E325" s="41"/>
      <c r="F325" s="41"/>
      <c r="G325" s="42"/>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3"/>
      <c r="AK325" s="41"/>
      <c r="AL325" s="43"/>
      <c r="AM325" s="43"/>
      <c r="AT325" s="43">
        <f>SUM(C325:AS325)</f>
        <v>0</v>
      </c>
    </row>
    <row r="326" spans="1:46" s="16" customFormat="1" x14ac:dyDescent="0.25">
      <c r="B326" s="47"/>
      <c r="D326" s="41"/>
      <c r="E326" s="41"/>
      <c r="F326" s="41"/>
      <c r="G326" s="42"/>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3"/>
      <c r="AK326" s="41"/>
      <c r="AL326" s="43"/>
      <c r="AM326" s="43"/>
      <c r="AT326" s="43">
        <f>SUM(C326:AS326)</f>
        <v>0</v>
      </c>
    </row>
    <row r="327" spans="1:46" s="3" customFormat="1" x14ac:dyDescent="0.25">
      <c r="A327" s="35" t="s">
        <v>264</v>
      </c>
      <c r="B327" s="49"/>
      <c r="C327" s="24"/>
      <c r="G327" s="19"/>
      <c r="AJ327" s="24"/>
      <c r="AN327" s="24"/>
      <c r="AO327" s="24"/>
      <c r="AP327" s="24"/>
      <c r="AQ327" s="24"/>
      <c r="AR327" s="24"/>
      <c r="AS327" s="24"/>
      <c r="AT327" s="24"/>
    </row>
    <row r="328" spans="1:46" s="23" customFormat="1" x14ac:dyDescent="0.25">
      <c r="A328" s="45" t="s">
        <v>117</v>
      </c>
      <c r="B328" s="50"/>
      <c r="D328" s="41"/>
      <c r="E328" s="41"/>
      <c r="F328" s="41"/>
      <c r="G328" s="42"/>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3"/>
      <c r="AK328" s="41"/>
      <c r="AL328" s="43"/>
      <c r="AM328" s="43"/>
      <c r="AT328" s="43"/>
    </row>
    <row r="329" spans="1:46" s="16" customFormat="1" x14ac:dyDescent="0.25">
      <c r="B329" s="47"/>
      <c r="D329" s="41"/>
      <c r="E329" s="41"/>
      <c r="F329" s="41"/>
      <c r="G329" s="42"/>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3"/>
      <c r="AK329" s="41"/>
      <c r="AL329" s="43"/>
      <c r="AM329" s="43"/>
      <c r="AT329" s="43">
        <f>SUM(C329:AS329)</f>
        <v>0</v>
      </c>
    </row>
    <row r="330" spans="1:46" s="16" customFormat="1" x14ac:dyDescent="0.25">
      <c r="B330" s="47"/>
      <c r="D330" s="41"/>
      <c r="E330" s="41"/>
      <c r="F330" s="41"/>
      <c r="G330" s="42"/>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3"/>
      <c r="AK330" s="41"/>
      <c r="AL330" s="43"/>
      <c r="AM330" s="43"/>
      <c r="AT330" s="43">
        <f>SUM(C330:AS330)</f>
        <v>0</v>
      </c>
    </row>
    <row r="331" spans="1:46" s="3" customFormat="1" x14ac:dyDescent="0.25">
      <c r="A331" s="35" t="s">
        <v>265</v>
      </c>
      <c r="B331" s="49"/>
      <c r="C331" s="24"/>
      <c r="G331" s="19"/>
      <c r="AJ331" s="24"/>
      <c r="AN331" s="24"/>
      <c r="AO331" s="24"/>
      <c r="AP331" s="24"/>
      <c r="AQ331" s="24"/>
      <c r="AR331" s="24"/>
      <c r="AS331" s="24"/>
      <c r="AT331" s="24"/>
    </row>
    <row r="332" spans="1:46" s="4" customFormat="1" x14ac:dyDescent="0.25">
      <c r="A332" s="4" t="s">
        <v>267</v>
      </c>
      <c r="B332" s="57" t="s">
        <v>80</v>
      </c>
      <c r="D332" s="53"/>
      <c r="E332" s="53"/>
      <c r="F332" s="53"/>
      <c r="G332" s="54"/>
      <c r="H332" s="53"/>
      <c r="I332" s="53"/>
      <c r="J332" s="53"/>
      <c r="K332" s="53"/>
      <c r="L332" s="53"/>
      <c r="M332" s="53"/>
      <c r="N332" s="53"/>
      <c r="O332" s="53"/>
      <c r="P332" s="53"/>
      <c r="Q332" s="53"/>
      <c r="R332" s="53"/>
      <c r="S332" s="53"/>
      <c r="T332" s="53"/>
      <c r="U332" s="53"/>
      <c r="V332" s="53"/>
      <c r="W332" s="53">
        <v>55</v>
      </c>
      <c r="X332" s="53"/>
      <c r="Y332" s="53"/>
      <c r="Z332" s="53"/>
      <c r="AA332" s="53"/>
      <c r="AB332" s="53"/>
      <c r="AC332" s="53"/>
      <c r="AD332" s="53"/>
      <c r="AE332" s="53"/>
      <c r="AF332" s="53"/>
      <c r="AG332" s="53"/>
      <c r="AH332" s="53"/>
      <c r="AI332" s="53"/>
      <c r="AJ332" s="55"/>
      <c r="AK332" s="53"/>
      <c r="AL332" s="55"/>
      <c r="AM332" s="55"/>
      <c r="AT332" s="55">
        <f>SUM(C332:AS332)</f>
        <v>55</v>
      </c>
    </row>
    <row r="333" spans="1:46" s="16" customFormat="1" x14ac:dyDescent="0.25">
      <c r="A333" s="45" t="s">
        <v>117</v>
      </c>
      <c r="B333" s="47"/>
      <c r="D333" s="41"/>
      <c r="E333" s="41"/>
      <c r="F333" s="41"/>
      <c r="G333" s="42"/>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3"/>
      <c r="AK333" s="41"/>
      <c r="AL333" s="43"/>
      <c r="AM333" s="43"/>
      <c r="AT333" s="43"/>
    </row>
    <row r="334" spans="1:46" s="16" customFormat="1" x14ac:dyDescent="0.25">
      <c r="A334" s="16" t="s">
        <v>395</v>
      </c>
      <c r="B334" s="47" t="s">
        <v>79</v>
      </c>
      <c r="D334" s="41"/>
      <c r="E334" s="41"/>
      <c r="F334" s="41"/>
      <c r="G334" s="42"/>
      <c r="H334" s="41"/>
      <c r="I334" s="41"/>
      <c r="J334" s="41"/>
      <c r="K334" s="41"/>
      <c r="L334" s="41"/>
      <c r="M334" s="41"/>
      <c r="N334" s="41"/>
      <c r="O334" s="41"/>
      <c r="P334" s="41"/>
      <c r="Q334" s="41"/>
      <c r="R334" s="41"/>
      <c r="S334" s="41"/>
      <c r="T334" s="41"/>
      <c r="U334" s="41"/>
      <c r="V334" s="41"/>
      <c r="W334" s="41">
        <v>1</v>
      </c>
      <c r="X334" s="41"/>
      <c r="Y334" s="41"/>
      <c r="Z334" s="41"/>
      <c r="AA334" s="41"/>
      <c r="AB334" s="41"/>
      <c r="AC334" s="41"/>
      <c r="AD334" s="41"/>
      <c r="AE334" s="41"/>
      <c r="AF334" s="41"/>
      <c r="AG334" s="41"/>
      <c r="AH334" s="41"/>
      <c r="AI334" s="41"/>
      <c r="AJ334" s="43"/>
      <c r="AK334" s="41"/>
      <c r="AL334" s="43"/>
      <c r="AM334" s="43"/>
      <c r="AT334" s="43">
        <f>SUM(C334:AS334)</f>
        <v>1</v>
      </c>
    </row>
    <row r="335" spans="1:46" s="16" customFormat="1" x14ac:dyDescent="0.25">
      <c r="A335" s="16" t="s">
        <v>396</v>
      </c>
      <c r="B335" s="47" t="s">
        <v>80</v>
      </c>
      <c r="D335" s="41"/>
      <c r="E335" s="41"/>
      <c r="F335" s="41"/>
      <c r="G335" s="42"/>
      <c r="H335" s="41"/>
      <c r="I335" s="41"/>
      <c r="J335" s="41"/>
      <c r="K335" s="41"/>
      <c r="L335" s="41"/>
      <c r="M335" s="41"/>
      <c r="N335" s="41"/>
      <c r="O335" s="41"/>
      <c r="P335" s="41"/>
      <c r="Q335" s="41"/>
      <c r="R335" s="41"/>
      <c r="S335" s="41"/>
      <c r="T335" s="41"/>
      <c r="U335" s="41"/>
      <c r="V335" s="41"/>
      <c r="W335" s="41">
        <v>1</v>
      </c>
      <c r="X335" s="41"/>
      <c r="Y335" s="41"/>
      <c r="Z335" s="41"/>
      <c r="AA335" s="41"/>
      <c r="AB335" s="41"/>
      <c r="AC335" s="41"/>
      <c r="AD335" s="41"/>
      <c r="AE335" s="41"/>
      <c r="AF335" s="41"/>
      <c r="AG335" s="41"/>
      <c r="AH335" s="41"/>
      <c r="AI335" s="41"/>
      <c r="AJ335" s="43"/>
      <c r="AK335" s="41"/>
      <c r="AL335" s="43"/>
      <c r="AM335" s="43"/>
      <c r="AT335" s="43">
        <f>SUM(C335:AS335)</f>
        <v>1</v>
      </c>
    </row>
    <row r="336" spans="1:46" s="3" customFormat="1" x14ac:dyDescent="0.25">
      <c r="A336" s="35" t="s">
        <v>266</v>
      </c>
      <c r="B336" s="49"/>
      <c r="C336" s="24"/>
      <c r="G336" s="19"/>
      <c r="AJ336" s="24"/>
      <c r="AN336" s="24"/>
      <c r="AO336" s="24"/>
      <c r="AP336" s="24"/>
      <c r="AQ336" s="24"/>
      <c r="AR336" s="24"/>
      <c r="AS336" s="24"/>
      <c r="AT336" s="24"/>
    </row>
    <row r="337" spans="1:46" s="4" customFormat="1" x14ac:dyDescent="0.25">
      <c r="A337" s="4" t="s">
        <v>268</v>
      </c>
      <c r="B337" s="57" t="s">
        <v>80</v>
      </c>
      <c r="D337" s="53"/>
      <c r="E337" s="53"/>
      <c r="F337" s="53"/>
      <c r="G337" s="54"/>
      <c r="H337" s="53"/>
      <c r="I337" s="53"/>
      <c r="J337" s="53"/>
      <c r="K337" s="53"/>
      <c r="L337" s="53"/>
      <c r="M337" s="53"/>
      <c r="N337" s="53"/>
      <c r="O337" s="53"/>
      <c r="P337" s="53"/>
      <c r="Q337" s="53"/>
      <c r="R337" s="53"/>
      <c r="S337" s="53"/>
      <c r="T337" s="53"/>
      <c r="U337" s="53"/>
      <c r="V337" s="53"/>
      <c r="W337" s="53">
        <v>49</v>
      </c>
      <c r="X337" s="53"/>
      <c r="Y337" s="53"/>
      <c r="Z337" s="53"/>
      <c r="AA337" s="53"/>
      <c r="AB337" s="53"/>
      <c r="AC337" s="53"/>
      <c r="AD337" s="53"/>
      <c r="AE337" s="53"/>
      <c r="AF337" s="53"/>
      <c r="AG337" s="53"/>
      <c r="AH337" s="53"/>
      <c r="AI337" s="53"/>
      <c r="AJ337" s="55"/>
      <c r="AK337" s="53"/>
      <c r="AL337" s="55"/>
      <c r="AM337" s="55"/>
      <c r="AT337" s="55">
        <f>SUM(C337:AS337)</f>
        <v>49</v>
      </c>
    </row>
    <row r="338" spans="1:46" s="16" customFormat="1" x14ac:dyDescent="0.25">
      <c r="A338" s="45" t="s">
        <v>117</v>
      </c>
      <c r="B338" s="47"/>
      <c r="D338" s="41"/>
      <c r="E338" s="41"/>
      <c r="F338" s="41"/>
      <c r="G338" s="42"/>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3"/>
      <c r="AK338" s="41"/>
      <c r="AL338" s="43"/>
      <c r="AM338" s="43"/>
      <c r="AT338" s="43"/>
    </row>
    <row r="339" spans="1:46" s="16" customFormat="1" x14ac:dyDescent="0.25">
      <c r="A339" s="16" t="s">
        <v>392</v>
      </c>
      <c r="B339" s="47" t="s">
        <v>79</v>
      </c>
      <c r="D339" s="41"/>
      <c r="E339" s="41"/>
      <c r="F339" s="41"/>
      <c r="G339" s="42"/>
      <c r="H339" s="41"/>
      <c r="I339" s="41"/>
      <c r="J339" s="41"/>
      <c r="K339" s="41"/>
      <c r="L339" s="41"/>
      <c r="M339" s="41"/>
      <c r="N339" s="41"/>
      <c r="O339" s="41"/>
      <c r="P339" s="41"/>
      <c r="Q339" s="41"/>
      <c r="R339" s="41"/>
      <c r="S339" s="41"/>
      <c r="T339" s="41"/>
      <c r="U339" s="41"/>
      <c r="V339" s="41"/>
      <c r="W339" s="41">
        <v>1</v>
      </c>
      <c r="X339" s="41"/>
      <c r="Y339" s="41"/>
      <c r="Z339" s="41"/>
      <c r="AA339" s="41"/>
      <c r="AB339" s="41"/>
      <c r="AC339" s="41"/>
      <c r="AD339" s="41"/>
      <c r="AE339" s="41"/>
      <c r="AF339" s="41"/>
      <c r="AG339" s="41"/>
      <c r="AH339" s="41"/>
      <c r="AI339" s="41"/>
      <c r="AJ339" s="43"/>
      <c r="AK339" s="41"/>
      <c r="AL339" s="43"/>
      <c r="AM339" s="43"/>
      <c r="AT339" s="43">
        <f>SUM(C339:AS339)</f>
        <v>1</v>
      </c>
    </row>
    <row r="340" spans="1:46" s="16" customFormat="1" x14ac:dyDescent="0.25">
      <c r="A340" s="16" t="s">
        <v>393</v>
      </c>
      <c r="B340" s="47" t="s">
        <v>80</v>
      </c>
      <c r="D340" s="41"/>
      <c r="E340" s="41"/>
      <c r="F340" s="41"/>
      <c r="G340" s="42"/>
      <c r="H340" s="41"/>
      <c r="I340" s="41"/>
      <c r="J340" s="41"/>
      <c r="K340" s="41"/>
      <c r="L340" s="41"/>
      <c r="M340" s="41"/>
      <c r="N340" s="41"/>
      <c r="O340" s="41"/>
      <c r="P340" s="41"/>
      <c r="Q340" s="41"/>
      <c r="R340" s="41"/>
      <c r="S340" s="41"/>
      <c r="T340" s="41"/>
      <c r="U340" s="41"/>
      <c r="V340" s="41"/>
      <c r="W340" s="41">
        <v>1</v>
      </c>
      <c r="X340" s="41"/>
      <c r="Y340" s="41"/>
      <c r="Z340" s="41"/>
      <c r="AA340" s="41"/>
      <c r="AB340" s="41"/>
      <c r="AC340" s="41"/>
      <c r="AD340" s="41"/>
      <c r="AE340" s="41"/>
      <c r="AF340" s="41"/>
      <c r="AG340" s="41"/>
      <c r="AH340" s="41"/>
      <c r="AI340" s="41"/>
      <c r="AJ340" s="43"/>
      <c r="AK340" s="41"/>
      <c r="AL340" s="43"/>
      <c r="AM340" s="43"/>
      <c r="AT340" s="43">
        <f>SUM(C340:AS340)</f>
        <v>1</v>
      </c>
    </row>
    <row r="341" spans="1:46" s="16" customFormat="1" x14ac:dyDescent="0.25">
      <c r="A341" s="16" t="s">
        <v>394</v>
      </c>
      <c r="B341" s="47" t="s">
        <v>80</v>
      </c>
      <c r="D341" s="41"/>
      <c r="E341" s="41"/>
      <c r="F341" s="41"/>
      <c r="G341" s="42"/>
      <c r="H341" s="41"/>
      <c r="I341" s="41"/>
      <c r="J341" s="41"/>
      <c r="K341" s="41"/>
      <c r="L341" s="41"/>
      <c r="M341" s="41"/>
      <c r="N341" s="41"/>
      <c r="O341" s="41"/>
      <c r="P341" s="41"/>
      <c r="Q341" s="41"/>
      <c r="R341" s="41"/>
      <c r="S341" s="41"/>
      <c r="T341" s="41"/>
      <c r="U341" s="41"/>
      <c r="V341" s="41"/>
      <c r="W341" s="41">
        <v>1</v>
      </c>
      <c r="X341" s="41"/>
      <c r="Y341" s="41"/>
      <c r="Z341" s="41"/>
      <c r="AA341" s="41"/>
      <c r="AB341" s="41"/>
      <c r="AC341" s="41"/>
      <c r="AD341" s="41"/>
      <c r="AE341" s="41"/>
      <c r="AF341" s="41"/>
      <c r="AG341" s="41"/>
      <c r="AH341" s="41"/>
      <c r="AI341" s="41"/>
      <c r="AJ341" s="43"/>
      <c r="AK341" s="41"/>
      <c r="AL341" s="43"/>
      <c r="AM341" s="43"/>
      <c r="AT341" s="43">
        <f>SUM(C341:AS341)</f>
        <v>1</v>
      </c>
    </row>
    <row r="342" spans="1:46" s="3" customFormat="1" x14ac:dyDescent="0.25">
      <c r="A342" s="35" t="s">
        <v>269</v>
      </c>
      <c r="B342" s="49"/>
      <c r="C342" s="24"/>
      <c r="G342" s="19"/>
      <c r="AJ342" s="24"/>
      <c r="AN342" s="24"/>
      <c r="AO342" s="24"/>
      <c r="AP342" s="24"/>
      <c r="AQ342" s="24"/>
      <c r="AR342" s="24"/>
      <c r="AS342" s="24"/>
      <c r="AT342" s="24"/>
    </row>
    <row r="343" spans="1:46" s="23" customFormat="1" x14ac:dyDescent="0.25">
      <c r="A343" s="45" t="s">
        <v>117</v>
      </c>
      <c r="B343" s="50"/>
      <c r="D343" s="41"/>
      <c r="E343" s="41"/>
      <c r="F343" s="41"/>
      <c r="G343" s="42"/>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3"/>
      <c r="AK343" s="41"/>
      <c r="AL343" s="43"/>
      <c r="AM343" s="43"/>
      <c r="AT343" s="43"/>
    </row>
    <row r="344" spans="1:46" s="16" customFormat="1" x14ac:dyDescent="0.25">
      <c r="A344" s="16" t="s">
        <v>357</v>
      </c>
      <c r="B344" s="47" t="s">
        <v>80</v>
      </c>
      <c r="D344" s="41"/>
      <c r="E344" s="41"/>
      <c r="F344" s="41"/>
      <c r="G344" s="42"/>
      <c r="H344" s="41"/>
      <c r="I344" s="41"/>
      <c r="J344" s="41"/>
      <c r="K344" s="41"/>
      <c r="L344" s="41"/>
      <c r="M344" s="41"/>
      <c r="N344" s="41"/>
      <c r="O344" s="41"/>
      <c r="P344" s="41"/>
      <c r="Q344" s="41"/>
      <c r="R344" s="41"/>
      <c r="S344" s="41">
        <v>1</v>
      </c>
      <c r="T344" s="41"/>
      <c r="U344" s="41"/>
      <c r="V344" s="41"/>
      <c r="W344" s="41"/>
      <c r="X344" s="41"/>
      <c r="Y344" s="41"/>
      <c r="Z344" s="41"/>
      <c r="AA344" s="41"/>
      <c r="AB344" s="41"/>
      <c r="AC344" s="41"/>
      <c r="AD344" s="41"/>
      <c r="AE344" s="41"/>
      <c r="AF344" s="41"/>
      <c r="AG344" s="41"/>
      <c r="AH344" s="41"/>
      <c r="AI344" s="41"/>
      <c r="AJ344" s="43"/>
      <c r="AK344" s="41"/>
      <c r="AL344" s="43"/>
      <c r="AM344" s="43"/>
      <c r="AT344" s="43">
        <f>SUM(C344:AS344)</f>
        <v>1</v>
      </c>
    </row>
    <row r="345" spans="1:46" s="16" customFormat="1" x14ac:dyDescent="0.25">
      <c r="A345" s="16" t="s">
        <v>358</v>
      </c>
      <c r="B345" s="47" t="s">
        <v>80</v>
      </c>
      <c r="D345" s="41"/>
      <c r="E345" s="41"/>
      <c r="F345" s="41"/>
      <c r="G345" s="42"/>
      <c r="H345" s="41"/>
      <c r="I345" s="41"/>
      <c r="J345" s="41"/>
      <c r="K345" s="41"/>
      <c r="L345" s="41"/>
      <c r="M345" s="41"/>
      <c r="N345" s="41"/>
      <c r="O345" s="41"/>
      <c r="P345" s="41"/>
      <c r="Q345" s="41"/>
      <c r="R345" s="41"/>
      <c r="S345" s="41">
        <v>4</v>
      </c>
      <c r="T345" s="41"/>
      <c r="U345" s="41"/>
      <c r="V345" s="41"/>
      <c r="W345" s="41"/>
      <c r="X345" s="41"/>
      <c r="Y345" s="41"/>
      <c r="Z345" s="41"/>
      <c r="AA345" s="41"/>
      <c r="AB345" s="41"/>
      <c r="AC345" s="41"/>
      <c r="AD345" s="41"/>
      <c r="AE345" s="41"/>
      <c r="AF345" s="41"/>
      <c r="AG345" s="41"/>
      <c r="AH345" s="41"/>
      <c r="AI345" s="41"/>
      <c r="AJ345" s="43"/>
      <c r="AK345" s="41"/>
      <c r="AL345" s="43"/>
      <c r="AM345" s="43"/>
      <c r="AT345" s="43">
        <f>SUM(C345:AS345)</f>
        <v>4</v>
      </c>
    </row>
    <row r="346" spans="1:46" s="16" customFormat="1" x14ac:dyDescent="0.25">
      <c r="A346" s="16" t="s">
        <v>359</v>
      </c>
      <c r="B346" s="47" t="s">
        <v>80</v>
      </c>
      <c r="D346" s="41"/>
      <c r="E346" s="41"/>
      <c r="F346" s="41"/>
      <c r="G346" s="42"/>
      <c r="H346" s="41"/>
      <c r="I346" s="41"/>
      <c r="J346" s="41"/>
      <c r="K346" s="41"/>
      <c r="L346" s="41"/>
      <c r="M346" s="41"/>
      <c r="N346" s="41"/>
      <c r="O346" s="41"/>
      <c r="P346" s="41"/>
      <c r="Q346" s="41"/>
      <c r="R346" s="41"/>
      <c r="S346" s="41">
        <v>1</v>
      </c>
      <c r="T346" s="41"/>
      <c r="U346" s="41"/>
      <c r="V346" s="41"/>
      <c r="W346" s="41"/>
      <c r="X346" s="41"/>
      <c r="Y346" s="41"/>
      <c r="Z346" s="41"/>
      <c r="AA346" s="41"/>
      <c r="AB346" s="41"/>
      <c r="AC346" s="41"/>
      <c r="AD346" s="41"/>
      <c r="AE346" s="41"/>
      <c r="AF346" s="41"/>
      <c r="AG346" s="41"/>
      <c r="AH346" s="41"/>
      <c r="AI346" s="41"/>
      <c r="AJ346" s="43"/>
      <c r="AK346" s="41"/>
      <c r="AL346" s="43"/>
      <c r="AM346" s="43"/>
      <c r="AT346" s="43">
        <f>SUM(C346:AS346)</f>
        <v>1</v>
      </c>
    </row>
    <row r="347" spans="1:46" s="16" customFormat="1" x14ac:dyDescent="0.25">
      <c r="A347" s="16" t="s">
        <v>360</v>
      </c>
      <c r="B347" s="47" t="s">
        <v>80</v>
      </c>
      <c r="D347" s="41"/>
      <c r="E347" s="41"/>
      <c r="F347" s="41"/>
      <c r="G347" s="42"/>
      <c r="H347" s="41"/>
      <c r="I347" s="41"/>
      <c r="J347" s="41"/>
      <c r="K347" s="41"/>
      <c r="L347" s="41"/>
      <c r="M347" s="41"/>
      <c r="N347" s="41"/>
      <c r="O347" s="41"/>
      <c r="P347" s="41"/>
      <c r="Q347" s="41"/>
      <c r="R347" s="41"/>
      <c r="S347" s="41">
        <v>1</v>
      </c>
      <c r="T347" s="41"/>
      <c r="U347" s="41"/>
      <c r="V347" s="41"/>
      <c r="W347" s="41"/>
      <c r="X347" s="41"/>
      <c r="Y347" s="41"/>
      <c r="Z347" s="41"/>
      <c r="AA347" s="41"/>
      <c r="AB347" s="41"/>
      <c r="AC347" s="41"/>
      <c r="AD347" s="41"/>
      <c r="AE347" s="41"/>
      <c r="AF347" s="41"/>
      <c r="AG347" s="41"/>
      <c r="AH347" s="41"/>
      <c r="AI347" s="41"/>
      <c r="AJ347" s="43"/>
      <c r="AK347" s="41"/>
      <c r="AL347" s="43"/>
      <c r="AM347" s="43"/>
      <c r="AT347" s="43">
        <f>SUM(C347:AS347)</f>
        <v>1</v>
      </c>
    </row>
    <row r="348" spans="1:46" s="3" customFormat="1" x14ac:dyDescent="0.25">
      <c r="A348" s="35" t="s">
        <v>270</v>
      </c>
      <c r="B348" s="49"/>
      <c r="C348" s="24"/>
      <c r="G348" s="19"/>
      <c r="AJ348" s="24"/>
      <c r="AN348" s="24"/>
      <c r="AO348" s="24"/>
      <c r="AP348" s="24"/>
      <c r="AQ348" s="24"/>
      <c r="AR348" s="24"/>
      <c r="AS348" s="24"/>
      <c r="AT348" s="24"/>
    </row>
    <row r="349" spans="1:46" s="23" customFormat="1" x14ac:dyDescent="0.25">
      <c r="A349" s="45" t="s">
        <v>117</v>
      </c>
      <c r="B349" s="50"/>
      <c r="D349" s="41"/>
      <c r="E349" s="41"/>
      <c r="F349" s="41"/>
      <c r="G349" s="42"/>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3"/>
      <c r="AK349" s="41"/>
      <c r="AL349" s="43"/>
      <c r="AM349" s="43"/>
      <c r="AT349" s="43"/>
    </row>
    <row r="350" spans="1:46" s="16" customFormat="1" x14ac:dyDescent="0.25">
      <c r="A350" s="16" t="s">
        <v>361</v>
      </c>
      <c r="B350" s="47" t="s">
        <v>80</v>
      </c>
      <c r="D350" s="41"/>
      <c r="E350" s="41"/>
      <c r="F350" s="41"/>
      <c r="G350" s="42"/>
      <c r="H350" s="41"/>
      <c r="I350" s="41"/>
      <c r="J350" s="41"/>
      <c r="K350" s="41"/>
      <c r="L350" s="41"/>
      <c r="M350" s="41"/>
      <c r="N350" s="41"/>
      <c r="O350" s="41"/>
      <c r="P350" s="41"/>
      <c r="Q350" s="41"/>
      <c r="R350" s="41"/>
      <c r="S350" s="41">
        <v>4</v>
      </c>
      <c r="T350" s="41"/>
      <c r="U350" s="41"/>
      <c r="V350" s="41"/>
      <c r="W350" s="41"/>
      <c r="X350" s="41"/>
      <c r="Y350" s="41"/>
      <c r="Z350" s="41"/>
      <c r="AA350" s="41"/>
      <c r="AB350" s="41"/>
      <c r="AC350" s="41"/>
      <c r="AD350" s="41"/>
      <c r="AE350" s="41"/>
      <c r="AF350" s="41"/>
      <c r="AG350" s="41"/>
      <c r="AH350" s="41"/>
      <c r="AI350" s="41"/>
      <c r="AJ350" s="43"/>
      <c r="AK350" s="41"/>
      <c r="AL350" s="43"/>
      <c r="AM350" s="43"/>
      <c r="AT350" s="43">
        <f>SUM(C350:AS350)</f>
        <v>4</v>
      </c>
    </row>
    <row r="351" spans="1:46" s="16" customFormat="1" x14ac:dyDescent="0.25">
      <c r="A351" s="16" t="s">
        <v>362</v>
      </c>
      <c r="B351" s="47" t="s">
        <v>80</v>
      </c>
      <c r="D351" s="41"/>
      <c r="E351" s="41"/>
      <c r="F351" s="41"/>
      <c r="G351" s="42"/>
      <c r="H351" s="41"/>
      <c r="I351" s="41"/>
      <c r="J351" s="41"/>
      <c r="K351" s="41"/>
      <c r="L351" s="41"/>
      <c r="M351" s="41"/>
      <c r="N351" s="41"/>
      <c r="O351" s="41"/>
      <c r="P351" s="41"/>
      <c r="Q351" s="41"/>
      <c r="R351" s="41"/>
      <c r="S351" s="41">
        <v>1</v>
      </c>
      <c r="T351" s="41"/>
      <c r="U351" s="41"/>
      <c r="V351" s="41"/>
      <c r="W351" s="41"/>
      <c r="X351" s="41"/>
      <c r="Y351" s="41"/>
      <c r="Z351" s="41"/>
      <c r="AA351" s="41"/>
      <c r="AB351" s="41"/>
      <c r="AC351" s="41"/>
      <c r="AD351" s="41"/>
      <c r="AE351" s="41"/>
      <c r="AF351" s="41"/>
      <c r="AG351" s="41"/>
      <c r="AH351" s="41"/>
      <c r="AI351" s="41"/>
      <c r="AJ351" s="43"/>
      <c r="AK351" s="41"/>
      <c r="AL351" s="43"/>
      <c r="AM351" s="43"/>
      <c r="AT351" s="43">
        <f>SUM(C351:AS351)</f>
        <v>1</v>
      </c>
    </row>
    <row r="352" spans="1:46" s="3" customFormat="1" x14ac:dyDescent="0.25">
      <c r="A352" s="35" t="s">
        <v>271</v>
      </c>
      <c r="B352" s="49"/>
      <c r="C352" s="24"/>
      <c r="G352" s="19"/>
      <c r="AJ352" s="24"/>
      <c r="AN352" s="24"/>
      <c r="AO352" s="24"/>
      <c r="AP352" s="24"/>
      <c r="AQ352" s="24"/>
      <c r="AR352" s="24"/>
      <c r="AS352" s="24"/>
      <c r="AT352" s="24"/>
    </row>
    <row r="353" spans="1:46" s="23" customFormat="1" x14ac:dyDescent="0.25">
      <c r="A353" s="45" t="s">
        <v>117</v>
      </c>
      <c r="B353" s="50"/>
      <c r="D353" s="41"/>
      <c r="E353" s="41"/>
      <c r="F353" s="41"/>
      <c r="G353" s="42"/>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3"/>
      <c r="AK353" s="41"/>
      <c r="AL353" s="43"/>
      <c r="AM353" s="43"/>
      <c r="AT353" s="43"/>
    </row>
    <row r="354" spans="1:46" s="16" customFormat="1" x14ac:dyDescent="0.25">
      <c r="A354" s="16" t="s">
        <v>341</v>
      </c>
      <c r="B354" s="47" t="s">
        <v>80</v>
      </c>
      <c r="D354" s="41"/>
      <c r="E354" s="41"/>
      <c r="F354" s="41"/>
      <c r="G354" s="42"/>
      <c r="H354" s="41"/>
      <c r="I354" s="41"/>
      <c r="J354" s="41"/>
      <c r="K354" s="41"/>
      <c r="L354" s="41"/>
      <c r="M354" s="41"/>
      <c r="N354" s="41"/>
      <c r="O354" s="41"/>
      <c r="P354" s="41"/>
      <c r="Q354" s="41"/>
      <c r="R354" s="41"/>
      <c r="S354" s="41"/>
      <c r="T354" s="41">
        <v>1</v>
      </c>
      <c r="U354" s="41"/>
      <c r="V354" s="41"/>
      <c r="W354" s="41"/>
      <c r="X354" s="41"/>
      <c r="Y354" s="41"/>
      <c r="Z354" s="41"/>
      <c r="AA354" s="41"/>
      <c r="AB354" s="41"/>
      <c r="AC354" s="41"/>
      <c r="AD354" s="41"/>
      <c r="AE354" s="41"/>
      <c r="AF354" s="41"/>
      <c r="AG354" s="41"/>
      <c r="AH354" s="41"/>
      <c r="AI354" s="41"/>
      <c r="AJ354" s="43"/>
      <c r="AK354" s="41"/>
      <c r="AL354" s="43"/>
      <c r="AM354" s="43"/>
      <c r="AT354" s="43">
        <f>SUM(C354:AS354)</f>
        <v>1</v>
      </c>
    </row>
    <row r="355" spans="1:46" s="16" customFormat="1" x14ac:dyDescent="0.25">
      <c r="A355" s="16" t="s">
        <v>342</v>
      </c>
      <c r="B355" s="47" t="s">
        <v>80</v>
      </c>
      <c r="D355" s="41"/>
      <c r="E355" s="41"/>
      <c r="F355" s="41"/>
      <c r="G355" s="42"/>
      <c r="H355" s="41"/>
      <c r="I355" s="41"/>
      <c r="J355" s="41"/>
      <c r="K355" s="41"/>
      <c r="L355" s="41"/>
      <c r="M355" s="41"/>
      <c r="N355" s="41"/>
      <c r="O355" s="41"/>
      <c r="P355" s="41"/>
      <c r="Q355" s="41"/>
      <c r="R355" s="41"/>
      <c r="S355" s="41"/>
      <c r="T355" s="41">
        <v>1</v>
      </c>
      <c r="U355" s="41"/>
      <c r="V355" s="41"/>
      <c r="W355" s="41"/>
      <c r="X355" s="41"/>
      <c r="Y355" s="41"/>
      <c r="Z355" s="41"/>
      <c r="AA355" s="41"/>
      <c r="AB355" s="41"/>
      <c r="AC355" s="41"/>
      <c r="AD355" s="41"/>
      <c r="AE355" s="41"/>
      <c r="AF355" s="41"/>
      <c r="AG355" s="41"/>
      <c r="AH355" s="41"/>
      <c r="AI355" s="41"/>
      <c r="AJ355" s="43"/>
      <c r="AK355" s="41"/>
      <c r="AL355" s="43"/>
      <c r="AM355" s="43"/>
      <c r="AT355" s="43">
        <f>SUM(C355:AS355)</f>
        <v>1</v>
      </c>
    </row>
    <row r="356" spans="1:46" s="16" customFormat="1" x14ac:dyDescent="0.25">
      <c r="A356" s="16" t="s">
        <v>343</v>
      </c>
      <c r="B356" s="47"/>
      <c r="D356" s="41"/>
      <c r="E356" s="41"/>
      <c r="F356" s="41"/>
      <c r="G356" s="42"/>
      <c r="H356" s="41"/>
      <c r="I356" s="41"/>
      <c r="J356" s="41"/>
      <c r="K356" s="41"/>
      <c r="L356" s="41"/>
      <c r="M356" s="41"/>
      <c r="N356" s="41"/>
      <c r="O356" s="41"/>
      <c r="P356" s="41"/>
      <c r="Q356" s="41"/>
      <c r="R356" s="41"/>
      <c r="S356" s="41"/>
      <c r="T356" s="41">
        <v>1</v>
      </c>
      <c r="U356" s="41"/>
      <c r="V356" s="41"/>
      <c r="W356" s="41"/>
      <c r="X356" s="41"/>
      <c r="Y356" s="41"/>
      <c r="Z356" s="41"/>
      <c r="AA356" s="41"/>
      <c r="AB356" s="41"/>
      <c r="AC356" s="41"/>
      <c r="AD356" s="41"/>
      <c r="AE356" s="41"/>
      <c r="AF356" s="41"/>
      <c r="AG356" s="41"/>
      <c r="AH356" s="41"/>
      <c r="AI356" s="41"/>
      <c r="AJ356" s="43"/>
      <c r="AK356" s="41"/>
      <c r="AL356" s="43"/>
      <c r="AM356" s="43"/>
      <c r="AT356" s="43">
        <f>SUM(C356:AS356)</f>
        <v>1</v>
      </c>
    </row>
    <row r="357" spans="1:46" s="3" customFormat="1" x14ac:dyDescent="0.25">
      <c r="A357" s="35" t="s">
        <v>272</v>
      </c>
      <c r="B357" s="49"/>
      <c r="C357" s="24"/>
      <c r="G357" s="19"/>
      <c r="AJ357" s="24"/>
      <c r="AN357" s="24"/>
      <c r="AO357" s="24"/>
      <c r="AP357" s="24"/>
      <c r="AQ357" s="24"/>
      <c r="AR357" s="24"/>
      <c r="AS357" s="24"/>
      <c r="AT357" s="24"/>
    </row>
    <row r="358" spans="1:46" s="23" customFormat="1" x14ac:dyDescent="0.25">
      <c r="A358" s="45" t="s">
        <v>117</v>
      </c>
      <c r="B358" s="50"/>
      <c r="D358" s="41"/>
      <c r="E358" s="41"/>
      <c r="F358" s="41"/>
      <c r="G358" s="42"/>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3"/>
      <c r="AK358" s="41"/>
      <c r="AL358" s="43"/>
      <c r="AM358" s="43"/>
      <c r="AT358" s="43"/>
    </row>
    <row r="359" spans="1:46" s="16" customFormat="1" x14ac:dyDescent="0.25">
      <c r="A359" s="16" t="s">
        <v>344</v>
      </c>
      <c r="B359" s="47" t="s">
        <v>80</v>
      </c>
      <c r="D359" s="41"/>
      <c r="E359" s="41"/>
      <c r="F359" s="41"/>
      <c r="G359" s="42"/>
      <c r="H359" s="41"/>
      <c r="I359" s="41"/>
      <c r="J359" s="41"/>
      <c r="K359" s="41"/>
      <c r="L359" s="41"/>
      <c r="M359" s="41"/>
      <c r="N359" s="41"/>
      <c r="O359" s="41"/>
      <c r="P359" s="41"/>
      <c r="Q359" s="41"/>
      <c r="R359" s="41"/>
      <c r="S359" s="41"/>
      <c r="T359" s="41">
        <v>1</v>
      </c>
      <c r="U359" s="41"/>
      <c r="V359" s="41"/>
      <c r="W359" s="41"/>
      <c r="X359" s="41"/>
      <c r="Y359" s="41"/>
      <c r="Z359" s="41"/>
      <c r="AA359" s="41"/>
      <c r="AB359" s="41"/>
      <c r="AC359" s="41"/>
      <c r="AD359" s="41"/>
      <c r="AE359" s="41"/>
      <c r="AF359" s="41"/>
      <c r="AG359" s="41"/>
      <c r="AH359" s="41"/>
      <c r="AI359" s="41"/>
      <c r="AJ359" s="43"/>
      <c r="AK359" s="41"/>
      <c r="AL359" s="43"/>
      <c r="AM359" s="43"/>
      <c r="AT359" s="43">
        <f>SUM(C359:AS359)</f>
        <v>1</v>
      </c>
    </row>
    <row r="360" spans="1:46" s="16" customFormat="1" x14ac:dyDescent="0.25">
      <c r="A360" s="16" t="s">
        <v>345</v>
      </c>
      <c r="B360" s="47" t="s">
        <v>80</v>
      </c>
      <c r="D360" s="41"/>
      <c r="E360" s="41"/>
      <c r="F360" s="41"/>
      <c r="G360" s="42"/>
      <c r="H360" s="41"/>
      <c r="I360" s="41"/>
      <c r="J360" s="41"/>
      <c r="K360" s="41"/>
      <c r="L360" s="41"/>
      <c r="M360" s="41"/>
      <c r="N360" s="41"/>
      <c r="O360" s="41"/>
      <c r="P360" s="41"/>
      <c r="Q360" s="41"/>
      <c r="R360" s="41"/>
      <c r="S360" s="41"/>
      <c r="T360" s="41">
        <v>1</v>
      </c>
      <c r="U360" s="41"/>
      <c r="V360" s="41"/>
      <c r="W360" s="41"/>
      <c r="X360" s="41"/>
      <c r="Y360" s="41"/>
      <c r="Z360" s="41"/>
      <c r="AA360" s="41"/>
      <c r="AB360" s="41"/>
      <c r="AC360" s="41"/>
      <c r="AD360" s="41"/>
      <c r="AE360" s="41"/>
      <c r="AF360" s="41"/>
      <c r="AG360" s="41"/>
      <c r="AH360" s="41"/>
      <c r="AI360" s="41"/>
      <c r="AJ360" s="43"/>
      <c r="AK360" s="41"/>
      <c r="AL360" s="43"/>
      <c r="AM360" s="43"/>
      <c r="AT360" s="43">
        <f>SUM(C360:AS360)</f>
        <v>1</v>
      </c>
    </row>
    <row r="361" spans="1:46" s="16" customFormat="1" x14ac:dyDescent="0.25">
      <c r="A361" s="16" t="s">
        <v>343</v>
      </c>
      <c r="B361" s="47"/>
      <c r="D361" s="41"/>
      <c r="E361" s="41"/>
      <c r="F361" s="41"/>
      <c r="G361" s="42"/>
      <c r="H361" s="41"/>
      <c r="I361" s="41"/>
      <c r="J361" s="41"/>
      <c r="K361" s="41"/>
      <c r="L361" s="41"/>
      <c r="M361" s="41"/>
      <c r="N361" s="41"/>
      <c r="O361" s="41"/>
      <c r="P361" s="41"/>
      <c r="Q361" s="41"/>
      <c r="R361" s="41"/>
      <c r="S361" s="41"/>
      <c r="T361" s="41">
        <v>1</v>
      </c>
      <c r="U361" s="41"/>
      <c r="V361" s="41"/>
      <c r="W361" s="41"/>
      <c r="X361" s="41"/>
      <c r="Y361" s="41"/>
      <c r="Z361" s="41"/>
      <c r="AA361" s="41"/>
      <c r="AB361" s="41"/>
      <c r="AC361" s="41"/>
      <c r="AD361" s="41"/>
      <c r="AE361" s="41"/>
      <c r="AF361" s="41"/>
      <c r="AG361" s="41"/>
      <c r="AH361" s="41"/>
      <c r="AI361" s="41"/>
      <c r="AJ361" s="43"/>
      <c r="AK361" s="41"/>
      <c r="AL361" s="43"/>
      <c r="AM361" s="43"/>
      <c r="AT361" s="43">
        <f>SUM(C361:AS361)</f>
        <v>1</v>
      </c>
    </row>
    <row r="362" spans="1:46" s="3" customFormat="1" x14ac:dyDescent="0.25">
      <c r="A362" s="35" t="s">
        <v>273</v>
      </c>
      <c r="B362" s="49"/>
      <c r="C362" s="24"/>
      <c r="G362" s="19"/>
      <c r="AJ362" s="24"/>
      <c r="AN362" s="24"/>
      <c r="AO362" s="24"/>
      <c r="AP362" s="24"/>
      <c r="AQ362" s="24"/>
      <c r="AR362" s="24"/>
      <c r="AS362" s="24"/>
      <c r="AT362" s="24"/>
    </row>
    <row r="363" spans="1:46" s="23" customFormat="1" x14ac:dyDescent="0.25">
      <c r="A363" s="45" t="s">
        <v>117</v>
      </c>
      <c r="B363" s="50"/>
      <c r="D363" s="41"/>
      <c r="E363" s="41"/>
      <c r="F363" s="41"/>
      <c r="G363" s="42"/>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3"/>
      <c r="AK363" s="41"/>
      <c r="AL363" s="43"/>
      <c r="AM363" s="43"/>
      <c r="AT363" s="43"/>
    </row>
    <row r="364" spans="1:46" s="16" customFormat="1" x14ac:dyDescent="0.25">
      <c r="A364" s="16" t="s">
        <v>416</v>
      </c>
      <c r="B364" s="47" t="s">
        <v>80</v>
      </c>
      <c r="D364" s="41"/>
      <c r="E364" s="41"/>
      <c r="F364" s="41"/>
      <c r="G364" s="42"/>
      <c r="H364" s="41"/>
      <c r="I364" s="41"/>
      <c r="J364" s="41"/>
      <c r="K364" s="41"/>
      <c r="L364" s="41"/>
      <c r="M364" s="41"/>
      <c r="N364" s="41"/>
      <c r="O364" s="41"/>
      <c r="P364" s="41"/>
      <c r="Q364" s="41"/>
      <c r="R364" s="41"/>
      <c r="S364" s="41"/>
      <c r="T364" s="41"/>
      <c r="U364" s="41"/>
      <c r="V364" s="41">
        <v>1</v>
      </c>
      <c r="W364" s="41"/>
      <c r="X364" s="41"/>
      <c r="Y364" s="41"/>
      <c r="Z364" s="41"/>
      <c r="AA364" s="41"/>
      <c r="AB364" s="41"/>
      <c r="AC364" s="41"/>
      <c r="AD364" s="41"/>
      <c r="AE364" s="41"/>
      <c r="AF364" s="41"/>
      <c r="AG364" s="41"/>
      <c r="AH364" s="41"/>
      <c r="AI364" s="41"/>
      <c r="AJ364" s="43"/>
      <c r="AK364" s="41"/>
      <c r="AL364" s="43"/>
      <c r="AM364" s="43"/>
      <c r="AT364" s="43">
        <f>SUM(C364:AS364)</f>
        <v>1</v>
      </c>
    </row>
    <row r="365" spans="1:46" s="16" customFormat="1" x14ac:dyDescent="0.25">
      <c r="A365" s="16" t="s">
        <v>414</v>
      </c>
      <c r="B365" s="47" t="s">
        <v>80</v>
      </c>
      <c r="D365" s="41"/>
      <c r="E365" s="41"/>
      <c r="F365" s="41"/>
      <c r="G365" s="42"/>
      <c r="H365" s="41"/>
      <c r="I365" s="41"/>
      <c r="J365" s="41"/>
      <c r="K365" s="41"/>
      <c r="L365" s="41"/>
      <c r="M365" s="41"/>
      <c r="N365" s="41"/>
      <c r="O365" s="41"/>
      <c r="P365" s="41"/>
      <c r="Q365" s="41"/>
      <c r="R365" s="41"/>
      <c r="S365" s="41"/>
      <c r="T365" s="41"/>
      <c r="U365" s="41"/>
      <c r="V365" s="41">
        <v>1</v>
      </c>
      <c r="W365" s="41"/>
      <c r="X365" s="41"/>
      <c r="Y365" s="41"/>
      <c r="Z365" s="41"/>
      <c r="AA365" s="41"/>
      <c r="AB365" s="41"/>
      <c r="AC365" s="41"/>
      <c r="AD365" s="41"/>
      <c r="AE365" s="41"/>
      <c r="AF365" s="41"/>
      <c r="AG365" s="41"/>
      <c r="AH365" s="41"/>
      <c r="AI365" s="41"/>
      <c r="AJ365" s="43"/>
      <c r="AK365" s="41"/>
      <c r="AL365" s="43"/>
      <c r="AM365" s="43"/>
      <c r="AT365" s="43">
        <f>SUM(C365:AS365)</f>
        <v>1</v>
      </c>
    </row>
    <row r="366" spans="1:46" s="16" customFormat="1" x14ac:dyDescent="0.25">
      <c r="A366" s="16" t="s">
        <v>417</v>
      </c>
      <c r="B366" s="47" t="s">
        <v>80</v>
      </c>
      <c r="D366" s="41"/>
      <c r="E366" s="41"/>
      <c r="F366" s="41"/>
      <c r="G366" s="42"/>
      <c r="H366" s="41"/>
      <c r="I366" s="41"/>
      <c r="J366" s="41"/>
      <c r="K366" s="41"/>
      <c r="L366" s="41"/>
      <c r="M366" s="41"/>
      <c r="N366" s="41"/>
      <c r="O366" s="41"/>
      <c r="P366" s="41"/>
      <c r="Q366" s="41"/>
      <c r="R366" s="41"/>
      <c r="S366" s="41"/>
      <c r="T366" s="41"/>
      <c r="U366" s="41"/>
      <c r="V366" s="41">
        <v>2</v>
      </c>
      <c r="W366" s="41"/>
      <c r="X366" s="41"/>
      <c r="Y366" s="41"/>
      <c r="Z366" s="41"/>
      <c r="AA366" s="41"/>
      <c r="AB366" s="41"/>
      <c r="AC366" s="41"/>
      <c r="AD366" s="41"/>
      <c r="AE366" s="41"/>
      <c r="AF366" s="41"/>
      <c r="AG366" s="41"/>
      <c r="AH366" s="41"/>
      <c r="AI366" s="41"/>
      <c r="AJ366" s="43"/>
      <c r="AK366" s="41"/>
      <c r="AL366" s="43"/>
      <c r="AM366" s="43"/>
      <c r="AT366" s="43">
        <f>SUM(C366:AS366)</f>
        <v>2</v>
      </c>
    </row>
    <row r="367" spans="1:46" s="3" customFormat="1" x14ac:dyDescent="0.25">
      <c r="A367" s="35" t="s">
        <v>274</v>
      </c>
      <c r="B367" s="49"/>
      <c r="C367" s="24"/>
      <c r="G367" s="19"/>
      <c r="AJ367" s="24"/>
      <c r="AN367" s="24"/>
      <c r="AO367" s="24"/>
      <c r="AP367" s="24"/>
      <c r="AQ367" s="24"/>
      <c r="AR367" s="24"/>
      <c r="AS367" s="24"/>
      <c r="AT367" s="24"/>
    </row>
    <row r="368" spans="1:46" s="23" customFormat="1" x14ac:dyDescent="0.25">
      <c r="A368" s="45" t="s">
        <v>117</v>
      </c>
      <c r="B368" s="50"/>
      <c r="D368" s="41"/>
      <c r="E368" s="41"/>
      <c r="F368" s="41"/>
      <c r="G368" s="42"/>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3"/>
      <c r="AK368" s="41"/>
      <c r="AL368" s="43"/>
      <c r="AM368" s="43"/>
      <c r="AT368" s="43"/>
    </row>
    <row r="369" spans="1:46" s="16" customFormat="1" x14ac:dyDescent="0.25">
      <c r="A369" s="16" t="s">
        <v>418</v>
      </c>
      <c r="B369" s="47" t="s">
        <v>80</v>
      </c>
      <c r="D369" s="41"/>
      <c r="E369" s="41"/>
      <c r="F369" s="41"/>
      <c r="G369" s="42"/>
      <c r="H369" s="41"/>
      <c r="I369" s="41"/>
      <c r="J369" s="41"/>
      <c r="K369" s="41"/>
      <c r="L369" s="41"/>
      <c r="M369" s="41"/>
      <c r="N369" s="41"/>
      <c r="O369" s="41"/>
      <c r="P369" s="41"/>
      <c r="Q369" s="41"/>
      <c r="R369" s="41"/>
      <c r="S369" s="41"/>
      <c r="T369" s="41"/>
      <c r="U369" s="41"/>
      <c r="V369" s="41">
        <v>1</v>
      </c>
      <c r="W369" s="41"/>
      <c r="X369" s="41"/>
      <c r="Y369" s="41"/>
      <c r="Z369" s="41"/>
      <c r="AA369" s="41"/>
      <c r="AB369" s="41"/>
      <c r="AC369" s="41"/>
      <c r="AD369" s="41"/>
      <c r="AE369" s="41"/>
      <c r="AF369" s="41"/>
      <c r="AG369" s="41"/>
      <c r="AH369" s="41"/>
      <c r="AI369" s="41"/>
      <c r="AJ369" s="43"/>
      <c r="AK369" s="41"/>
      <c r="AL369" s="43"/>
      <c r="AM369" s="43"/>
      <c r="AT369" s="43">
        <f>SUM(C369:AS369)</f>
        <v>1</v>
      </c>
    </row>
    <row r="370" spans="1:46" s="16" customFormat="1" x14ac:dyDescent="0.25">
      <c r="A370" s="16" t="s">
        <v>419</v>
      </c>
      <c r="B370" s="47" t="s">
        <v>80</v>
      </c>
      <c r="D370" s="41"/>
      <c r="E370" s="41"/>
      <c r="F370" s="41"/>
      <c r="G370" s="42"/>
      <c r="H370" s="41"/>
      <c r="I370" s="41"/>
      <c r="J370" s="41"/>
      <c r="K370" s="41"/>
      <c r="L370" s="41"/>
      <c r="M370" s="41"/>
      <c r="N370" s="41"/>
      <c r="O370" s="41"/>
      <c r="P370" s="41"/>
      <c r="Q370" s="41"/>
      <c r="R370" s="41"/>
      <c r="S370" s="41"/>
      <c r="T370" s="41"/>
      <c r="U370" s="41"/>
      <c r="V370" s="41">
        <v>1</v>
      </c>
      <c r="W370" s="41"/>
      <c r="X370" s="41"/>
      <c r="Y370" s="41"/>
      <c r="Z370" s="41"/>
      <c r="AA370" s="41"/>
      <c r="AB370" s="41"/>
      <c r="AC370" s="41"/>
      <c r="AD370" s="41"/>
      <c r="AE370" s="41"/>
      <c r="AF370" s="41"/>
      <c r="AG370" s="41"/>
      <c r="AH370" s="41"/>
      <c r="AI370" s="41"/>
      <c r="AJ370" s="43"/>
      <c r="AK370" s="41"/>
      <c r="AL370" s="43"/>
      <c r="AM370" s="43"/>
      <c r="AT370" s="43">
        <f>SUM(C370:AS370)</f>
        <v>1</v>
      </c>
    </row>
    <row r="371" spans="1:46" s="16" customFormat="1" x14ac:dyDescent="0.25">
      <c r="A371" s="16" t="s">
        <v>420</v>
      </c>
      <c r="B371" s="47" t="s">
        <v>80</v>
      </c>
      <c r="D371" s="41"/>
      <c r="E371" s="41"/>
      <c r="F371" s="41"/>
      <c r="G371" s="42"/>
      <c r="H371" s="41"/>
      <c r="I371" s="41"/>
      <c r="J371" s="41"/>
      <c r="K371" s="41"/>
      <c r="L371" s="41"/>
      <c r="M371" s="41"/>
      <c r="N371" s="41"/>
      <c r="O371" s="41"/>
      <c r="P371" s="41"/>
      <c r="Q371" s="41"/>
      <c r="R371" s="41"/>
      <c r="S371" s="41"/>
      <c r="T371" s="41"/>
      <c r="U371" s="41"/>
      <c r="V371" s="41">
        <v>1</v>
      </c>
      <c r="W371" s="41"/>
      <c r="X371" s="41"/>
      <c r="Y371" s="41"/>
      <c r="Z371" s="41"/>
      <c r="AA371" s="41"/>
      <c r="AB371" s="41"/>
      <c r="AC371" s="41"/>
      <c r="AD371" s="41"/>
      <c r="AE371" s="41"/>
      <c r="AF371" s="41"/>
      <c r="AG371" s="41"/>
      <c r="AH371" s="41"/>
      <c r="AI371" s="41"/>
      <c r="AJ371" s="43"/>
      <c r="AK371" s="41"/>
      <c r="AL371" s="43"/>
      <c r="AM371" s="43"/>
      <c r="AT371" s="43">
        <f>SUM(C371:AS371)</f>
        <v>1</v>
      </c>
    </row>
    <row r="372" spans="1:46" s="16" customFormat="1" x14ac:dyDescent="0.25">
      <c r="A372" s="16" t="s">
        <v>421</v>
      </c>
      <c r="B372" s="47" t="s">
        <v>80</v>
      </c>
      <c r="D372" s="41"/>
      <c r="E372" s="41"/>
      <c r="F372" s="41"/>
      <c r="G372" s="42"/>
      <c r="H372" s="41"/>
      <c r="I372" s="41"/>
      <c r="J372" s="41"/>
      <c r="K372" s="41"/>
      <c r="L372" s="41"/>
      <c r="M372" s="41"/>
      <c r="N372" s="41"/>
      <c r="O372" s="41"/>
      <c r="P372" s="41"/>
      <c r="Q372" s="41"/>
      <c r="R372" s="41"/>
      <c r="S372" s="41"/>
      <c r="T372" s="41"/>
      <c r="U372" s="41"/>
      <c r="V372" s="41">
        <v>1</v>
      </c>
      <c r="W372" s="41"/>
      <c r="X372" s="41"/>
      <c r="Y372" s="41"/>
      <c r="Z372" s="41"/>
      <c r="AA372" s="41"/>
      <c r="AB372" s="41"/>
      <c r="AC372" s="41"/>
      <c r="AD372" s="41"/>
      <c r="AE372" s="41"/>
      <c r="AF372" s="41"/>
      <c r="AG372" s="41"/>
      <c r="AH372" s="41"/>
      <c r="AI372" s="41"/>
      <c r="AJ372" s="43"/>
      <c r="AK372" s="41"/>
      <c r="AL372" s="43"/>
      <c r="AM372" s="43"/>
      <c r="AT372" s="43">
        <f>SUM(C372:AS372)</f>
        <v>1</v>
      </c>
    </row>
    <row r="373" spans="1:46" s="3" customFormat="1" x14ac:dyDescent="0.25">
      <c r="A373" s="35" t="s">
        <v>275</v>
      </c>
      <c r="B373" s="49"/>
      <c r="C373" s="24"/>
      <c r="G373" s="19"/>
      <c r="AJ373" s="24"/>
      <c r="AN373" s="24"/>
      <c r="AO373" s="24"/>
      <c r="AP373" s="24"/>
      <c r="AQ373" s="24"/>
      <c r="AR373" s="24"/>
      <c r="AS373" s="24"/>
      <c r="AT373" s="24"/>
    </row>
    <row r="374" spans="1:46" s="23" customFormat="1" x14ac:dyDescent="0.25">
      <c r="A374" s="45" t="s">
        <v>117</v>
      </c>
      <c r="B374" s="50"/>
      <c r="D374" s="41"/>
      <c r="E374" s="41"/>
      <c r="F374" s="41"/>
      <c r="G374" s="42"/>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3"/>
      <c r="AK374" s="41"/>
      <c r="AL374" s="43"/>
      <c r="AM374" s="43"/>
      <c r="AT374" s="43"/>
    </row>
    <row r="375" spans="1:46" s="16" customFormat="1" x14ac:dyDescent="0.25">
      <c r="B375" s="47"/>
      <c r="D375" s="41"/>
      <c r="E375" s="41"/>
      <c r="F375" s="41"/>
      <c r="G375" s="42"/>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3"/>
      <c r="AK375" s="41"/>
      <c r="AL375" s="43"/>
      <c r="AM375" s="43"/>
      <c r="AT375" s="43">
        <f>SUM(C375:AS375)</f>
        <v>0</v>
      </c>
    </row>
    <row r="376" spans="1:46" s="16" customFormat="1" x14ac:dyDescent="0.25">
      <c r="B376" s="47"/>
      <c r="D376" s="41"/>
      <c r="E376" s="41"/>
      <c r="F376" s="41"/>
      <c r="G376" s="42"/>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3"/>
      <c r="AK376" s="41"/>
      <c r="AL376" s="43"/>
      <c r="AM376" s="43"/>
      <c r="AT376" s="43">
        <f>SUM(C376:AS376)</f>
        <v>0</v>
      </c>
    </row>
    <row r="377" spans="1:46" s="3" customFormat="1" x14ac:dyDescent="0.25">
      <c r="A377" s="35" t="s">
        <v>276</v>
      </c>
      <c r="B377" s="49"/>
      <c r="C377" s="24"/>
      <c r="G377" s="19"/>
      <c r="AJ377" s="24"/>
      <c r="AN377" s="24"/>
      <c r="AO377" s="24"/>
      <c r="AP377" s="24"/>
      <c r="AQ377" s="24"/>
      <c r="AR377" s="24"/>
      <c r="AS377" s="24"/>
      <c r="AT377" s="24"/>
    </row>
    <row r="378" spans="1:46" s="23" customFormat="1" x14ac:dyDescent="0.25">
      <c r="A378" s="45" t="s">
        <v>117</v>
      </c>
      <c r="B378" s="50"/>
      <c r="D378" s="41"/>
      <c r="E378" s="41"/>
      <c r="F378" s="41"/>
      <c r="G378" s="42"/>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3"/>
      <c r="AK378" s="41"/>
      <c r="AL378" s="43"/>
      <c r="AM378" s="43"/>
      <c r="AT378" s="43"/>
    </row>
    <row r="379" spans="1:46" s="16" customFormat="1" x14ac:dyDescent="0.25">
      <c r="B379" s="47"/>
      <c r="D379" s="41"/>
      <c r="E379" s="41"/>
      <c r="F379" s="41"/>
      <c r="G379" s="42"/>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3"/>
      <c r="AK379" s="41"/>
      <c r="AL379" s="43"/>
      <c r="AM379" s="43"/>
      <c r="AT379" s="43">
        <f>SUM(C379:AS379)</f>
        <v>0</v>
      </c>
    </row>
    <row r="380" spans="1:46" s="16" customFormat="1" x14ac:dyDescent="0.25">
      <c r="B380" s="47"/>
      <c r="D380" s="41"/>
      <c r="E380" s="41"/>
      <c r="F380" s="41"/>
      <c r="G380" s="42"/>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3"/>
      <c r="AK380" s="41"/>
      <c r="AL380" s="43"/>
      <c r="AM380" s="43"/>
      <c r="AT380" s="43">
        <f>SUM(C380:AS380)</f>
        <v>0</v>
      </c>
    </row>
    <row r="381" spans="1:46" s="3" customFormat="1" x14ac:dyDescent="0.25">
      <c r="A381" s="35" t="s">
        <v>277</v>
      </c>
      <c r="B381" s="49"/>
      <c r="C381" s="24"/>
      <c r="G381" s="19"/>
      <c r="AJ381" s="24"/>
      <c r="AN381" s="24"/>
      <c r="AO381" s="24"/>
      <c r="AP381" s="24"/>
      <c r="AQ381" s="24"/>
      <c r="AR381" s="24"/>
      <c r="AS381" s="24"/>
      <c r="AT381" s="24"/>
    </row>
    <row r="382" spans="1:46" s="23" customFormat="1" x14ac:dyDescent="0.25">
      <c r="A382" s="45" t="s">
        <v>117</v>
      </c>
      <c r="B382" s="50"/>
      <c r="D382" s="41"/>
      <c r="E382" s="41"/>
      <c r="F382" s="41"/>
      <c r="G382" s="42"/>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3"/>
      <c r="AK382" s="41"/>
      <c r="AL382" s="43"/>
      <c r="AM382" s="43"/>
      <c r="AT382" s="43"/>
    </row>
    <row r="383" spans="1:46" s="16" customFormat="1" x14ac:dyDescent="0.25">
      <c r="A383" s="16" t="s">
        <v>398</v>
      </c>
      <c r="B383" s="47" t="s">
        <v>80</v>
      </c>
      <c r="D383" s="41"/>
      <c r="E383" s="41"/>
      <c r="F383" s="41"/>
      <c r="G383" s="42"/>
      <c r="H383" s="41"/>
      <c r="I383" s="41"/>
      <c r="J383" s="41"/>
      <c r="K383" s="41"/>
      <c r="L383" s="41"/>
      <c r="M383" s="41"/>
      <c r="N383" s="41"/>
      <c r="O383" s="41"/>
      <c r="P383" s="41"/>
      <c r="Q383" s="41"/>
      <c r="R383" s="41"/>
      <c r="S383" s="41"/>
      <c r="T383" s="41"/>
      <c r="U383" s="41"/>
      <c r="V383" s="41"/>
      <c r="W383" s="41"/>
      <c r="X383" s="41">
        <v>3</v>
      </c>
      <c r="Y383" s="41"/>
      <c r="Z383" s="41"/>
      <c r="AA383" s="41"/>
      <c r="AB383" s="41"/>
      <c r="AC383" s="41"/>
      <c r="AD383" s="41"/>
      <c r="AE383" s="41"/>
      <c r="AF383" s="41"/>
      <c r="AG383" s="41"/>
      <c r="AH383" s="41"/>
      <c r="AI383" s="41"/>
      <c r="AJ383" s="43"/>
      <c r="AK383" s="41"/>
      <c r="AL383" s="43"/>
      <c r="AM383" s="43"/>
      <c r="AT383" s="43">
        <f>SUM(C383:AS383)</f>
        <v>3</v>
      </c>
    </row>
    <row r="384" spans="1:46" s="16" customFormat="1" x14ac:dyDescent="0.25">
      <c r="A384" s="16" t="s">
        <v>399</v>
      </c>
      <c r="B384" s="47" t="s">
        <v>80</v>
      </c>
      <c r="D384" s="41"/>
      <c r="E384" s="41"/>
      <c r="F384" s="41"/>
      <c r="G384" s="42"/>
      <c r="H384" s="41"/>
      <c r="I384" s="41"/>
      <c r="J384" s="41"/>
      <c r="K384" s="41"/>
      <c r="L384" s="41"/>
      <c r="M384" s="41"/>
      <c r="N384" s="41"/>
      <c r="O384" s="41"/>
      <c r="P384" s="41"/>
      <c r="Q384" s="41"/>
      <c r="R384" s="41"/>
      <c r="S384" s="41"/>
      <c r="T384" s="41"/>
      <c r="U384" s="41"/>
      <c r="V384" s="41"/>
      <c r="W384" s="41"/>
      <c r="X384" s="41">
        <v>1</v>
      </c>
      <c r="Y384" s="41"/>
      <c r="Z384" s="41"/>
      <c r="AA384" s="41"/>
      <c r="AB384" s="41"/>
      <c r="AC384" s="41"/>
      <c r="AD384" s="41"/>
      <c r="AE384" s="41"/>
      <c r="AF384" s="41"/>
      <c r="AG384" s="41"/>
      <c r="AH384" s="41"/>
      <c r="AI384" s="41"/>
      <c r="AJ384" s="43"/>
      <c r="AK384" s="41"/>
      <c r="AL384" s="43"/>
      <c r="AM384" s="43"/>
      <c r="AT384" s="43">
        <f>SUM(C384:AS384)</f>
        <v>1</v>
      </c>
    </row>
    <row r="385" spans="1:46" s="3" customFormat="1" x14ac:dyDescent="0.25">
      <c r="A385" s="35" t="s">
        <v>278</v>
      </c>
      <c r="B385" s="49"/>
      <c r="C385" s="24"/>
      <c r="G385" s="19"/>
      <c r="AJ385" s="24"/>
      <c r="AN385" s="24"/>
      <c r="AO385" s="24"/>
      <c r="AP385" s="24"/>
      <c r="AQ385" s="24"/>
      <c r="AR385" s="24"/>
      <c r="AS385" s="24"/>
      <c r="AT385" s="24"/>
    </row>
    <row r="386" spans="1:46" s="23" customFormat="1" x14ac:dyDescent="0.25">
      <c r="A386" s="45" t="s">
        <v>117</v>
      </c>
      <c r="B386" s="50"/>
      <c r="D386" s="41"/>
      <c r="E386" s="41"/>
      <c r="F386" s="41"/>
      <c r="G386" s="42"/>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3"/>
      <c r="AK386" s="41"/>
      <c r="AL386" s="43"/>
      <c r="AM386" s="43"/>
      <c r="AT386" s="43"/>
    </row>
    <row r="387" spans="1:46" s="16" customFormat="1" x14ac:dyDescent="0.25">
      <c r="B387" s="47"/>
      <c r="D387" s="41"/>
      <c r="E387" s="41"/>
      <c r="F387" s="41"/>
      <c r="G387" s="42"/>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3"/>
      <c r="AK387" s="41"/>
      <c r="AL387" s="43"/>
      <c r="AM387" s="43"/>
      <c r="AT387" s="43">
        <f>SUM(C387:AS387)</f>
        <v>0</v>
      </c>
    </row>
    <row r="388" spans="1:46" s="16" customFormat="1" x14ac:dyDescent="0.25">
      <c r="B388" s="47"/>
      <c r="D388" s="41"/>
      <c r="E388" s="41"/>
      <c r="F388" s="41"/>
      <c r="G388" s="42"/>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3"/>
      <c r="AK388" s="41"/>
      <c r="AL388" s="43"/>
      <c r="AM388" s="43"/>
      <c r="AT388" s="43">
        <f>SUM(C388:AS388)</f>
        <v>0</v>
      </c>
    </row>
    <row r="389" spans="1:46" s="3" customFormat="1" x14ac:dyDescent="0.25">
      <c r="A389" s="35" t="s">
        <v>279</v>
      </c>
      <c r="B389" s="49"/>
      <c r="C389" s="24"/>
      <c r="G389" s="19"/>
      <c r="AJ389" s="24"/>
      <c r="AN389" s="24"/>
      <c r="AO389" s="24"/>
      <c r="AP389" s="24"/>
      <c r="AQ389" s="24"/>
      <c r="AR389" s="24"/>
      <c r="AS389" s="24"/>
      <c r="AT389" s="24"/>
    </row>
    <row r="390" spans="1:46" s="23" customFormat="1" x14ac:dyDescent="0.25">
      <c r="A390" s="45" t="s">
        <v>117</v>
      </c>
      <c r="B390" s="50"/>
      <c r="D390" s="41"/>
      <c r="E390" s="41"/>
      <c r="F390" s="41"/>
      <c r="G390" s="42"/>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3"/>
      <c r="AK390" s="41"/>
      <c r="AL390" s="43"/>
      <c r="AM390" s="43"/>
      <c r="AT390" s="43"/>
    </row>
    <row r="391" spans="1:46" s="16" customFormat="1" x14ac:dyDescent="0.25">
      <c r="A391" s="16" t="s">
        <v>379</v>
      </c>
      <c r="B391" s="47" t="s">
        <v>80</v>
      </c>
      <c r="D391" s="41"/>
      <c r="E391" s="41"/>
      <c r="F391" s="41"/>
      <c r="G391" s="42"/>
      <c r="H391" s="41"/>
      <c r="I391" s="41"/>
      <c r="J391" s="41"/>
      <c r="K391" s="41"/>
      <c r="L391" s="41"/>
      <c r="M391" s="41"/>
      <c r="N391" s="41"/>
      <c r="O391" s="41"/>
      <c r="P391" s="41"/>
      <c r="Q391" s="41"/>
      <c r="R391" s="41"/>
      <c r="S391" s="41"/>
      <c r="T391" s="41"/>
      <c r="U391" s="41"/>
      <c r="V391" s="41"/>
      <c r="W391" s="41"/>
      <c r="X391" s="41"/>
      <c r="Y391" s="41">
        <v>1</v>
      </c>
      <c r="Z391" s="41"/>
      <c r="AA391" s="41"/>
      <c r="AB391" s="41"/>
      <c r="AC391" s="41"/>
      <c r="AD391" s="41"/>
      <c r="AE391" s="41"/>
      <c r="AF391" s="41"/>
      <c r="AG391" s="41"/>
      <c r="AH391" s="41"/>
      <c r="AI391" s="41"/>
      <c r="AJ391" s="43"/>
      <c r="AK391" s="41"/>
      <c r="AL391" s="43"/>
      <c r="AM391" s="43"/>
      <c r="AT391" s="43">
        <f>SUM(C391:AS391)</f>
        <v>1</v>
      </c>
    </row>
    <row r="392" spans="1:46" s="16" customFormat="1" x14ac:dyDescent="0.25">
      <c r="B392" s="47"/>
      <c r="D392" s="41"/>
      <c r="E392" s="41"/>
      <c r="F392" s="41"/>
      <c r="G392" s="42"/>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3"/>
      <c r="AK392" s="41"/>
      <c r="AL392" s="43"/>
      <c r="AM392" s="43"/>
      <c r="AT392" s="43">
        <f>SUM(C392:AS392)</f>
        <v>0</v>
      </c>
    </row>
    <row r="393" spans="1:46" s="3" customFormat="1" x14ac:dyDescent="0.25">
      <c r="A393" s="35" t="s">
        <v>280</v>
      </c>
      <c r="B393" s="49"/>
      <c r="C393" s="24"/>
      <c r="G393" s="19"/>
      <c r="AJ393" s="24"/>
      <c r="AN393" s="24"/>
      <c r="AO393" s="24"/>
      <c r="AP393" s="24"/>
      <c r="AQ393" s="24"/>
      <c r="AR393" s="24"/>
      <c r="AS393" s="24"/>
      <c r="AT393" s="24"/>
    </row>
    <row r="394" spans="1:46" s="23" customFormat="1" x14ac:dyDescent="0.25">
      <c r="A394" s="45" t="s">
        <v>117</v>
      </c>
      <c r="B394" s="50"/>
      <c r="D394" s="41"/>
      <c r="E394" s="41"/>
      <c r="F394" s="41"/>
      <c r="G394" s="42"/>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3"/>
      <c r="AK394" s="41"/>
      <c r="AL394" s="43"/>
      <c r="AM394" s="43"/>
      <c r="AT394" s="43"/>
    </row>
    <row r="395" spans="1:46" s="16" customFormat="1" x14ac:dyDescent="0.25">
      <c r="A395" s="16" t="s">
        <v>380</v>
      </c>
      <c r="B395" s="47" t="s">
        <v>80</v>
      </c>
      <c r="D395" s="41"/>
      <c r="E395" s="41"/>
      <c r="F395" s="41"/>
      <c r="G395" s="42"/>
      <c r="H395" s="41"/>
      <c r="I395" s="41"/>
      <c r="J395" s="41"/>
      <c r="K395" s="41"/>
      <c r="L395" s="41"/>
      <c r="M395" s="41"/>
      <c r="N395" s="41"/>
      <c r="O395" s="41"/>
      <c r="P395" s="41"/>
      <c r="Q395" s="41"/>
      <c r="R395" s="41"/>
      <c r="S395" s="41"/>
      <c r="T395" s="41"/>
      <c r="U395" s="41"/>
      <c r="V395" s="41"/>
      <c r="W395" s="41"/>
      <c r="X395" s="41"/>
      <c r="Y395" s="41">
        <v>1</v>
      </c>
      <c r="Z395" s="41"/>
      <c r="AA395" s="41"/>
      <c r="AB395" s="41"/>
      <c r="AC395" s="41"/>
      <c r="AD395" s="41"/>
      <c r="AE395" s="41"/>
      <c r="AF395" s="41"/>
      <c r="AG395" s="41"/>
      <c r="AH395" s="41"/>
      <c r="AI395" s="41"/>
      <c r="AJ395" s="43"/>
      <c r="AK395" s="41"/>
      <c r="AL395" s="43"/>
      <c r="AM395" s="43"/>
      <c r="AT395" s="43">
        <f>SUM(C395:AS395)</f>
        <v>1</v>
      </c>
    </row>
    <row r="396" spans="1:46" s="16" customFormat="1" x14ac:dyDescent="0.25">
      <c r="B396" s="47"/>
      <c r="D396" s="41"/>
      <c r="E396" s="41"/>
      <c r="F396" s="41"/>
      <c r="G396" s="42"/>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3"/>
      <c r="AK396" s="41"/>
      <c r="AL396" s="43"/>
      <c r="AM396" s="43"/>
      <c r="AT396" s="43">
        <f>SUM(C396:AS396)</f>
        <v>0</v>
      </c>
    </row>
    <row r="397" spans="1:46" s="3" customFormat="1" x14ac:dyDescent="0.25">
      <c r="A397" s="35" t="s">
        <v>402</v>
      </c>
      <c r="B397" s="49"/>
      <c r="C397" s="24"/>
      <c r="G397" s="19"/>
      <c r="AJ397" s="24"/>
      <c r="AN397" s="24"/>
      <c r="AO397" s="24"/>
      <c r="AP397" s="24"/>
      <c r="AQ397" s="24"/>
      <c r="AR397" s="24"/>
      <c r="AS397" s="24"/>
      <c r="AT397" s="24"/>
    </row>
    <row r="398" spans="1:46" s="23" customFormat="1" x14ac:dyDescent="0.25">
      <c r="A398" s="45" t="s">
        <v>117</v>
      </c>
      <c r="B398" s="50"/>
      <c r="D398" s="41"/>
      <c r="E398" s="41"/>
      <c r="F398" s="41"/>
      <c r="G398" s="42"/>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3"/>
      <c r="AK398" s="41"/>
      <c r="AL398" s="43"/>
      <c r="AM398" s="43"/>
      <c r="AT398" s="43"/>
    </row>
    <row r="399" spans="1:46" s="16" customFormat="1" x14ac:dyDescent="0.25">
      <c r="A399" s="16" t="s">
        <v>130</v>
      </c>
      <c r="B399" s="47"/>
      <c r="D399" s="41"/>
      <c r="E399" s="41"/>
      <c r="F399" s="41"/>
      <c r="G399" s="42"/>
      <c r="H399" s="41"/>
      <c r="I399" s="41"/>
      <c r="J399" s="41"/>
      <c r="K399" s="41"/>
      <c r="L399" s="41"/>
      <c r="M399" s="41"/>
      <c r="N399" s="41"/>
      <c r="O399" s="41"/>
      <c r="P399" s="41"/>
      <c r="Q399" s="41"/>
      <c r="R399" s="41"/>
      <c r="S399" s="41"/>
      <c r="T399" s="41"/>
      <c r="U399" s="41"/>
      <c r="V399" s="41"/>
      <c r="W399" s="41"/>
      <c r="X399" s="41"/>
      <c r="Y399" s="41"/>
      <c r="Z399" s="41">
        <v>4</v>
      </c>
      <c r="AA399" s="41"/>
      <c r="AB399" s="41"/>
      <c r="AC399" s="41"/>
      <c r="AD399" s="41"/>
      <c r="AE399" s="41"/>
      <c r="AF399" s="41"/>
      <c r="AG399" s="41"/>
      <c r="AH399" s="41"/>
      <c r="AI399" s="41"/>
      <c r="AJ399" s="43"/>
      <c r="AK399" s="41"/>
      <c r="AL399" s="43"/>
      <c r="AM399" s="43"/>
      <c r="AT399" s="43">
        <f>SUM(C399:AS399)</f>
        <v>4</v>
      </c>
    </row>
    <row r="400" spans="1:46" s="16" customFormat="1" x14ac:dyDescent="0.25">
      <c r="B400" s="47"/>
      <c r="D400" s="41"/>
      <c r="E400" s="41"/>
      <c r="F400" s="41"/>
      <c r="G400" s="42"/>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3"/>
      <c r="AK400" s="41"/>
      <c r="AL400" s="43"/>
      <c r="AM400" s="43"/>
      <c r="AT400" s="43">
        <f>SUM(C400:AS400)</f>
        <v>0</v>
      </c>
    </row>
    <row r="401" spans="1:46" s="3" customFormat="1" x14ac:dyDescent="0.25">
      <c r="A401" s="35" t="s">
        <v>403</v>
      </c>
      <c r="B401" s="49"/>
      <c r="C401" s="24"/>
      <c r="G401" s="19"/>
      <c r="AJ401" s="24"/>
      <c r="AN401" s="24"/>
      <c r="AO401" s="24"/>
      <c r="AP401" s="24"/>
      <c r="AQ401" s="24"/>
      <c r="AR401" s="24"/>
      <c r="AS401" s="24"/>
      <c r="AT401" s="24"/>
    </row>
    <row r="402" spans="1:46" s="23" customFormat="1" x14ac:dyDescent="0.25">
      <c r="A402" s="45" t="s">
        <v>117</v>
      </c>
      <c r="B402" s="50"/>
      <c r="D402" s="41"/>
      <c r="E402" s="41"/>
      <c r="F402" s="41"/>
      <c r="G402" s="42"/>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3"/>
      <c r="AK402" s="41"/>
      <c r="AL402" s="43"/>
      <c r="AM402" s="43"/>
      <c r="AT402" s="43"/>
    </row>
    <row r="403" spans="1:46" s="16" customFormat="1" x14ac:dyDescent="0.25">
      <c r="A403" s="16" t="s">
        <v>404</v>
      </c>
      <c r="B403" s="47" t="s">
        <v>80</v>
      </c>
      <c r="D403" s="41"/>
      <c r="E403" s="41"/>
      <c r="F403" s="41"/>
      <c r="G403" s="42"/>
      <c r="H403" s="41"/>
      <c r="I403" s="41"/>
      <c r="J403" s="41"/>
      <c r="K403" s="41"/>
      <c r="L403" s="41"/>
      <c r="M403" s="41"/>
      <c r="N403" s="41"/>
      <c r="O403" s="41"/>
      <c r="P403" s="41"/>
      <c r="Q403" s="41"/>
      <c r="R403" s="41"/>
      <c r="S403" s="41"/>
      <c r="T403" s="41"/>
      <c r="U403" s="41"/>
      <c r="V403" s="41"/>
      <c r="W403" s="41"/>
      <c r="X403" s="41"/>
      <c r="Y403" s="41"/>
      <c r="Z403" s="41">
        <v>4</v>
      </c>
      <c r="AA403" s="41"/>
      <c r="AB403" s="41"/>
      <c r="AC403" s="41"/>
      <c r="AD403" s="41"/>
      <c r="AE403" s="41"/>
      <c r="AF403" s="41"/>
      <c r="AG403" s="41"/>
      <c r="AH403" s="41"/>
      <c r="AI403" s="41"/>
      <c r="AJ403" s="43"/>
      <c r="AK403" s="41"/>
      <c r="AL403" s="43"/>
      <c r="AM403" s="43"/>
      <c r="AT403" s="43">
        <f>SUM(C403:AS403)</f>
        <v>4</v>
      </c>
    </row>
    <row r="404" spans="1:46" s="16" customFormat="1" x14ac:dyDescent="0.25">
      <c r="B404" s="47"/>
      <c r="D404" s="41"/>
      <c r="E404" s="41"/>
      <c r="F404" s="41"/>
      <c r="G404" s="42"/>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3"/>
      <c r="AK404" s="41"/>
      <c r="AL404" s="43"/>
      <c r="AM404" s="43"/>
      <c r="AT404" s="43">
        <f>SUM(C404:AS404)</f>
        <v>0</v>
      </c>
    </row>
    <row r="405" spans="1:46" s="3" customFormat="1" x14ac:dyDescent="0.25">
      <c r="A405" s="35" t="s">
        <v>281</v>
      </c>
      <c r="B405" s="49"/>
      <c r="C405" s="24"/>
      <c r="G405" s="19"/>
      <c r="AJ405" s="24"/>
      <c r="AN405" s="24"/>
      <c r="AO405" s="24"/>
      <c r="AP405" s="24"/>
      <c r="AQ405" s="24"/>
      <c r="AR405" s="24"/>
      <c r="AS405" s="24"/>
      <c r="AT405" s="24"/>
    </row>
    <row r="406" spans="1:46" s="23" customFormat="1" x14ac:dyDescent="0.25">
      <c r="A406" s="23" t="s">
        <v>283</v>
      </c>
      <c r="B406" s="50" t="s">
        <v>80</v>
      </c>
      <c r="D406" s="41"/>
      <c r="E406" s="41"/>
      <c r="F406" s="41"/>
      <c r="G406" s="42"/>
      <c r="H406" s="41"/>
      <c r="I406" s="41"/>
      <c r="J406" s="41"/>
      <c r="K406" s="41"/>
      <c r="L406" s="41"/>
      <c r="M406" s="41"/>
      <c r="N406" s="41"/>
      <c r="O406" s="41"/>
      <c r="P406" s="41"/>
      <c r="Q406" s="41"/>
      <c r="R406" s="41"/>
      <c r="S406" s="41"/>
      <c r="T406" s="41"/>
      <c r="U406" s="41"/>
      <c r="V406" s="41"/>
      <c r="W406" s="41"/>
      <c r="X406" s="41"/>
      <c r="Y406" s="41"/>
      <c r="Z406" s="41"/>
      <c r="AA406" s="41"/>
      <c r="AB406" s="41">
        <v>3</v>
      </c>
      <c r="AC406" s="41"/>
      <c r="AD406" s="41"/>
      <c r="AE406" s="41"/>
      <c r="AF406" s="41"/>
      <c r="AG406" s="41"/>
      <c r="AH406" s="41"/>
      <c r="AI406" s="41"/>
      <c r="AJ406" s="43"/>
      <c r="AK406" s="41"/>
      <c r="AL406" s="43"/>
      <c r="AM406" s="43"/>
      <c r="AT406" s="43">
        <f>SUM(C406:AS406)</f>
        <v>3</v>
      </c>
    </row>
    <row r="407" spans="1:46" s="16" customFormat="1" x14ac:dyDescent="0.25">
      <c r="A407" s="45" t="s">
        <v>117</v>
      </c>
      <c r="B407" s="47"/>
      <c r="D407" s="41"/>
      <c r="E407" s="41"/>
      <c r="F407" s="41"/>
      <c r="G407" s="42"/>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3"/>
      <c r="AK407" s="41"/>
      <c r="AL407" s="43"/>
      <c r="AM407" s="43"/>
      <c r="AT407" s="43"/>
    </row>
    <row r="408" spans="1:46" s="16" customFormat="1" x14ac:dyDescent="0.25">
      <c r="B408" s="47"/>
      <c r="D408" s="41"/>
      <c r="E408" s="41"/>
      <c r="F408" s="41"/>
      <c r="G408" s="42"/>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3"/>
      <c r="AK408" s="41"/>
      <c r="AL408" s="43"/>
      <c r="AM408" s="43"/>
      <c r="AT408" s="43">
        <f>SUM(C408:AS408)</f>
        <v>0</v>
      </c>
    </row>
    <row r="409" spans="1:46" s="3" customFormat="1" x14ac:dyDescent="0.25">
      <c r="A409" s="35" t="s">
        <v>282</v>
      </c>
      <c r="B409" s="49"/>
      <c r="C409" s="24"/>
      <c r="G409" s="19"/>
      <c r="AJ409" s="24"/>
      <c r="AN409" s="24"/>
      <c r="AO409" s="24"/>
      <c r="AP409" s="24"/>
      <c r="AQ409" s="24"/>
      <c r="AR409" s="24"/>
      <c r="AS409" s="24"/>
      <c r="AT409" s="24"/>
    </row>
    <row r="410" spans="1:46" s="23" customFormat="1" x14ac:dyDescent="0.25">
      <c r="A410" s="23" t="s">
        <v>284</v>
      </c>
      <c r="B410" s="50" t="s">
        <v>80</v>
      </c>
      <c r="D410" s="41"/>
      <c r="E410" s="41"/>
      <c r="F410" s="41"/>
      <c r="G410" s="42"/>
      <c r="H410" s="41"/>
      <c r="I410" s="41"/>
      <c r="J410" s="41"/>
      <c r="K410" s="41"/>
      <c r="L410" s="41"/>
      <c r="M410" s="41"/>
      <c r="N410" s="41"/>
      <c r="O410" s="41"/>
      <c r="P410" s="41"/>
      <c r="Q410" s="41"/>
      <c r="R410" s="41"/>
      <c r="S410" s="41"/>
      <c r="T410" s="41"/>
      <c r="U410" s="41"/>
      <c r="V410" s="41"/>
      <c r="W410" s="41"/>
      <c r="X410" s="41"/>
      <c r="Y410" s="41"/>
      <c r="Z410" s="41"/>
      <c r="AA410" s="41"/>
      <c r="AB410" s="41">
        <v>3</v>
      </c>
      <c r="AC410" s="41"/>
      <c r="AD410" s="41"/>
      <c r="AE410" s="41"/>
      <c r="AF410" s="41"/>
      <c r="AG410" s="41"/>
      <c r="AH410" s="41"/>
      <c r="AI410" s="41"/>
      <c r="AJ410" s="43"/>
      <c r="AK410" s="41"/>
      <c r="AL410" s="43"/>
      <c r="AM410" s="43"/>
      <c r="AT410" s="43">
        <f>SUM(C410:AS410)</f>
        <v>3</v>
      </c>
    </row>
    <row r="411" spans="1:46" s="16" customFormat="1" x14ac:dyDescent="0.25">
      <c r="A411" s="45" t="s">
        <v>117</v>
      </c>
      <c r="B411" s="47"/>
      <c r="D411" s="41"/>
      <c r="E411" s="41"/>
      <c r="F411" s="41"/>
      <c r="G411" s="42"/>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3"/>
      <c r="AK411" s="41"/>
      <c r="AL411" s="43"/>
      <c r="AM411" s="43"/>
      <c r="AT411" s="43"/>
    </row>
    <row r="412" spans="1:46" s="16" customFormat="1" x14ac:dyDescent="0.25">
      <c r="B412" s="47"/>
      <c r="D412" s="41"/>
      <c r="E412" s="41"/>
      <c r="F412" s="41"/>
      <c r="G412" s="42"/>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3"/>
      <c r="AK412" s="41"/>
      <c r="AL412" s="43"/>
      <c r="AM412" s="43"/>
      <c r="AT412" s="43">
        <f>SUM(C412:AS412)</f>
        <v>0</v>
      </c>
    </row>
    <row r="413" spans="1:46" s="3" customFormat="1" x14ac:dyDescent="0.25">
      <c r="A413" s="35" t="s">
        <v>285</v>
      </c>
      <c r="B413" s="49"/>
      <c r="C413" s="24"/>
      <c r="G413" s="19"/>
      <c r="AJ413" s="24"/>
      <c r="AN413" s="24"/>
      <c r="AO413" s="24"/>
      <c r="AP413" s="24"/>
      <c r="AQ413" s="24"/>
      <c r="AR413" s="24"/>
      <c r="AS413" s="24"/>
      <c r="AT413" s="24"/>
    </row>
    <row r="414" spans="1:46" s="23" customFormat="1" x14ac:dyDescent="0.25">
      <c r="A414" s="45" t="s">
        <v>117</v>
      </c>
      <c r="B414" s="50"/>
      <c r="D414" s="41"/>
      <c r="E414" s="41"/>
      <c r="F414" s="41"/>
      <c r="G414" s="42"/>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3"/>
      <c r="AK414" s="41"/>
      <c r="AL414" s="43"/>
      <c r="AM414" s="43"/>
      <c r="AT414" s="43"/>
    </row>
    <row r="415" spans="1:46" s="16" customFormat="1" x14ac:dyDescent="0.25">
      <c r="B415" s="47"/>
      <c r="D415" s="41"/>
      <c r="E415" s="41"/>
      <c r="F415" s="41"/>
      <c r="G415" s="42"/>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3"/>
      <c r="AK415" s="41"/>
      <c r="AL415" s="43"/>
      <c r="AM415" s="43"/>
      <c r="AT415" s="43">
        <f>SUM(C415:AS415)</f>
        <v>0</v>
      </c>
    </row>
    <row r="416" spans="1:46" s="16" customFormat="1" x14ac:dyDescent="0.25">
      <c r="B416" s="47"/>
      <c r="D416" s="41"/>
      <c r="E416" s="41"/>
      <c r="F416" s="41"/>
      <c r="G416" s="42"/>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3"/>
      <c r="AK416" s="41"/>
      <c r="AL416" s="43"/>
      <c r="AM416" s="43"/>
      <c r="AT416" s="43">
        <f>SUM(C416:AS416)</f>
        <v>0</v>
      </c>
    </row>
    <row r="417" spans="1:46" s="3" customFormat="1" x14ac:dyDescent="0.25">
      <c r="A417" s="35" t="s">
        <v>286</v>
      </c>
      <c r="B417" s="49"/>
      <c r="C417" s="24"/>
      <c r="G417" s="19"/>
      <c r="AJ417" s="24"/>
      <c r="AN417" s="24"/>
      <c r="AO417" s="24"/>
      <c r="AP417" s="24"/>
      <c r="AQ417" s="24"/>
      <c r="AR417" s="24"/>
      <c r="AS417" s="24"/>
      <c r="AT417" s="24"/>
    </row>
    <row r="418" spans="1:46" s="23" customFormat="1" x14ac:dyDescent="0.25">
      <c r="A418" s="45" t="s">
        <v>117</v>
      </c>
      <c r="B418" s="50"/>
      <c r="D418" s="41"/>
      <c r="E418" s="41"/>
      <c r="F418" s="41"/>
      <c r="G418" s="42"/>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3"/>
      <c r="AK418" s="41"/>
      <c r="AL418" s="43"/>
      <c r="AM418" s="43"/>
      <c r="AT418" s="43"/>
    </row>
    <row r="419" spans="1:46" s="16" customFormat="1" x14ac:dyDescent="0.25">
      <c r="B419" s="47"/>
      <c r="D419" s="41"/>
      <c r="E419" s="41"/>
      <c r="F419" s="41"/>
      <c r="G419" s="42"/>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3"/>
      <c r="AK419" s="41"/>
      <c r="AL419" s="43"/>
      <c r="AM419" s="43"/>
      <c r="AT419" s="43">
        <f>SUM(C419:AS419)</f>
        <v>0</v>
      </c>
    </row>
    <row r="420" spans="1:46" s="16" customFormat="1" x14ac:dyDescent="0.25">
      <c r="B420" s="47"/>
      <c r="D420" s="41"/>
      <c r="E420" s="41"/>
      <c r="F420" s="41"/>
      <c r="G420" s="42"/>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3"/>
      <c r="AK420" s="41"/>
      <c r="AL420" s="43"/>
      <c r="AM420" s="43"/>
      <c r="AT420" s="43">
        <f>SUM(C420:AS420)</f>
        <v>0</v>
      </c>
    </row>
    <row r="421" spans="1:46" s="3" customFormat="1" x14ac:dyDescent="0.25">
      <c r="A421" s="35" t="s">
        <v>287</v>
      </c>
      <c r="B421" s="49"/>
      <c r="C421" s="24"/>
      <c r="G421" s="19"/>
      <c r="AJ421" s="24"/>
      <c r="AN421" s="24"/>
      <c r="AO421" s="24"/>
      <c r="AP421" s="24"/>
      <c r="AQ421" s="24"/>
      <c r="AR421" s="24"/>
      <c r="AS421" s="24"/>
      <c r="AT421" s="24"/>
    </row>
    <row r="422" spans="1:46" s="23" customFormat="1" x14ac:dyDescent="0.25">
      <c r="A422" s="45" t="s">
        <v>117</v>
      </c>
      <c r="B422" s="50"/>
      <c r="D422" s="41"/>
      <c r="E422" s="41"/>
      <c r="F422" s="41"/>
      <c r="G422" s="42"/>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3"/>
      <c r="AK422" s="41"/>
      <c r="AL422" s="43"/>
      <c r="AM422" s="43"/>
      <c r="AT422" s="43"/>
    </row>
    <row r="423" spans="1:46" s="16" customFormat="1" x14ac:dyDescent="0.25">
      <c r="B423" s="47"/>
      <c r="D423" s="41"/>
      <c r="E423" s="41"/>
      <c r="F423" s="41"/>
      <c r="G423" s="42"/>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3"/>
      <c r="AK423" s="41"/>
      <c r="AL423" s="43"/>
      <c r="AM423" s="43"/>
      <c r="AT423" s="43">
        <f>SUM(C423:AS423)</f>
        <v>0</v>
      </c>
    </row>
    <row r="424" spans="1:46" s="16" customFormat="1" x14ac:dyDescent="0.25">
      <c r="B424" s="47"/>
      <c r="D424" s="41"/>
      <c r="E424" s="41"/>
      <c r="F424" s="41"/>
      <c r="G424" s="42"/>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3"/>
      <c r="AK424" s="41"/>
      <c r="AL424" s="43"/>
      <c r="AM424" s="43"/>
      <c r="AT424" s="43">
        <f>SUM(C424:AS424)</f>
        <v>0</v>
      </c>
    </row>
    <row r="425" spans="1:46" s="3" customFormat="1" x14ac:dyDescent="0.25">
      <c r="A425" s="35" t="s">
        <v>288</v>
      </c>
      <c r="B425" s="49"/>
      <c r="C425" s="24"/>
      <c r="G425" s="19"/>
      <c r="AJ425" s="24"/>
      <c r="AN425" s="24"/>
      <c r="AO425" s="24"/>
      <c r="AP425" s="24"/>
      <c r="AQ425" s="24"/>
      <c r="AR425" s="24"/>
      <c r="AS425" s="24"/>
      <c r="AT425" s="24"/>
    </row>
    <row r="426" spans="1:46" s="23" customFormat="1" x14ac:dyDescent="0.25">
      <c r="A426" s="45" t="s">
        <v>117</v>
      </c>
      <c r="B426" s="50"/>
      <c r="D426" s="41"/>
      <c r="E426" s="41"/>
      <c r="F426" s="41"/>
      <c r="G426" s="42"/>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3"/>
      <c r="AK426" s="41"/>
      <c r="AL426" s="43"/>
      <c r="AM426" s="43"/>
      <c r="AT426" s="43"/>
    </row>
    <row r="427" spans="1:46" s="16" customFormat="1" x14ac:dyDescent="0.25">
      <c r="B427" s="47"/>
      <c r="D427" s="41"/>
      <c r="E427" s="41"/>
      <c r="F427" s="41"/>
      <c r="G427" s="42"/>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3"/>
      <c r="AK427" s="41"/>
      <c r="AL427" s="43"/>
      <c r="AM427" s="43"/>
      <c r="AT427" s="43">
        <f>SUM(C427:AS427)</f>
        <v>0</v>
      </c>
    </row>
    <row r="428" spans="1:46" s="16" customFormat="1" x14ac:dyDescent="0.25">
      <c r="B428" s="47"/>
      <c r="D428" s="41"/>
      <c r="E428" s="41"/>
      <c r="F428" s="41"/>
      <c r="G428" s="42"/>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3"/>
      <c r="AK428" s="41"/>
      <c r="AL428" s="43"/>
      <c r="AM428" s="43"/>
      <c r="AT428" s="43">
        <f>SUM(C428:AS428)</f>
        <v>0</v>
      </c>
    </row>
    <row r="429" spans="1:46" s="3" customFormat="1" x14ac:dyDescent="0.25">
      <c r="A429" s="35" t="s">
        <v>289</v>
      </c>
      <c r="B429" s="49"/>
      <c r="C429" s="24"/>
      <c r="G429" s="19"/>
      <c r="AJ429" s="24"/>
      <c r="AN429" s="24"/>
      <c r="AO429" s="24"/>
      <c r="AP429" s="24"/>
      <c r="AQ429" s="24"/>
      <c r="AR429" s="24"/>
      <c r="AS429" s="24"/>
      <c r="AT429" s="24"/>
    </row>
    <row r="430" spans="1:46" s="23" customFormat="1" x14ac:dyDescent="0.25">
      <c r="A430" s="45" t="s">
        <v>117</v>
      </c>
      <c r="B430" s="50"/>
      <c r="D430" s="41"/>
      <c r="E430" s="41"/>
      <c r="F430" s="41"/>
      <c r="G430" s="42"/>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3"/>
      <c r="AK430" s="41"/>
      <c r="AL430" s="43"/>
      <c r="AM430" s="43"/>
      <c r="AT430" s="43"/>
    </row>
    <row r="431" spans="1:46" s="16" customFormat="1" x14ac:dyDescent="0.25">
      <c r="B431" s="47"/>
      <c r="D431" s="41"/>
      <c r="E431" s="41"/>
      <c r="F431" s="41"/>
      <c r="G431" s="42"/>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3"/>
      <c r="AK431" s="41"/>
      <c r="AL431" s="43"/>
      <c r="AM431" s="43"/>
      <c r="AT431" s="43">
        <f>SUM(C431:AS431)</f>
        <v>0</v>
      </c>
    </row>
    <row r="432" spans="1:46" s="16" customFormat="1" x14ac:dyDescent="0.25">
      <c r="B432" s="47"/>
      <c r="D432" s="41"/>
      <c r="E432" s="41"/>
      <c r="F432" s="41"/>
      <c r="G432" s="42"/>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3"/>
      <c r="AK432" s="41"/>
      <c r="AL432" s="43"/>
      <c r="AM432" s="43"/>
      <c r="AT432" s="43">
        <f>SUM(C432:AS432)</f>
        <v>0</v>
      </c>
    </row>
    <row r="433" spans="1:46" s="3" customFormat="1" x14ac:dyDescent="0.25">
      <c r="A433" s="35" t="s">
        <v>290</v>
      </c>
      <c r="B433" s="49"/>
      <c r="C433" s="24"/>
      <c r="G433" s="19"/>
      <c r="AJ433" s="24"/>
      <c r="AN433" s="24"/>
      <c r="AO433" s="24"/>
      <c r="AP433" s="24"/>
      <c r="AQ433" s="24"/>
      <c r="AR433" s="24"/>
      <c r="AS433" s="24"/>
      <c r="AT433" s="24"/>
    </row>
    <row r="434" spans="1:46" s="23" customFormat="1" x14ac:dyDescent="0.25">
      <c r="A434" s="45" t="s">
        <v>117</v>
      </c>
      <c r="B434" s="50"/>
      <c r="D434" s="41"/>
      <c r="E434" s="41"/>
      <c r="F434" s="41"/>
      <c r="G434" s="42"/>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3"/>
      <c r="AK434" s="41"/>
      <c r="AL434" s="43"/>
      <c r="AM434" s="43"/>
      <c r="AT434" s="43"/>
    </row>
    <row r="435" spans="1:46" s="16" customFormat="1" x14ac:dyDescent="0.25">
      <c r="B435" s="47"/>
      <c r="D435" s="41"/>
      <c r="E435" s="41"/>
      <c r="F435" s="41"/>
      <c r="G435" s="42"/>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3"/>
      <c r="AK435" s="41"/>
      <c r="AL435" s="43"/>
      <c r="AM435" s="43"/>
      <c r="AT435" s="43">
        <f>SUM(C435:AS435)</f>
        <v>0</v>
      </c>
    </row>
    <row r="436" spans="1:46" s="16" customFormat="1" x14ac:dyDescent="0.25">
      <c r="B436" s="47"/>
      <c r="D436" s="41"/>
      <c r="E436" s="41"/>
      <c r="F436" s="41"/>
      <c r="G436" s="42"/>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3"/>
      <c r="AK436" s="41"/>
      <c r="AL436" s="43"/>
      <c r="AM436" s="43"/>
      <c r="AT436" s="43">
        <f>SUM(C436:AS436)</f>
        <v>0</v>
      </c>
    </row>
    <row r="437" spans="1:46" s="3" customFormat="1" x14ac:dyDescent="0.25">
      <c r="A437" s="35" t="s">
        <v>291</v>
      </c>
      <c r="B437" s="49"/>
      <c r="C437" s="24"/>
      <c r="G437" s="19"/>
      <c r="AJ437" s="24"/>
      <c r="AN437" s="24"/>
      <c r="AO437" s="24"/>
      <c r="AP437" s="24"/>
      <c r="AQ437" s="24"/>
      <c r="AR437" s="24"/>
      <c r="AS437" s="24"/>
      <c r="AT437" s="24"/>
    </row>
    <row r="438" spans="1:46" s="23" customFormat="1" x14ac:dyDescent="0.25">
      <c r="A438" s="45" t="s">
        <v>117</v>
      </c>
      <c r="B438" s="50"/>
      <c r="D438" s="41"/>
      <c r="E438" s="41"/>
      <c r="F438" s="41"/>
      <c r="G438" s="42"/>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3"/>
      <c r="AK438" s="41"/>
      <c r="AL438" s="43"/>
      <c r="AM438" s="43"/>
      <c r="AT438" s="43"/>
    </row>
    <row r="439" spans="1:46" s="16" customFormat="1" x14ac:dyDescent="0.25">
      <c r="A439" s="16" t="s">
        <v>363</v>
      </c>
      <c r="B439" s="47" t="s">
        <v>80</v>
      </c>
      <c r="D439" s="41"/>
      <c r="E439" s="41"/>
      <c r="F439" s="41"/>
      <c r="G439" s="42"/>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v>1</v>
      </c>
      <c r="AF439" s="41"/>
      <c r="AG439" s="41"/>
      <c r="AH439" s="41"/>
      <c r="AI439" s="41"/>
      <c r="AJ439" s="43"/>
      <c r="AK439" s="41"/>
      <c r="AL439" s="43"/>
      <c r="AM439" s="43"/>
      <c r="AT439" s="43">
        <f>SUM(C439:AS439)</f>
        <v>1</v>
      </c>
    </row>
    <row r="440" spans="1:46" s="16" customFormat="1" x14ac:dyDescent="0.25">
      <c r="B440" s="47"/>
      <c r="D440" s="41"/>
      <c r="E440" s="41"/>
      <c r="F440" s="41"/>
      <c r="G440" s="42"/>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3"/>
      <c r="AK440" s="41"/>
      <c r="AL440" s="43"/>
      <c r="AM440" s="43"/>
      <c r="AT440" s="43">
        <f>SUM(C440:AS440)</f>
        <v>0</v>
      </c>
    </row>
    <row r="441" spans="1:46" s="3" customFormat="1" x14ac:dyDescent="0.25">
      <c r="A441" s="35" t="s">
        <v>292</v>
      </c>
      <c r="B441" s="49"/>
      <c r="C441" s="24"/>
      <c r="G441" s="19"/>
      <c r="AJ441" s="24"/>
      <c r="AN441" s="24"/>
      <c r="AO441" s="24"/>
      <c r="AP441" s="24"/>
      <c r="AQ441" s="24"/>
      <c r="AR441" s="24"/>
      <c r="AS441" s="24"/>
      <c r="AT441" s="24"/>
    </row>
    <row r="442" spans="1:46" s="4" customFormat="1" x14ac:dyDescent="0.25">
      <c r="A442" s="4" t="s">
        <v>293</v>
      </c>
      <c r="B442" s="57" t="s">
        <v>79</v>
      </c>
      <c r="D442" s="53"/>
      <c r="E442" s="53"/>
      <c r="F442" s="53"/>
      <c r="G442" s="54"/>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v>5</v>
      </c>
      <c r="AF442" s="53"/>
      <c r="AG442" s="53"/>
      <c r="AH442" s="53"/>
      <c r="AI442" s="53"/>
      <c r="AJ442" s="55"/>
      <c r="AK442" s="53"/>
      <c r="AL442" s="55"/>
      <c r="AM442" s="55"/>
      <c r="AT442" s="55">
        <f>SUM(C442:AS442)</f>
        <v>5</v>
      </c>
    </row>
    <row r="443" spans="1:46" s="16" customFormat="1" x14ac:dyDescent="0.25">
      <c r="A443" s="45" t="s">
        <v>117</v>
      </c>
      <c r="B443" s="47"/>
      <c r="D443" s="41"/>
      <c r="E443" s="41"/>
      <c r="F443" s="41"/>
      <c r="G443" s="42"/>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3"/>
      <c r="AK443" s="41"/>
      <c r="AL443" s="43"/>
      <c r="AM443" s="43"/>
      <c r="AT443" s="43"/>
    </row>
    <row r="444" spans="1:46" s="16" customFormat="1" x14ac:dyDescent="0.25">
      <c r="A444" s="16" t="s">
        <v>364</v>
      </c>
      <c r="B444" s="47" t="s">
        <v>80</v>
      </c>
      <c r="D444" s="41"/>
      <c r="E444" s="41"/>
      <c r="F444" s="41"/>
      <c r="G444" s="42"/>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v>1</v>
      </c>
      <c r="AF444" s="41"/>
      <c r="AG444" s="41"/>
      <c r="AH444" s="41"/>
      <c r="AI444" s="41"/>
      <c r="AJ444" s="43"/>
      <c r="AK444" s="41"/>
      <c r="AL444" s="43"/>
      <c r="AM444" s="43"/>
      <c r="AT444" s="43">
        <f>SUM(C444:AS444)</f>
        <v>1</v>
      </c>
    </row>
    <row r="445" spans="1:46" s="3" customFormat="1" x14ac:dyDescent="0.25">
      <c r="A445" s="35" t="s">
        <v>294</v>
      </c>
      <c r="B445" s="49"/>
      <c r="C445" s="24"/>
      <c r="G445" s="19"/>
      <c r="AJ445" s="24"/>
      <c r="AN445" s="24"/>
      <c r="AO445" s="24"/>
      <c r="AP445" s="24"/>
      <c r="AQ445" s="24"/>
      <c r="AR445" s="24"/>
      <c r="AS445" s="24"/>
      <c r="AT445" s="24"/>
    </row>
    <row r="446" spans="1:46" s="23" customFormat="1" x14ac:dyDescent="0.25">
      <c r="A446" s="45" t="s">
        <v>117</v>
      </c>
      <c r="B446" s="50"/>
      <c r="D446" s="41"/>
      <c r="E446" s="41"/>
      <c r="F446" s="41"/>
      <c r="G446" s="42"/>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3"/>
      <c r="AK446" s="41"/>
      <c r="AL446" s="43"/>
      <c r="AM446" s="43"/>
      <c r="AT446" s="43"/>
    </row>
    <row r="447" spans="1:46" s="16" customFormat="1" x14ac:dyDescent="0.25">
      <c r="B447" s="47"/>
      <c r="D447" s="41"/>
      <c r="E447" s="41"/>
      <c r="F447" s="41"/>
      <c r="G447" s="42"/>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3"/>
      <c r="AK447" s="41"/>
      <c r="AL447" s="43"/>
      <c r="AM447" s="43"/>
      <c r="AT447" s="43">
        <f>SUM(C447:AS447)</f>
        <v>0</v>
      </c>
    </row>
    <row r="448" spans="1:46" s="16" customFormat="1" x14ac:dyDescent="0.25">
      <c r="B448" s="47"/>
      <c r="D448" s="41"/>
      <c r="E448" s="41"/>
      <c r="F448" s="41"/>
      <c r="G448" s="42"/>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3"/>
      <c r="AK448" s="41"/>
      <c r="AL448" s="43"/>
      <c r="AM448" s="43"/>
      <c r="AT448" s="43">
        <f>SUM(C448:AS448)</f>
        <v>0</v>
      </c>
    </row>
    <row r="449" spans="1:46" s="3" customFormat="1" x14ac:dyDescent="0.25">
      <c r="A449" s="35" t="s">
        <v>295</v>
      </c>
      <c r="B449" s="49"/>
      <c r="C449" s="24"/>
      <c r="G449" s="19"/>
      <c r="AJ449" s="24"/>
      <c r="AN449" s="24"/>
      <c r="AO449" s="24"/>
      <c r="AP449" s="24"/>
      <c r="AQ449" s="24"/>
      <c r="AR449" s="24"/>
      <c r="AS449" s="24"/>
      <c r="AT449" s="24"/>
    </row>
    <row r="450" spans="1:46" s="23" customFormat="1" x14ac:dyDescent="0.25">
      <c r="A450" s="45" t="s">
        <v>117</v>
      </c>
      <c r="B450" s="50"/>
      <c r="D450" s="41"/>
      <c r="E450" s="41"/>
      <c r="F450" s="41"/>
      <c r="G450" s="42"/>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3"/>
      <c r="AK450" s="41"/>
      <c r="AL450" s="43"/>
      <c r="AM450" s="43"/>
      <c r="AT450" s="43"/>
    </row>
    <row r="451" spans="1:46" s="16" customFormat="1" x14ac:dyDescent="0.25">
      <c r="B451" s="47"/>
      <c r="D451" s="41"/>
      <c r="E451" s="41"/>
      <c r="F451" s="41"/>
      <c r="G451" s="42"/>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3"/>
      <c r="AK451" s="41"/>
      <c r="AL451" s="43"/>
      <c r="AM451" s="43"/>
      <c r="AT451" s="43">
        <f>SUM(C451:AS451)</f>
        <v>0</v>
      </c>
    </row>
    <row r="452" spans="1:46" s="16" customFormat="1" x14ac:dyDescent="0.25">
      <c r="B452" s="47"/>
      <c r="D452" s="41"/>
      <c r="E452" s="41"/>
      <c r="F452" s="41"/>
      <c r="G452" s="42"/>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3"/>
      <c r="AK452" s="41"/>
      <c r="AL452" s="43"/>
      <c r="AM452" s="43"/>
      <c r="AT452" s="43">
        <f>SUM(C452:AS452)</f>
        <v>0</v>
      </c>
    </row>
    <row r="453" spans="1:46" s="3" customFormat="1" x14ac:dyDescent="0.25">
      <c r="A453" s="35" t="s">
        <v>296</v>
      </c>
      <c r="B453" s="49"/>
      <c r="C453" s="24"/>
      <c r="G453" s="19"/>
      <c r="AJ453" s="24"/>
      <c r="AN453" s="24"/>
      <c r="AO453" s="24"/>
      <c r="AP453" s="24"/>
      <c r="AQ453" s="24"/>
      <c r="AR453" s="24"/>
      <c r="AS453" s="24"/>
      <c r="AT453" s="24"/>
    </row>
    <row r="454" spans="1:46" s="23" customFormat="1" x14ac:dyDescent="0.25">
      <c r="A454" s="45" t="s">
        <v>117</v>
      </c>
      <c r="B454" s="50"/>
      <c r="D454" s="41"/>
      <c r="E454" s="41"/>
      <c r="F454" s="41"/>
      <c r="G454" s="42"/>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3"/>
      <c r="AK454" s="41"/>
      <c r="AL454" s="43"/>
      <c r="AM454" s="43"/>
      <c r="AT454" s="43"/>
    </row>
    <row r="455" spans="1:46" s="16" customFormat="1" x14ac:dyDescent="0.25">
      <c r="B455" s="47"/>
      <c r="D455" s="41"/>
      <c r="E455" s="41"/>
      <c r="F455" s="41"/>
      <c r="G455" s="42"/>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3"/>
      <c r="AK455" s="41"/>
      <c r="AL455" s="43"/>
      <c r="AM455" s="43"/>
      <c r="AT455" s="43">
        <f>SUM(C455:AS455)</f>
        <v>0</v>
      </c>
    </row>
    <row r="456" spans="1:46" s="16" customFormat="1" x14ac:dyDescent="0.25">
      <c r="B456" s="47"/>
      <c r="D456" s="41"/>
      <c r="E456" s="41"/>
      <c r="F456" s="41"/>
      <c r="G456" s="42"/>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3"/>
      <c r="AK456" s="41"/>
      <c r="AL456" s="43"/>
      <c r="AM456" s="43"/>
      <c r="AT456" s="43">
        <f>SUM(C456:AS456)</f>
        <v>0</v>
      </c>
    </row>
    <row r="457" spans="1:46" s="3" customFormat="1" x14ac:dyDescent="0.25">
      <c r="A457" s="35" t="s">
        <v>297</v>
      </c>
      <c r="B457" s="49"/>
      <c r="C457" s="24"/>
      <c r="G457" s="19"/>
      <c r="AJ457" s="24"/>
      <c r="AN457" s="24"/>
      <c r="AO457" s="24"/>
      <c r="AP457" s="24"/>
      <c r="AQ457" s="24"/>
      <c r="AR457" s="24"/>
      <c r="AS457" s="24"/>
      <c r="AT457" s="24"/>
    </row>
    <row r="458" spans="1:46" s="23" customFormat="1" x14ac:dyDescent="0.25">
      <c r="A458" s="45" t="s">
        <v>117</v>
      </c>
      <c r="B458" s="50"/>
      <c r="D458" s="41"/>
      <c r="E458" s="41"/>
      <c r="F458" s="41"/>
      <c r="G458" s="42"/>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3"/>
      <c r="AK458" s="41"/>
      <c r="AL458" s="43"/>
      <c r="AM458" s="43"/>
      <c r="AT458" s="43"/>
    </row>
    <row r="459" spans="1:46" s="16" customFormat="1" x14ac:dyDescent="0.25">
      <c r="B459" s="47"/>
      <c r="D459" s="41"/>
      <c r="E459" s="41"/>
      <c r="F459" s="41"/>
      <c r="G459" s="42"/>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3"/>
      <c r="AK459" s="41"/>
      <c r="AL459" s="43"/>
      <c r="AM459" s="43"/>
      <c r="AT459" s="43">
        <f>SUM(C459:AS459)</f>
        <v>0</v>
      </c>
    </row>
    <row r="460" spans="1:46" s="16" customFormat="1" x14ac:dyDescent="0.25">
      <c r="B460" s="47"/>
      <c r="D460" s="41"/>
      <c r="E460" s="41"/>
      <c r="F460" s="41"/>
      <c r="G460" s="42"/>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3"/>
      <c r="AK460" s="41"/>
      <c r="AL460" s="43"/>
      <c r="AM460" s="43"/>
      <c r="AT460" s="43">
        <f>SUM(C460:AS460)</f>
        <v>0</v>
      </c>
    </row>
    <row r="461" spans="1:46" s="3" customFormat="1" x14ac:dyDescent="0.25">
      <c r="A461" s="35" t="s">
        <v>298</v>
      </c>
      <c r="B461" s="49"/>
      <c r="C461" s="24"/>
      <c r="G461" s="19"/>
      <c r="AJ461" s="24"/>
      <c r="AN461" s="24"/>
      <c r="AO461" s="24"/>
      <c r="AP461" s="24"/>
      <c r="AQ461" s="24"/>
      <c r="AR461" s="24"/>
      <c r="AS461" s="24"/>
      <c r="AT461" s="24"/>
    </row>
    <row r="462" spans="1:46" s="23" customFormat="1" x14ac:dyDescent="0.25">
      <c r="A462" s="45" t="s">
        <v>117</v>
      </c>
      <c r="B462" s="50"/>
      <c r="D462" s="41"/>
      <c r="E462" s="41"/>
      <c r="F462" s="41"/>
      <c r="G462" s="42"/>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3"/>
      <c r="AK462" s="41"/>
      <c r="AL462" s="43"/>
      <c r="AM462" s="43"/>
      <c r="AT462" s="43"/>
    </row>
    <row r="463" spans="1:46" s="16" customFormat="1" x14ac:dyDescent="0.25">
      <c r="B463" s="47"/>
      <c r="D463" s="41"/>
      <c r="E463" s="41"/>
      <c r="F463" s="41"/>
      <c r="G463" s="42"/>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3"/>
      <c r="AK463" s="41"/>
      <c r="AL463" s="43"/>
      <c r="AM463" s="43"/>
      <c r="AT463" s="43">
        <f>SUM(C463:AS463)</f>
        <v>0</v>
      </c>
    </row>
    <row r="464" spans="1:46" s="16" customFormat="1" x14ac:dyDescent="0.25">
      <c r="B464" s="47"/>
      <c r="D464" s="41"/>
      <c r="E464" s="41"/>
      <c r="F464" s="41"/>
      <c r="G464" s="42"/>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3"/>
      <c r="AK464" s="41"/>
      <c r="AL464" s="43"/>
      <c r="AM464" s="43"/>
      <c r="AT464" s="43">
        <f>SUM(C464:AS464)</f>
        <v>0</v>
      </c>
    </row>
    <row r="465" spans="1:46" s="3" customFormat="1" x14ac:dyDescent="0.25">
      <c r="A465" s="35" t="s">
        <v>299</v>
      </c>
      <c r="B465" s="49"/>
      <c r="C465" s="24"/>
      <c r="G465" s="19"/>
      <c r="AJ465" s="24"/>
      <c r="AN465" s="24"/>
      <c r="AO465" s="24"/>
      <c r="AP465" s="24"/>
      <c r="AQ465" s="24"/>
      <c r="AR465" s="24"/>
      <c r="AS465" s="24"/>
      <c r="AT465" s="24"/>
    </row>
    <row r="466" spans="1:46" s="23" customFormat="1" x14ac:dyDescent="0.25">
      <c r="A466" s="45" t="s">
        <v>117</v>
      </c>
      <c r="B466" s="50"/>
      <c r="D466" s="41"/>
      <c r="E466" s="41"/>
      <c r="F466" s="41"/>
      <c r="G466" s="42"/>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3"/>
      <c r="AK466" s="41"/>
      <c r="AL466" s="43"/>
      <c r="AM466" s="43"/>
      <c r="AT466" s="43"/>
    </row>
    <row r="467" spans="1:46" s="16" customFormat="1" x14ac:dyDescent="0.25">
      <c r="B467" s="47"/>
      <c r="D467" s="41"/>
      <c r="E467" s="41"/>
      <c r="F467" s="41"/>
      <c r="G467" s="42"/>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3"/>
      <c r="AK467" s="41"/>
      <c r="AL467" s="43"/>
      <c r="AM467" s="43"/>
      <c r="AT467" s="43">
        <f>SUM(C467:AS467)</f>
        <v>0</v>
      </c>
    </row>
    <row r="468" spans="1:46" s="16" customFormat="1" x14ac:dyDescent="0.25">
      <c r="B468" s="47"/>
      <c r="D468" s="41"/>
      <c r="E468" s="41"/>
      <c r="F468" s="41"/>
      <c r="G468" s="42"/>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3"/>
      <c r="AK468" s="41"/>
      <c r="AL468" s="43"/>
      <c r="AM468" s="43"/>
      <c r="AT468" s="43">
        <f>SUM(C468:AS468)</f>
        <v>0</v>
      </c>
    </row>
    <row r="469" spans="1:46" s="3" customFormat="1" x14ac:dyDescent="0.25">
      <c r="A469" s="35" t="s">
        <v>302</v>
      </c>
      <c r="B469" s="49"/>
      <c r="C469" s="24"/>
      <c r="G469" s="19"/>
      <c r="AJ469" s="24"/>
      <c r="AN469" s="24"/>
      <c r="AO469" s="24"/>
      <c r="AP469" s="24"/>
      <c r="AQ469" s="24"/>
      <c r="AR469" s="24"/>
      <c r="AS469" s="24"/>
      <c r="AT469" s="24"/>
    </row>
    <row r="470" spans="1:46" s="4" customFormat="1" x14ac:dyDescent="0.25">
      <c r="A470" s="4" t="s">
        <v>300</v>
      </c>
      <c r="B470" s="57" t="s">
        <v>80</v>
      </c>
      <c r="D470" s="53"/>
      <c r="E470" s="53"/>
      <c r="F470" s="53"/>
      <c r="G470" s="54"/>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v>22</v>
      </c>
      <c r="AJ470" s="55"/>
      <c r="AK470" s="53"/>
      <c r="AL470" s="55"/>
      <c r="AM470" s="55"/>
      <c r="AT470" s="55">
        <f>SUM(C470:AS470)</f>
        <v>22</v>
      </c>
    </row>
    <row r="471" spans="1:46" s="16" customFormat="1" x14ac:dyDescent="0.25">
      <c r="A471" s="45" t="s">
        <v>117</v>
      </c>
      <c r="B471" s="47"/>
      <c r="D471" s="41"/>
      <c r="E471" s="41"/>
      <c r="F471" s="41"/>
      <c r="G471" s="42"/>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3"/>
      <c r="AK471" s="41"/>
      <c r="AL471" s="43"/>
      <c r="AM471" s="43"/>
      <c r="AT471" s="43"/>
    </row>
    <row r="472" spans="1:46" s="16" customFormat="1" x14ac:dyDescent="0.25">
      <c r="A472" s="16" t="s">
        <v>368</v>
      </c>
      <c r="B472" s="47" t="s">
        <v>80</v>
      </c>
      <c r="D472" s="41"/>
      <c r="E472" s="41"/>
      <c r="F472" s="41"/>
      <c r="G472" s="42"/>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v>1</v>
      </c>
      <c r="AJ472" s="43"/>
      <c r="AK472" s="41"/>
      <c r="AL472" s="43"/>
      <c r="AM472" s="43"/>
      <c r="AT472" s="43">
        <f>SUM(C472:AS472)</f>
        <v>1</v>
      </c>
    </row>
    <row r="473" spans="1:46" s="3" customFormat="1" x14ac:dyDescent="0.25">
      <c r="A473" s="35" t="s">
        <v>301</v>
      </c>
      <c r="B473" s="49"/>
      <c r="C473" s="24"/>
      <c r="G473" s="19"/>
      <c r="AJ473" s="24"/>
      <c r="AN473" s="24"/>
      <c r="AO473" s="24"/>
      <c r="AP473" s="24"/>
      <c r="AQ473" s="24"/>
      <c r="AR473" s="24"/>
      <c r="AS473" s="24"/>
      <c r="AT473" s="24"/>
    </row>
    <row r="474" spans="1:46" s="23" customFormat="1" x14ac:dyDescent="0.25">
      <c r="A474" s="45" t="s">
        <v>117</v>
      </c>
      <c r="B474" s="50"/>
      <c r="D474" s="41"/>
      <c r="E474" s="41"/>
      <c r="F474" s="41"/>
      <c r="G474" s="42"/>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3"/>
      <c r="AK474" s="41"/>
      <c r="AL474" s="43"/>
      <c r="AM474" s="43"/>
      <c r="AT474" s="43"/>
    </row>
    <row r="475" spans="1:46" s="16" customFormat="1" x14ac:dyDescent="0.25">
      <c r="A475" s="16" t="s">
        <v>369</v>
      </c>
      <c r="B475" s="47" t="s">
        <v>80</v>
      </c>
      <c r="D475" s="41"/>
      <c r="E475" s="41"/>
      <c r="F475" s="41"/>
      <c r="G475" s="42"/>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v>1</v>
      </c>
      <c r="AJ475" s="43"/>
      <c r="AK475" s="41"/>
      <c r="AL475" s="43"/>
      <c r="AM475" s="43"/>
      <c r="AT475" s="43">
        <f>SUM(C475:AS475)</f>
        <v>1</v>
      </c>
    </row>
    <row r="476" spans="1:46" s="16" customFormat="1" x14ac:dyDescent="0.25">
      <c r="A476" s="16" t="s">
        <v>370</v>
      </c>
      <c r="B476" s="47" t="s">
        <v>80</v>
      </c>
      <c r="D476" s="41"/>
      <c r="E476" s="41"/>
      <c r="F476" s="41"/>
      <c r="G476" s="42"/>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v>1</v>
      </c>
      <c r="AJ476" s="43"/>
      <c r="AK476" s="41"/>
      <c r="AL476" s="43"/>
      <c r="AM476" s="43"/>
      <c r="AT476" s="43">
        <f>SUM(C476:AS476)</f>
        <v>1</v>
      </c>
    </row>
    <row r="477" spans="1:46" s="16" customFormat="1" x14ac:dyDescent="0.25">
      <c r="A477" s="16" t="s">
        <v>371</v>
      </c>
      <c r="B477" s="47" t="s">
        <v>80</v>
      </c>
      <c r="D477" s="41"/>
      <c r="E477" s="41"/>
      <c r="F477" s="41"/>
      <c r="G477" s="42"/>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v>1</v>
      </c>
      <c r="AJ477" s="43"/>
      <c r="AK477" s="41"/>
      <c r="AL477" s="43"/>
      <c r="AM477" s="43"/>
      <c r="AT477" s="43">
        <f>SUM(C477:AS477)</f>
        <v>1</v>
      </c>
    </row>
    <row r="478" spans="1:46" s="3" customFormat="1" x14ac:dyDescent="0.25">
      <c r="A478" s="35" t="s">
        <v>303</v>
      </c>
      <c r="B478" s="49"/>
      <c r="C478" s="24"/>
      <c r="G478" s="19"/>
      <c r="AJ478" s="24"/>
      <c r="AN478" s="24"/>
      <c r="AO478" s="24"/>
      <c r="AP478" s="24"/>
      <c r="AQ478" s="24"/>
      <c r="AR478" s="24"/>
      <c r="AS478" s="24"/>
      <c r="AT478" s="24"/>
    </row>
    <row r="479" spans="1:46" s="23" customFormat="1" x14ac:dyDescent="0.25">
      <c r="A479" s="45" t="s">
        <v>117</v>
      </c>
      <c r="B479" s="50"/>
      <c r="D479" s="41"/>
      <c r="E479" s="41"/>
      <c r="F479" s="41"/>
      <c r="G479" s="42"/>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3"/>
      <c r="AK479" s="41"/>
      <c r="AL479" s="43"/>
      <c r="AM479" s="43"/>
      <c r="AT479" s="43"/>
    </row>
    <row r="480" spans="1:46" s="16" customFormat="1" x14ac:dyDescent="0.25">
      <c r="B480" s="47"/>
      <c r="D480" s="41"/>
      <c r="E480" s="41"/>
      <c r="F480" s="41"/>
      <c r="G480" s="42"/>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3"/>
      <c r="AK480" s="41"/>
      <c r="AL480" s="43"/>
      <c r="AM480" s="43"/>
      <c r="AT480" s="43">
        <f>SUM(C480:AS480)</f>
        <v>0</v>
      </c>
    </row>
    <row r="481" spans="1:46" s="16" customFormat="1" x14ac:dyDescent="0.25">
      <c r="B481" s="47"/>
      <c r="D481" s="41"/>
      <c r="E481" s="41"/>
      <c r="F481" s="41"/>
      <c r="G481" s="42"/>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3"/>
      <c r="AK481" s="41"/>
      <c r="AL481" s="43"/>
      <c r="AM481" s="43"/>
      <c r="AT481" s="43">
        <f>SUM(C481:AS481)</f>
        <v>0</v>
      </c>
    </row>
    <row r="482" spans="1:46" s="3" customFormat="1" x14ac:dyDescent="0.25">
      <c r="A482" s="35" t="s">
        <v>304</v>
      </c>
      <c r="B482" s="49"/>
      <c r="C482" s="24"/>
      <c r="G482" s="19"/>
      <c r="AJ482" s="24"/>
      <c r="AN482" s="24"/>
      <c r="AO482" s="24"/>
      <c r="AP482" s="24"/>
      <c r="AQ482" s="24"/>
      <c r="AR482" s="24"/>
      <c r="AS482" s="24"/>
      <c r="AT482" s="24"/>
    </row>
    <row r="483" spans="1:46" s="23" customFormat="1" x14ac:dyDescent="0.25">
      <c r="A483" s="45" t="s">
        <v>117</v>
      </c>
      <c r="B483" s="50"/>
      <c r="D483" s="41"/>
      <c r="E483" s="41"/>
      <c r="F483" s="41"/>
      <c r="G483" s="42"/>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3"/>
      <c r="AK483" s="41"/>
      <c r="AL483" s="43"/>
      <c r="AM483" s="43"/>
      <c r="AT483" s="43"/>
    </row>
    <row r="484" spans="1:46" s="16" customFormat="1" x14ac:dyDescent="0.25">
      <c r="B484" s="47"/>
      <c r="D484" s="41"/>
      <c r="E484" s="41"/>
      <c r="F484" s="41"/>
      <c r="G484" s="42"/>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3"/>
      <c r="AK484" s="41"/>
      <c r="AL484" s="43"/>
      <c r="AM484" s="43"/>
      <c r="AT484" s="43">
        <f>SUM(C484:AS484)</f>
        <v>0</v>
      </c>
    </row>
    <row r="485" spans="1:46" s="16" customFormat="1" x14ac:dyDescent="0.25">
      <c r="B485" s="47"/>
      <c r="D485" s="41"/>
      <c r="E485" s="41"/>
      <c r="F485" s="41"/>
      <c r="G485" s="42"/>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3"/>
      <c r="AK485" s="41"/>
      <c r="AL485" s="43"/>
      <c r="AM485" s="43"/>
      <c r="AT485" s="43">
        <f>SUM(C485:AS485)</f>
        <v>0</v>
      </c>
    </row>
    <row r="486" spans="1:46" s="3" customFormat="1" x14ac:dyDescent="0.25">
      <c r="A486" s="35" t="s">
        <v>305</v>
      </c>
      <c r="B486" s="49"/>
      <c r="C486" s="24"/>
      <c r="G486" s="19"/>
      <c r="AJ486" s="24"/>
      <c r="AN486" s="24"/>
      <c r="AO486" s="24"/>
      <c r="AP486" s="24"/>
      <c r="AQ486" s="24"/>
      <c r="AR486" s="24"/>
      <c r="AS486" s="24"/>
      <c r="AT486" s="24"/>
    </row>
    <row r="487" spans="1:46" s="23" customFormat="1" x14ac:dyDescent="0.25">
      <c r="A487" s="45" t="s">
        <v>117</v>
      </c>
      <c r="B487" s="50"/>
      <c r="D487" s="41"/>
      <c r="E487" s="41"/>
      <c r="F487" s="41"/>
      <c r="G487" s="42"/>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3"/>
      <c r="AK487" s="41"/>
      <c r="AL487" s="43"/>
      <c r="AM487" s="43"/>
      <c r="AT487" s="43"/>
    </row>
    <row r="488" spans="1:46" s="16" customFormat="1" x14ac:dyDescent="0.25">
      <c r="B488" s="47"/>
      <c r="D488" s="41"/>
      <c r="E488" s="41"/>
      <c r="F488" s="41"/>
      <c r="G488" s="42"/>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3"/>
      <c r="AK488" s="41"/>
      <c r="AL488" s="43"/>
      <c r="AM488" s="43"/>
      <c r="AT488" s="43">
        <f>SUM(C488:AS488)</f>
        <v>0</v>
      </c>
    </row>
    <row r="489" spans="1:46" s="16" customFormat="1" x14ac:dyDescent="0.25">
      <c r="B489" s="47"/>
      <c r="D489" s="41"/>
      <c r="E489" s="41"/>
      <c r="F489" s="41"/>
      <c r="G489" s="42"/>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3"/>
      <c r="AK489" s="41"/>
      <c r="AL489" s="43"/>
      <c r="AM489" s="43"/>
      <c r="AT489" s="43">
        <f>SUM(C489:AS489)</f>
        <v>0</v>
      </c>
    </row>
    <row r="490" spans="1:46" s="3" customFormat="1" x14ac:dyDescent="0.25">
      <c r="A490" s="35" t="s">
        <v>306</v>
      </c>
      <c r="B490" s="49"/>
      <c r="C490" s="24"/>
      <c r="G490" s="19"/>
      <c r="AJ490" s="24"/>
      <c r="AN490" s="24"/>
      <c r="AO490" s="24"/>
      <c r="AP490" s="24"/>
      <c r="AQ490" s="24"/>
      <c r="AR490" s="24"/>
      <c r="AS490" s="24"/>
      <c r="AT490" s="24"/>
    </row>
    <row r="491" spans="1:46" s="23" customFormat="1" x14ac:dyDescent="0.25">
      <c r="A491" s="45" t="s">
        <v>117</v>
      </c>
      <c r="B491" s="50"/>
      <c r="D491" s="41"/>
      <c r="E491" s="41"/>
      <c r="F491" s="41"/>
      <c r="G491" s="42"/>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3"/>
      <c r="AK491" s="41"/>
      <c r="AL491" s="43"/>
      <c r="AM491" s="43"/>
      <c r="AT491" s="43"/>
    </row>
    <row r="492" spans="1:46" s="16" customFormat="1" x14ac:dyDescent="0.25">
      <c r="B492" s="47"/>
      <c r="D492" s="41"/>
      <c r="E492" s="41"/>
      <c r="F492" s="41"/>
      <c r="G492" s="42"/>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3"/>
      <c r="AK492" s="41"/>
      <c r="AL492" s="43"/>
      <c r="AM492" s="43"/>
      <c r="AT492" s="43">
        <f>SUM(C492:AS492)</f>
        <v>0</v>
      </c>
    </row>
    <row r="493" spans="1:46" s="16" customFormat="1" x14ac:dyDescent="0.25">
      <c r="B493" s="47"/>
      <c r="D493" s="41"/>
      <c r="E493" s="41"/>
      <c r="F493" s="41"/>
      <c r="G493" s="42"/>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3"/>
      <c r="AK493" s="41"/>
      <c r="AL493" s="43"/>
      <c r="AM493" s="43"/>
      <c r="AT493" s="43">
        <f>SUM(C493:AS493)</f>
        <v>0</v>
      </c>
    </row>
    <row r="494" spans="1:46" s="3" customFormat="1" x14ac:dyDescent="0.25">
      <c r="A494" s="35" t="s">
        <v>307</v>
      </c>
      <c r="B494" s="49"/>
      <c r="C494" s="24"/>
      <c r="G494" s="19"/>
      <c r="AJ494" s="24"/>
      <c r="AN494" s="24"/>
      <c r="AO494" s="24"/>
      <c r="AP494" s="24"/>
      <c r="AQ494" s="24"/>
      <c r="AR494" s="24"/>
      <c r="AS494" s="24"/>
      <c r="AT494" s="24"/>
    </row>
    <row r="495" spans="1:46" s="23" customFormat="1" x14ac:dyDescent="0.25">
      <c r="A495" s="45" t="s">
        <v>117</v>
      </c>
      <c r="B495" s="50"/>
      <c r="D495" s="41"/>
      <c r="E495" s="41"/>
      <c r="F495" s="41"/>
      <c r="G495" s="42"/>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3"/>
      <c r="AK495" s="41"/>
      <c r="AL495" s="43"/>
      <c r="AM495" s="43"/>
      <c r="AT495" s="43"/>
    </row>
    <row r="496" spans="1:46" s="16" customFormat="1" x14ac:dyDescent="0.25">
      <c r="A496" s="16" t="s">
        <v>406</v>
      </c>
      <c r="B496" s="47"/>
      <c r="D496" s="41"/>
      <c r="E496" s="41"/>
      <c r="F496" s="41"/>
      <c r="G496" s="42"/>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3"/>
      <c r="AK496" s="41">
        <v>1</v>
      </c>
      <c r="AL496" s="43"/>
      <c r="AM496" s="43"/>
      <c r="AT496" s="43">
        <f>SUM(C496:AS496)</f>
        <v>1</v>
      </c>
    </row>
    <row r="497" spans="1:46" s="16" customFormat="1" x14ac:dyDescent="0.25">
      <c r="B497" s="47"/>
      <c r="D497" s="41"/>
      <c r="E497" s="41"/>
      <c r="F497" s="41"/>
      <c r="G497" s="42"/>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3"/>
      <c r="AK497" s="41"/>
      <c r="AL497" s="43"/>
      <c r="AM497" s="43"/>
      <c r="AT497" s="43">
        <f>SUM(C497:AS497)</f>
        <v>0</v>
      </c>
    </row>
    <row r="498" spans="1:46" s="3" customFormat="1" x14ac:dyDescent="0.25">
      <c r="A498" s="35" t="s">
        <v>308</v>
      </c>
      <c r="B498" s="49"/>
      <c r="C498" s="24"/>
      <c r="G498" s="19"/>
      <c r="AJ498" s="24"/>
      <c r="AN498" s="24"/>
      <c r="AO498" s="24"/>
      <c r="AP498" s="24"/>
      <c r="AQ498" s="24"/>
      <c r="AR498" s="24"/>
      <c r="AS498" s="24"/>
      <c r="AT498" s="24"/>
    </row>
    <row r="499" spans="1:46" s="23" customFormat="1" x14ac:dyDescent="0.25">
      <c r="A499" s="45" t="s">
        <v>117</v>
      </c>
      <c r="B499" s="50"/>
      <c r="D499" s="41"/>
      <c r="E499" s="41"/>
      <c r="F499" s="41"/>
      <c r="G499" s="42"/>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3"/>
      <c r="AK499" s="41"/>
      <c r="AL499" s="43"/>
      <c r="AM499" s="43"/>
      <c r="AT499" s="43"/>
    </row>
    <row r="500" spans="1:46" s="16" customFormat="1" x14ac:dyDescent="0.25">
      <c r="A500" s="16" t="s">
        <v>407</v>
      </c>
      <c r="B500" s="47"/>
      <c r="D500" s="41"/>
      <c r="E500" s="41"/>
      <c r="F500" s="41"/>
      <c r="G500" s="42"/>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3"/>
      <c r="AK500" s="41">
        <v>1</v>
      </c>
      <c r="AL500" s="43"/>
      <c r="AM500" s="43"/>
      <c r="AT500" s="43">
        <f>SUM(C500:AS500)</f>
        <v>1</v>
      </c>
    </row>
    <row r="501" spans="1:46" s="16" customFormat="1" x14ac:dyDescent="0.25">
      <c r="B501" s="47"/>
      <c r="D501" s="41"/>
      <c r="E501" s="41"/>
      <c r="F501" s="41"/>
      <c r="G501" s="42"/>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3"/>
      <c r="AK501" s="41"/>
      <c r="AL501" s="43"/>
      <c r="AM501" s="43"/>
      <c r="AT501" s="43">
        <f>SUM(C501:AS501)</f>
        <v>0</v>
      </c>
    </row>
    <row r="502" spans="1:46" s="3" customFormat="1" x14ac:dyDescent="0.25">
      <c r="A502" s="35" t="s">
        <v>312</v>
      </c>
      <c r="B502" s="49"/>
      <c r="C502" s="24"/>
      <c r="G502" s="19"/>
      <c r="AJ502" s="24"/>
      <c r="AN502" s="24"/>
      <c r="AO502" s="24"/>
      <c r="AP502" s="24"/>
      <c r="AQ502" s="24"/>
      <c r="AR502" s="24"/>
      <c r="AS502" s="24"/>
      <c r="AT502" s="24"/>
    </row>
    <row r="503" spans="1:46" s="23" customFormat="1" x14ac:dyDescent="0.25">
      <c r="A503" s="45" t="s">
        <v>117</v>
      </c>
      <c r="B503" s="50"/>
      <c r="D503" s="41"/>
      <c r="E503" s="41"/>
      <c r="F503" s="41"/>
      <c r="G503" s="42"/>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3"/>
      <c r="AK503" s="41"/>
      <c r="AL503" s="43"/>
      <c r="AM503" s="43"/>
      <c r="AT503" s="43"/>
    </row>
    <row r="504" spans="1:46" s="16" customFormat="1" x14ac:dyDescent="0.25">
      <c r="B504" s="47"/>
      <c r="D504" s="41"/>
      <c r="E504" s="41"/>
      <c r="F504" s="41"/>
      <c r="G504" s="42"/>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3"/>
      <c r="AK504" s="41"/>
      <c r="AL504" s="43"/>
      <c r="AM504" s="43"/>
      <c r="AT504" s="43">
        <f>SUM(C504:AS504)</f>
        <v>0</v>
      </c>
    </row>
    <row r="505" spans="1:46" s="16" customFormat="1" x14ac:dyDescent="0.25">
      <c r="B505" s="47"/>
      <c r="D505" s="41"/>
      <c r="E505" s="41"/>
      <c r="F505" s="41"/>
      <c r="G505" s="42"/>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3"/>
      <c r="AK505" s="41"/>
      <c r="AL505" s="43"/>
      <c r="AM505" s="43"/>
      <c r="AT505" s="43">
        <f>SUM(C505:AS505)</f>
        <v>0</v>
      </c>
    </row>
    <row r="506" spans="1:46" s="3" customFormat="1" x14ac:dyDescent="0.25">
      <c r="A506" s="35" t="s">
        <v>311</v>
      </c>
      <c r="B506" s="49"/>
      <c r="C506" s="24"/>
      <c r="G506" s="19"/>
      <c r="AJ506" s="24"/>
      <c r="AN506" s="24"/>
      <c r="AO506" s="24"/>
      <c r="AP506" s="24"/>
      <c r="AQ506" s="24"/>
      <c r="AR506" s="24"/>
      <c r="AS506" s="24"/>
      <c r="AT506" s="24"/>
    </row>
    <row r="507" spans="1:46" s="23" customFormat="1" x14ac:dyDescent="0.25">
      <c r="A507" s="45" t="s">
        <v>117</v>
      </c>
      <c r="B507" s="50"/>
      <c r="D507" s="41"/>
      <c r="E507" s="41"/>
      <c r="F507" s="41"/>
      <c r="G507" s="42"/>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3"/>
      <c r="AK507" s="41"/>
      <c r="AL507" s="43"/>
      <c r="AM507" s="43"/>
      <c r="AT507" s="43"/>
    </row>
    <row r="508" spans="1:46" s="16" customFormat="1" x14ac:dyDescent="0.25">
      <c r="B508" s="47"/>
      <c r="D508" s="41"/>
      <c r="E508" s="41"/>
      <c r="F508" s="41"/>
      <c r="G508" s="42"/>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3"/>
      <c r="AK508" s="41"/>
      <c r="AL508" s="43"/>
      <c r="AM508" s="43"/>
      <c r="AT508" s="43">
        <f>SUM(C508:AS508)</f>
        <v>0</v>
      </c>
    </row>
    <row r="509" spans="1:46" s="16" customFormat="1" x14ac:dyDescent="0.25">
      <c r="B509" s="47"/>
      <c r="D509" s="41"/>
      <c r="E509" s="41"/>
      <c r="F509" s="41"/>
      <c r="G509" s="42"/>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3"/>
      <c r="AK509" s="41"/>
      <c r="AL509" s="43"/>
      <c r="AM509" s="43"/>
      <c r="AT509" s="43">
        <f>SUM(C509:AS509)</f>
        <v>0</v>
      </c>
    </row>
    <row r="510" spans="1:46" s="3" customFormat="1" x14ac:dyDescent="0.25">
      <c r="A510" s="35" t="s">
        <v>309</v>
      </c>
      <c r="B510" s="49"/>
      <c r="C510" s="24"/>
      <c r="G510" s="19"/>
      <c r="AJ510" s="24"/>
      <c r="AN510" s="24"/>
      <c r="AO510" s="24"/>
      <c r="AP510" s="24"/>
      <c r="AQ510" s="24"/>
      <c r="AR510" s="24"/>
      <c r="AS510" s="24"/>
      <c r="AT510" s="24"/>
    </row>
    <row r="511" spans="1:46" s="23" customFormat="1" x14ac:dyDescent="0.25">
      <c r="A511" s="45" t="s">
        <v>117</v>
      </c>
      <c r="B511" s="50"/>
      <c r="D511" s="41"/>
      <c r="E511" s="41"/>
      <c r="F511" s="41"/>
      <c r="G511" s="42"/>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3"/>
      <c r="AK511" s="41"/>
      <c r="AL511" s="43"/>
      <c r="AM511" s="43"/>
      <c r="AT511" s="43"/>
    </row>
    <row r="512" spans="1:46" s="16" customFormat="1" x14ac:dyDescent="0.25">
      <c r="B512" s="47"/>
      <c r="D512" s="41"/>
      <c r="E512" s="41"/>
      <c r="F512" s="41"/>
      <c r="G512" s="42"/>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3"/>
      <c r="AK512" s="41"/>
      <c r="AL512" s="43"/>
      <c r="AM512" s="43"/>
      <c r="AT512" s="43">
        <f>SUM(C512:AS512)</f>
        <v>0</v>
      </c>
    </row>
    <row r="513" spans="1:46" s="16" customFormat="1" x14ac:dyDescent="0.25">
      <c r="B513" s="47"/>
      <c r="D513" s="41"/>
      <c r="E513" s="41"/>
      <c r="F513" s="41"/>
      <c r="G513" s="42"/>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3"/>
      <c r="AK513" s="41"/>
      <c r="AL513" s="43"/>
      <c r="AM513" s="43"/>
      <c r="AT513" s="43">
        <f>SUM(C513:AS513)</f>
        <v>0</v>
      </c>
    </row>
    <row r="514" spans="1:46" s="3" customFormat="1" x14ac:dyDescent="0.25">
      <c r="A514" s="35" t="s">
        <v>310</v>
      </c>
      <c r="B514" s="49"/>
      <c r="C514" s="24"/>
      <c r="G514" s="19"/>
      <c r="AJ514" s="24"/>
      <c r="AN514" s="24"/>
      <c r="AO514" s="24"/>
      <c r="AP514" s="24"/>
      <c r="AQ514" s="24"/>
      <c r="AR514" s="24"/>
      <c r="AS514" s="24"/>
      <c r="AT514" s="24"/>
    </row>
    <row r="515" spans="1:46" s="23" customFormat="1" x14ac:dyDescent="0.25">
      <c r="A515" s="45" t="s">
        <v>117</v>
      </c>
      <c r="B515" s="50"/>
      <c r="D515" s="41"/>
      <c r="E515" s="41"/>
      <c r="F515" s="41"/>
      <c r="G515" s="42"/>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3"/>
      <c r="AK515" s="41"/>
      <c r="AL515" s="43"/>
      <c r="AM515" s="43"/>
      <c r="AT515" s="43"/>
    </row>
    <row r="516" spans="1:46" s="16" customFormat="1" x14ac:dyDescent="0.25">
      <c r="B516" s="47"/>
      <c r="D516" s="41"/>
      <c r="E516" s="41"/>
      <c r="F516" s="41"/>
      <c r="G516" s="42"/>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3"/>
      <c r="AK516" s="41"/>
      <c r="AL516" s="43"/>
      <c r="AM516" s="43"/>
      <c r="AT516" s="43">
        <f>SUM(C516:AS516)</f>
        <v>0</v>
      </c>
    </row>
    <row r="517" spans="1:46" s="16" customFormat="1" x14ac:dyDescent="0.25">
      <c r="B517" s="47"/>
      <c r="D517" s="41"/>
      <c r="E517" s="41"/>
      <c r="F517" s="41"/>
      <c r="G517" s="42"/>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3"/>
      <c r="AK517" s="41"/>
      <c r="AL517" s="43"/>
      <c r="AM517" s="43"/>
      <c r="AT517" s="43">
        <f>SUM(C517:AS517)</f>
        <v>0</v>
      </c>
    </row>
    <row r="518" spans="1:46" s="3" customFormat="1" x14ac:dyDescent="0.25">
      <c r="A518" s="35" t="s">
        <v>381</v>
      </c>
      <c r="B518" s="49"/>
      <c r="C518" s="24"/>
      <c r="G518" s="19"/>
      <c r="AJ518" s="24"/>
      <c r="AN518" s="24"/>
      <c r="AO518" s="24"/>
      <c r="AP518" s="24"/>
      <c r="AQ518" s="24"/>
      <c r="AR518" s="24"/>
      <c r="AS518" s="24"/>
      <c r="AT518" s="24"/>
    </row>
    <row r="519" spans="1:46" s="23" customFormat="1" x14ac:dyDescent="0.25">
      <c r="A519" s="45" t="s">
        <v>117</v>
      </c>
      <c r="B519" s="50"/>
      <c r="D519" s="41"/>
      <c r="E519" s="41"/>
      <c r="F519" s="41"/>
      <c r="G519" s="42"/>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3"/>
      <c r="AK519" s="41"/>
      <c r="AL519" s="43"/>
      <c r="AM519" s="43"/>
      <c r="AT519" s="43"/>
    </row>
    <row r="520" spans="1:46" s="16" customFormat="1" x14ac:dyDescent="0.25">
      <c r="A520" s="16" t="s">
        <v>378</v>
      </c>
      <c r="B520" s="47" t="s">
        <v>80</v>
      </c>
      <c r="D520" s="41"/>
      <c r="E520" s="41"/>
      <c r="F520" s="41"/>
      <c r="G520" s="42"/>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3"/>
      <c r="AK520" s="41"/>
      <c r="AL520" s="43"/>
      <c r="AM520" s="43"/>
      <c r="AN520" s="16">
        <v>1</v>
      </c>
      <c r="AT520" s="43">
        <f>SUM(C520:AS520)</f>
        <v>1</v>
      </c>
    </row>
    <row r="521" spans="1:46" s="16" customFormat="1" x14ac:dyDescent="0.25">
      <c r="A521" s="16" t="s">
        <v>83</v>
      </c>
      <c r="B521" s="47" t="s">
        <v>80</v>
      </c>
      <c r="D521" s="41"/>
      <c r="E521" s="41"/>
      <c r="F521" s="41"/>
      <c r="G521" s="42"/>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3"/>
      <c r="AK521" s="41"/>
      <c r="AL521" s="43"/>
      <c r="AM521" s="43"/>
      <c r="AN521" s="16">
        <v>1</v>
      </c>
      <c r="AT521" s="43">
        <f>SUM(C521:AS521)</f>
        <v>1</v>
      </c>
    </row>
    <row r="522" spans="1:46" s="3" customFormat="1" x14ac:dyDescent="0.25">
      <c r="A522" s="35" t="s">
        <v>382</v>
      </c>
      <c r="B522" s="49"/>
      <c r="C522" s="24"/>
      <c r="G522" s="19"/>
      <c r="AJ522" s="24"/>
      <c r="AN522" s="24"/>
      <c r="AO522" s="24"/>
      <c r="AP522" s="24"/>
      <c r="AQ522" s="24"/>
      <c r="AR522" s="24"/>
      <c r="AS522" s="24"/>
      <c r="AT522" s="24"/>
    </row>
    <row r="523" spans="1:46" s="23" customFormat="1" x14ac:dyDescent="0.25">
      <c r="A523" s="45" t="s">
        <v>117</v>
      </c>
      <c r="B523" s="50"/>
      <c r="D523" s="41"/>
      <c r="E523" s="41"/>
      <c r="F523" s="41"/>
      <c r="G523" s="42"/>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3"/>
      <c r="AK523" s="41"/>
      <c r="AL523" s="43"/>
      <c r="AM523" s="43"/>
      <c r="AT523" s="43"/>
    </row>
    <row r="524" spans="1:46" s="16" customFormat="1" x14ac:dyDescent="0.25">
      <c r="A524" s="16" t="s">
        <v>383</v>
      </c>
      <c r="B524" s="47" t="s">
        <v>79</v>
      </c>
      <c r="D524" s="41"/>
      <c r="E524" s="41"/>
      <c r="F524" s="41"/>
      <c r="G524" s="42"/>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3"/>
      <c r="AK524" s="41"/>
      <c r="AL524" s="43"/>
      <c r="AM524" s="43"/>
      <c r="AN524" s="16">
        <v>1</v>
      </c>
      <c r="AT524" s="43">
        <f>SUM(C524:AS524)</f>
        <v>1</v>
      </c>
    </row>
    <row r="525" spans="1:46" s="16" customFormat="1" x14ac:dyDescent="0.25">
      <c r="B525" s="47"/>
      <c r="D525" s="41"/>
      <c r="E525" s="41"/>
      <c r="F525" s="41"/>
      <c r="G525" s="42"/>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3"/>
      <c r="AK525" s="41"/>
      <c r="AL525" s="43"/>
      <c r="AM525" s="43"/>
      <c r="AT525" s="43">
        <f>SUM(C525:AS525)</f>
        <v>0</v>
      </c>
    </row>
    <row r="526" spans="1:46" s="3" customFormat="1" x14ac:dyDescent="0.25">
      <c r="A526" s="35" t="s">
        <v>313</v>
      </c>
      <c r="B526" s="49"/>
      <c r="C526" s="24"/>
      <c r="G526" s="19"/>
      <c r="AJ526" s="24"/>
      <c r="AN526" s="24"/>
      <c r="AO526" s="24"/>
      <c r="AP526" s="24"/>
      <c r="AQ526" s="24"/>
      <c r="AR526" s="24"/>
      <c r="AS526" s="24"/>
      <c r="AT526" s="24"/>
    </row>
    <row r="527" spans="1:46" s="23" customFormat="1" x14ac:dyDescent="0.25">
      <c r="A527" s="45" t="s">
        <v>117</v>
      </c>
      <c r="B527" s="50"/>
      <c r="D527" s="41"/>
      <c r="E527" s="41"/>
      <c r="F527" s="41"/>
      <c r="G527" s="42"/>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3"/>
      <c r="AK527" s="41"/>
      <c r="AL527" s="43"/>
      <c r="AM527" s="43"/>
      <c r="AT527" s="43"/>
    </row>
    <row r="528" spans="1:46" s="16" customFormat="1" x14ac:dyDescent="0.25">
      <c r="A528" s="16" t="s">
        <v>408</v>
      </c>
      <c r="B528" s="47" t="s">
        <v>80</v>
      </c>
      <c r="D528" s="41"/>
      <c r="E528" s="41"/>
      <c r="F528" s="41"/>
      <c r="G528" s="42"/>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3"/>
      <c r="AK528" s="41"/>
      <c r="AL528" s="43"/>
      <c r="AM528" s="43"/>
      <c r="AO528" s="16">
        <v>1</v>
      </c>
      <c r="AT528" s="43">
        <f>SUM(C528:AS528)</f>
        <v>1</v>
      </c>
    </row>
    <row r="529" spans="1:46" s="16" customFormat="1" x14ac:dyDescent="0.25">
      <c r="A529" s="16" t="s">
        <v>409</v>
      </c>
      <c r="B529" s="47" t="s">
        <v>80</v>
      </c>
      <c r="D529" s="41"/>
      <c r="E529" s="41"/>
      <c r="F529" s="41"/>
      <c r="G529" s="42"/>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3"/>
      <c r="AK529" s="41"/>
      <c r="AL529" s="43"/>
      <c r="AM529" s="43"/>
      <c r="AO529" s="16">
        <v>1</v>
      </c>
      <c r="AT529" s="43">
        <f>SUM(C529:AS529)</f>
        <v>1</v>
      </c>
    </row>
    <row r="530" spans="1:46" s="16" customFormat="1" x14ac:dyDescent="0.25">
      <c r="A530" s="16" t="s">
        <v>410</v>
      </c>
      <c r="B530" s="47" t="s">
        <v>80</v>
      </c>
      <c r="D530" s="41"/>
      <c r="E530" s="41"/>
      <c r="F530" s="41"/>
      <c r="G530" s="42"/>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3"/>
      <c r="AK530" s="41"/>
      <c r="AL530" s="43"/>
      <c r="AM530" s="43"/>
      <c r="AO530" s="16">
        <v>1</v>
      </c>
      <c r="AT530" s="43">
        <f>SUM(C530:AS530)</f>
        <v>1</v>
      </c>
    </row>
    <row r="531" spans="1:46" s="3" customFormat="1" x14ac:dyDescent="0.25">
      <c r="A531" s="35" t="s">
        <v>314</v>
      </c>
      <c r="B531" s="49"/>
      <c r="C531" s="24"/>
      <c r="G531" s="19"/>
      <c r="AJ531" s="24"/>
      <c r="AN531" s="24"/>
      <c r="AO531" s="24"/>
      <c r="AP531" s="24"/>
      <c r="AQ531" s="24"/>
      <c r="AR531" s="24"/>
      <c r="AS531" s="24"/>
      <c r="AT531" s="24"/>
    </row>
    <row r="532" spans="1:46" s="23" customFormat="1" x14ac:dyDescent="0.25">
      <c r="A532" s="45" t="s">
        <v>117</v>
      </c>
      <c r="B532" s="50"/>
      <c r="D532" s="41"/>
      <c r="E532" s="41"/>
      <c r="F532" s="41"/>
      <c r="G532" s="42"/>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3"/>
      <c r="AK532" s="41"/>
      <c r="AL532" s="43"/>
      <c r="AM532" s="43"/>
      <c r="AT532" s="43"/>
    </row>
    <row r="533" spans="1:46" s="16" customFormat="1" x14ac:dyDescent="0.25">
      <c r="A533" s="16" t="s">
        <v>411</v>
      </c>
      <c r="B533" s="47" t="s">
        <v>80</v>
      </c>
      <c r="D533" s="41"/>
      <c r="E533" s="41"/>
      <c r="F533" s="41"/>
      <c r="G533" s="42"/>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3"/>
      <c r="AK533" s="41"/>
      <c r="AL533" s="43"/>
      <c r="AM533" s="43"/>
      <c r="AO533" s="16">
        <v>1</v>
      </c>
      <c r="AT533" s="43">
        <f>SUM(C533:AS533)</f>
        <v>1</v>
      </c>
    </row>
    <row r="534" spans="1:46" s="16" customFormat="1" x14ac:dyDescent="0.25">
      <c r="A534" s="16" t="s">
        <v>412</v>
      </c>
      <c r="B534" s="47" t="s">
        <v>80</v>
      </c>
      <c r="D534" s="41"/>
      <c r="E534" s="41"/>
      <c r="F534" s="41"/>
      <c r="G534" s="42"/>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3"/>
      <c r="AK534" s="41"/>
      <c r="AL534" s="43"/>
      <c r="AM534" s="43"/>
      <c r="AO534" s="16">
        <v>1</v>
      </c>
      <c r="AT534" s="43">
        <f>SUM(C534:AS534)</f>
        <v>1</v>
      </c>
    </row>
    <row r="535" spans="1:46" s="16" customFormat="1" x14ac:dyDescent="0.25">
      <c r="A535" s="16" t="s">
        <v>413</v>
      </c>
      <c r="B535" s="47" t="s">
        <v>80</v>
      </c>
      <c r="D535" s="41"/>
      <c r="E535" s="41"/>
      <c r="F535" s="41"/>
      <c r="G535" s="42"/>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3"/>
      <c r="AK535" s="41"/>
      <c r="AL535" s="43"/>
      <c r="AM535" s="43"/>
      <c r="AO535" s="16">
        <v>1</v>
      </c>
      <c r="AT535" s="43">
        <f>SUM(C535:AS535)</f>
        <v>1</v>
      </c>
    </row>
    <row r="536" spans="1:46" s="3" customFormat="1" x14ac:dyDescent="0.25">
      <c r="A536" s="35" t="s">
        <v>315</v>
      </c>
      <c r="B536" s="49"/>
      <c r="C536" s="24"/>
      <c r="G536" s="19"/>
      <c r="AJ536" s="24"/>
      <c r="AN536" s="24"/>
      <c r="AO536" s="24"/>
      <c r="AP536" s="24"/>
      <c r="AQ536" s="24"/>
      <c r="AR536" s="24"/>
      <c r="AS536" s="24"/>
      <c r="AT536" s="24"/>
    </row>
    <row r="537" spans="1:46" s="23" customFormat="1" x14ac:dyDescent="0.25">
      <c r="A537" s="45" t="s">
        <v>117</v>
      </c>
      <c r="B537" s="50"/>
      <c r="D537" s="41"/>
      <c r="E537" s="41"/>
      <c r="F537" s="41"/>
      <c r="G537" s="42"/>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3"/>
      <c r="AK537" s="41"/>
      <c r="AL537" s="43"/>
      <c r="AM537" s="43"/>
      <c r="AT537" s="43"/>
    </row>
    <row r="538" spans="1:46" s="16" customFormat="1" x14ac:dyDescent="0.25">
      <c r="A538" s="16" t="s">
        <v>215</v>
      </c>
      <c r="B538" s="47"/>
      <c r="D538" s="41"/>
      <c r="E538" s="41"/>
      <c r="F538" s="41"/>
      <c r="G538" s="42"/>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3"/>
      <c r="AK538" s="41"/>
      <c r="AL538" s="43"/>
      <c r="AM538" s="43"/>
      <c r="AP538" s="16">
        <v>1</v>
      </c>
      <c r="AT538" s="43">
        <f>SUM(C538:AS538)</f>
        <v>1</v>
      </c>
    </row>
    <row r="539" spans="1:46" s="16" customFormat="1" x14ac:dyDescent="0.25">
      <c r="B539" s="47"/>
      <c r="D539" s="41"/>
      <c r="E539" s="41"/>
      <c r="F539" s="41"/>
      <c r="G539" s="42"/>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3"/>
      <c r="AK539" s="41"/>
      <c r="AL539" s="43"/>
      <c r="AM539" s="43"/>
      <c r="AT539" s="43">
        <f>SUM(C539:AS539)</f>
        <v>0</v>
      </c>
    </row>
    <row r="540" spans="1:46" s="3" customFormat="1" x14ac:dyDescent="0.25">
      <c r="A540" s="35" t="s">
        <v>316</v>
      </c>
      <c r="B540" s="49"/>
      <c r="C540" s="24"/>
      <c r="G540" s="19"/>
      <c r="AJ540" s="24"/>
      <c r="AN540" s="24"/>
      <c r="AO540" s="24"/>
      <c r="AP540" s="24"/>
      <c r="AQ540" s="24"/>
      <c r="AR540" s="24"/>
      <c r="AS540" s="24"/>
      <c r="AT540" s="24"/>
    </row>
    <row r="541" spans="1:46" s="23" customFormat="1" x14ac:dyDescent="0.25">
      <c r="A541" s="45" t="s">
        <v>117</v>
      </c>
      <c r="B541" s="50"/>
      <c r="D541" s="41"/>
      <c r="E541" s="41"/>
      <c r="F541" s="41"/>
      <c r="G541" s="42"/>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3"/>
      <c r="AK541" s="41"/>
      <c r="AL541" s="43"/>
      <c r="AM541" s="43"/>
      <c r="AT541" s="43"/>
    </row>
    <row r="542" spans="1:46" s="16" customFormat="1" x14ac:dyDescent="0.25">
      <c r="A542" s="16" t="s">
        <v>405</v>
      </c>
      <c r="B542" s="47" t="s">
        <v>80</v>
      </c>
      <c r="D542" s="41"/>
      <c r="E542" s="41"/>
      <c r="F542" s="41"/>
      <c r="G542" s="42"/>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3"/>
      <c r="AK542" s="41"/>
      <c r="AL542" s="43"/>
      <c r="AM542" s="43"/>
      <c r="AP542" s="16">
        <v>1</v>
      </c>
      <c r="AT542" s="43">
        <f>SUM(C542:AS542)</f>
        <v>1</v>
      </c>
    </row>
    <row r="543" spans="1:46" s="16" customFormat="1" x14ac:dyDescent="0.25">
      <c r="B543" s="47"/>
      <c r="D543" s="41"/>
      <c r="E543" s="41"/>
      <c r="F543" s="41"/>
      <c r="G543" s="42"/>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3"/>
      <c r="AK543" s="41"/>
      <c r="AL543" s="43"/>
      <c r="AM543" s="43"/>
      <c r="AT543" s="43">
        <f>SUM(C543:AS543)</f>
        <v>0</v>
      </c>
    </row>
    <row r="544" spans="1:46" s="3" customFormat="1" x14ac:dyDescent="0.25">
      <c r="A544" s="35" t="s">
        <v>317</v>
      </c>
      <c r="B544" s="49"/>
      <c r="C544" s="24"/>
      <c r="G544" s="19"/>
      <c r="AJ544" s="24"/>
      <c r="AN544" s="24"/>
      <c r="AO544" s="24"/>
      <c r="AP544" s="24"/>
      <c r="AQ544" s="24"/>
      <c r="AR544" s="24"/>
      <c r="AS544" s="24"/>
      <c r="AT544" s="24"/>
    </row>
    <row r="545" spans="1:46" s="23" customFormat="1" x14ac:dyDescent="0.25">
      <c r="A545" s="45" t="s">
        <v>117</v>
      </c>
      <c r="B545" s="50"/>
      <c r="D545" s="41"/>
      <c r="E545" s="41"/>
      <c r="F545" s="41"/>
      <c r="G545" s="42"/>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3"/>
      <c r="AK545" s="41"/>
      <c r="AL545" s="43"/>
      <c r="AM545" s="43"/>
      <c r="AT545" s="43"/>
    </row>
    <row r="546" spans="1:46" s="16" customFormat="1" x14ac:dyDescent="0.25">
      <c r="A546" s="16" t="s">
        <v>352</v>
      </c>
      <c r="B546" s="47" t="s">
        <v>80</v>
      </c>
      <c r="D546" s="41"/>
      <c r="E546" s="41"/>
      <c r="F546" s="41"/>
      <c r="G546" s="42"/>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3"/>
      <c r="AK546" s="41"/>
      <c r="AL546" s="43"/>
      <c r="AM546" s="43"/>
      <c r="AQ546" s="16">
        <v>1</v>
      </c>
      <c r="AT546" s="43">
        <f>SUM(C546:AS546)</f>
        <v>1</v>
      </c>
    </row>
    <row r="547" spans="1:46" s="16" customFormat="1" x14ac:dyDescent="0.25">
      <c r="B547" s="47"/>
      <c r="D547" s="41"/>
      <c r="E547" s="41"/>
      <c r="F547" s="41"/>
      <c r="G547" s="42"/>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3"/>
      <c r="AK547" s="41"/>
      <c r="AL547" s="43"/>
      <c r="AM547" s="43"/>
      <c r="AT547" s="43">
        <f>SUM(C547:AS547)</f>
        <v>0</v>
      </c>
    </row>
    <row r="548" spans="1:46" s="3" customFormat="1" x14ac:dyDescent="0.25">
      <c r="A548" s="35" t="s">
        <v>318</v>
      </c>
      <c r="B548" s="49"/>
      <c r="C548" s="24"/>
      <c r="G548" s="19"/>
      <c r="AJ548" s="24"/>
      <c r="AN548" s="24"/>
      <c r="AO548" s="24"/>
      <c r="AP548" s="24"/>
      <c r="AQ548" s="24"/>
      <c r="AR548" s="24"/>
      <c r="AS548" s="24"/>
      <c r="AT548" s="24"/>
    </row>
    <row r="549" spans="1:46" s="23" customFormat="1" x14ac:dyDescent="0.25">
      <c r="A549" s="45" t="s">
        <v>117</v>
      </c>
      <c r="B549" s="50"/>
      <c r="D549" s="41"/>
      <c r="E549" s="41"/>
      <c r="F549" s="41"/>
      <c r="G549" s="42"/>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3"/>
      <c r="AK549" s="41"/>
      <c r="AL549" s="43"/>
      <c r="AM549" s="43"/>
      <c r="AT549" s="43"/>
    </row>
    <row r="550" spans="1:46" s="16" customFormat="1" x14ac:dyDescent="0.25">
      <c r="A550" s="16" t="s">
        <v>353</v>
      </c>
      <c r="B550" s="47" t="s">
        <v>80</v>
      </c>
      <c r="D550" s="41"/>
      <c r="E550" s="41"/>
      <c r="F550" s="41"/>
      <c r="G550" s="42"/>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3"/>
      <c r="AK550" s="41"/>
      <c r="AL550" s="43"/>
      <c r="AM550" s="43"/>
      <c r="AQ550" s="16">
        <v>1</v>
      </c>
      <c r="AT550" s="43">
        <f>SUM(C550:AS550)</f>
        <v>1</v>
      </c>
    </row>
    <row r="551" spans="1:46" s="16" customFormat="1" x14ac:dyDescent="0.25">
      <c r="B551" s="47"/>
      <c r="D551" s="41"/>
      <c r="E551" s="41"/>
      <c r="F551" s="41"/>
      <c r="G551" s="42"/>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3"/>
      <c r="AK551" s="41"/>
      <c r="AL551" s="43"/>
      <c r="AM551" s="43"/>
      <c r="AT551" s="43">
        <f>SUM(C551:AS551)</f>
        <v>0</v>
      </c>
    </row>
    <row r="552" spans="1:46" s="3" customFormat="1" x14ac:dyDescent="0.25">
      <c r="A552" s="35" t="s">
        <v>319</v>
      </c>
      <c r="B552" s="49"/>
      <c r="C552" s="24"/>
      <c r="G552" s="19"/>
      <c r="AJ552" s="24"/>
      <c r="AN552" s="24"/>
      <c r="AO552" s="24"/>
      <c r="AP552" s="24"/>
      <c r="AQ552" s="24"/>
      <c r="AR552" s="24"/>
      <c r="AS552" s="24"/>
      <c r="AT552" s="24"/>
    </row>
    <row r="553" spans="1:46" s="23" customFormat="1" x14ac:dyDescent="0.25">
      <c r="A553" s="45" t="s">
        <v>117</v>
      </c>
      <c r="B553" s="50"/>
      <c r="D553" s="41"/>
      <c r="E553" s="41"/>
      <c r="F553" s="41"/>
      <c r="G553" s="42"/>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3"/>
      <c r="AK553" s="41"/>
      <c r="AL553" s="43"/>
      <c r="AM553" s="43"/>
      <c r="AT553" s="43"/>
    </row>
    <row r="554" spans="1:46" s="16" customFormat="1" x14ac:dyDescent="0.25">
      <c r="A554" s="16" t="s">
        <v>335</v>
      </c>
      <c r="B554" s="47" t="s">
        <v>80</v>
      </c>
      <c r="D554" s="41"/>
      <c r="E554" s="41"/>
      <c r="F554" s="41"/>
      <c r="G554" s="42"/>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3"/>
      <c r="AK554" s="41"/>
      <c r="AL554" s="43"/>
      <c r="AM554" s="43"/>
      <c r="AR554" s="16">
        <v>1</v>
      </c>
      <c r="AT554" s="43">
        <f>SUM(C554:AS554)</f>
        <v>1</v>
      </c>
    </row>
    <row r="555" spans="1:46" s="16" customFormat="1" x14ac:dyDescent="0.25">
      <c r="A555" s="16" t="s">
        <v>337</v>
      </c>
      <c r="B555" s="47" t="s">
        <v>80</v>
      </c>
      <c r="D555" s="41"/>
      <c r="E555" s="41"/>
      <c r="F555" s="41"/>
      <c r="G555" s="42"/>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3"/>
      <c r="AK555" s="41"/>
      <c r="AL555" s="43"/>
      <c r="AM555" s="43"/>
      <c r="AR555" s="16">
        <v>1</v>
      </c>
      <c r="AT555" s="43">
        <f>SUM(C555:AS555)</f>
        <v>1</v>
      </c>
    </row>
    <row r="556" spans="1:46" s="3" customFormat="1" x14ac:dyDescent="0.25">
      <c r="A556" s="35" t="s">
        <v>320</v>
      </c>
      <c r="B556" s="49"/>
      <c r="C556" s="24"/>
      <c r="G556" s="19"/>
      <c r="AJ556" s="24"/>
      <c r="AN556" s="24"/>
      <c r="AO556" s="24"/>
      <c r="AP556" s="24"/>
      <c r="AQ556" s="24"/>
      <c r="AR556" s="24"/>
      <c r="AS556" s="24"/>
      <c r="AT556" s="24"/>
    </row>
    <row r="557" spans="1:46" s="23" customFormat="1" x14ac:dyDescent="0.25">
      <c r="A557" s="45" t="s">
        <v>117</v>
      </c>
      <c r="B557" s="50"/>
      <c r="D557" s="41"/>
      <c r="E557" s="41"/>
      <c r="F557" s="41"/>
      <c r="G557" s="42"/>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3"/>
      <c r="AK557" s="41"/>
      <c r="AL557" s="43"/>
      <c r="AM557" s="43"/>
      <c r="AT557" s="43"/>
    </row>
    <row r="558" spans="1:46" s="16" customFormat="1" x14ac:dyDescent="0.25">
      <c r="A558" s="16" t="s">
        <v>336</v>
      </c>
      <c r="B558" s="47" t="s">
        <v>80</v>
      </c>
      <c r="D558" s="41"/>
      <c r="E558" s="41"/>
      <c r="F558" s="41"/>
      <c r="G558" s="42"/>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3"/>
      <c r="AK558" s="41"/>
      <c r="AL558" s="43"/>
      <c r="AM558" s="43"/>
      <c r="AR558" s="16">
        <v>1</v>
      </c>
      <c r="AT558" s="43">
        <f>SUM(C558:AS558)</f>
        <v>1</v>
      </c>
    </row>
    <row r="559" spans="1:46" s="16" customFormat="1" x14ac:dyDescent="0.25">
      <c r="A559" s="16" t="s">
        <v>338</v>
      </c>
      <c r="B559" s="47" t="s">
        <v>80</v>
      </c>
      <c r="D559" s="41"/>
      <c r="E559" s="41"/>
      <c r="F559" s="41"/>
      <c r="G559" s="42"/>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3"/>
      <c r="AK559" s="41"/>
      <c r="AL559" s="43"/>
      <c r="AM559" s="43"/>
      <c r="AR559" s="16">
        <v>1</v>
      </c>
      <c r="AT559" s="43">
        <f>SUM(C559:AS559)</f>
        <v>1</v>
      </c>
    </row>
    <row r="560" spans="1:46" s="3" customFormat="1" x14ac:dyDescent="0.25">
      <c r="A560" s="35" t="s">
        <v>321</v>
      </c>
      <c r="B560" s="49"/>
      <c r="C560" s="24"/>
      <c r="G560" s="19"/>
      <c r="AJ560" s="24"/>
      <c r="AN560" s="24"/>
      <c r="AO560" s="24"/>
      <c r="AP560" s="24"/>
      <c r="AQ560" s="24"/>
      <c r="AR560" s="24"/>
      <c r="AS560" s="24"/>
      <c r="AT560" s="24"/>
    </row>
    <row r="561" spans="1:46" s="23" customFormat="1" x14ac:dyDescent="0.25">
      <c r="A561" s="45" t="s">
        <v>117</v>
      </c>
      <c r="B561" s="50"/>
      <c r="D561" s="41"/>
      <c r="E561" s="41"/>
      <c r="F561" s="41"/>
      <c r="G561" s="42"/>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3"/>
      <c r="AK561" s="41"/>
      <c r="AL561" s="43"/>
      <c r="AM561" s="43"/>
      <c r="AT561" s="43"/>
    </row>
    <row r="562" spans="1:46" s="16" customFormat="1" x14ac:dyDescent="0.25">
      <c r="A562" s="16" t="s">
        <v>401</v>
      </c>
      <c r="B562" s="47"/>
      <c r="D562" s="41"/>
      <c r="E562" s="41"/>
      <c r="F562" s="41"/>
      <c r="G562" s="42"/>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3"/>
      <c r="AK562" s="41"/>
      <c r="AL562" s="43"/>
      <c r="AM562" s="43"/>
      <c r="AS562" s="16">
        <v>1</v>
      </c>
      <c r="AT562" s="43">
        <f>SUM(C562:AS562)</f>
        <v>1</v>
      </c>
    </row>
    <row r="563" spans="1:46" s="16" customFormat="1" x14ac:dyDescent="0.25">
      <c r="B563" s="47"/>
      <c r="D563" s="41"/>
      <c r="E563" s="41"/>
      <c r="F563" s="41"/>
      <c r="G563" s="42"/>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3"/>
      <c r="AK563" s="41"/>
      <c r="AL563" s="43"/>
      <c r="AM563" s="43"/>
      <c r="AT563" s="43">
        <f>SUM(C563:AS563)</f>
        <v>0</v>
      </c>
    </row>
    <row r="564" spans="1:46" s="3" customFormat="1" x14ac:dyDescent="0.25">
      <c r="A564" s="35" t="s">
        <v>322</v>
      </c>
      <c r="B564" s="49"/>
      <c r="C564" s="24"/>
      <c r="G564" s="19"/>
      <c r="AJ564" s="24"/>
      <c r="AN564" s="24"/>
      <c r="AO564" s="24"/>
      <c r="AP564" s="24"/>
      <c r="AQ564" s="24"/>
      <c r="AR564" s="24"/>
      <c r="AS564" s="24"/>
      <c r="AT564" s="24"/>
    </row>
    <row r="565" spans="1:46" s="23" customFormat="1" x14ac:dyDescent="0.25">
      <c r="A565" s="45" t="s">
        <v>117</v>
      </c>
      <c r="B565" s="50"/>
      <c r="D565" s="41"/>
      <c r="E565" s="41"/>
      <c r="F565" s="41"/>
      <c r="G565" s="42"/>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3"/>
      <c r="AK565" s="41"/>
      <c r="AL565" s="43"/>
      <c r="AM565" s="43"/>
      <c r="AT565" s="43"/>
    </row>
    <row r="566" spans="1:46" s="16" customFormat="1" x14ac:dyDescent="0.25">
      <c r="B566" s="47"/>
      <c r="D566" s="41"/>
      <c r="E566" s="41"/>
      <c r="F566" s="41"/>
      <c r="G566" s="42"/>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3"/>
      <c r="AK566" s="41"/>
      <c r="AL566" s="43"/>
      <c r="AM566" s="43"/>
      <c r="AT566" s="43">
        <f>SUM(C566:AS566)</f>
        <v>0</v>
      </c>
    </row>
    <row r="567" spans="1:46" s="16" customFormat="1" x14ac:dyDescent="0.25">
      <c r="B567" s="47"/>
      <c r="D567" s="41"/>
      <c r="E567" s="41"/>
      <c r="F567" s="41"/>
      <c r="G567" s="42"/>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3"/>
      <c r="AK567" s="41"/>
      <c r="AL567" s="43"/>
      <c r="AM567" s="43"/>
      <c r="AT567" s="43">
        <f>SUM(C567:AS567)</f>
        <v>0</v>
      </c>
    </row>
    <row r="568" spans="1:46" s="3" customFormat="1" x14ac:dyDescent="0.25">
      <c r="A568" s="35" t="s">
        <v>219</v>
      </c>
      <c r="B568" s="49"/>
      <c r="C568" s="24"/>
      <c r="G568" s="19"/>
      <c r="AJ568" s="24"/>
      <c r="AN568" s="24"/>
      <c r="AO568" s="24"/>
      <c r="AP568" s="24"/>
      <c r="AQ568" s="24"/>
      <c r="AR568" s="24"/>
      <c r="AS568" s="24"/>
      <c r="AT568" s="24"/>
    </row>
    <row r="569" spans="1:46" s="23" customFormat="1" x14ac:dyDescent="0.25">
      <c r="A569" s="45" t="s">
        <v>117</v>
      </c>
      <c r="B569" s="50"/>
      <c r="D569" s="41"/>
      <c r="E569" s="41"/>
      <c r="F569" s="41"/>
      <c r="G569" s="42"/>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3"/>
      <c r="AK569" s="41"/>
      <c r="AL569" s="43"/>
      <c r="AM569" s="43"/>
      <c r="AT569" s="43"/>
    </row>
    <row r="570" spans="1:46" s="16" customFormat="1" x14ac:dyDescent="0.25">
      <c r="B570" s="47"/>
      <c r="D570" s="41"/>
      <c r="E570" s="41"/>
      <c r="F570" s="41"/>
      <c r="G570" s="42"/>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3"/>
      <c r="AK570" s="41"/>
      <c r="AL570" s="43"/>
      <c r="AM570" s="43"/>
      <c r="AT570" s="43">
        <f>SUM(C570:AS570)</f>
        <v>0</v>
      </c>
    </row>
    <row r="571" spans="1:46" s="16" customFormat="1" x14ac:dyDescent="0.25">
      <c r="B571" s="47"/>
      <c r="D571" s="41"/>
      <c r="E571" s="41"/>
      <c r="F571" s="41"/>
      <c r="G571" s="42"/>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3"/>
      <c r="AK571" s="41"/>
      <c r="AL571" s="43"/>
      <c r="AM571" s="43"/>
      <c r="AT571" s="43">
        <f>SUM(C571:AS571)</f>
        <v>0</v>
      </c>
    </row>
    <row r="572" spans="1:46" s="3" customFormat="1" x14ac:dyDescent="0.25">
      <c r="A572" s="35" t="s">
        <v>220</v>
      </c>
      <c r="B572" s="49"/>
      <c r="C572" s="24"/>
      <c r="G572" s="19"/>
      <c r="AJ572" s="24"/>
      <c r="AN572" s="24"/>
      <c r="AO572" s="24"/>
      <c r="AP572" s="24"/>
      <c r="AQ572" s="24"/>
      <c r="AR572" s="24"/>
      <c r="AS572" s="24"/>
      <c r="AT572" s="24"/>
    </row>
    <row r="573" spans="1:46" s="23" customFormat="1" x14ac:dyDescent="0.25">
      <c r="A573" s="45" t="s">
        <v>117</v>
      </c>
      <c r="B573" s="50"/>
      <c r="D573" s="41"/>
      <c r="E573" s="41"/>
      <c r="F573" s="41"/>
      <c r="G573" s="42"/>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3"/>
      <c r="AK573" s="41"/>
      <c r="AL573" s="43"/>
      <c r="AM573" s="43"/>
      <c r="AT573" s="43"/>
    </row>
    <row r="574" spans="1:46" s="16" customFormat="1" x14ac:dyDescent="0.25">
      <c r="B574" s="47"/>
      <c r="D574" s="41"/>
      <c r="E574" s="41"/>
      <c r="F574" s="41"/>
      <c r="G574" s="42"/>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3"/>
      <c r="AK574" s="41"/>
      <c r="AL574" s="43"/>
      <c r="AM574" s="43"/>
      <c r="AT574" s="43">
        <f>SUM(C574:AS574)</f>
        <v>0</v>
      </c>
    </row>
    <row r="575" spans="1:46" s="16" customFormat="1" x14ac:dyDescent="0.25">
      <c r="B575" s="47"/>
      <c r="D575" s="41"/>
      <c r="E575" s="41"/>
      <c r="F575" s="41"/>
      <c r="G575" s="42"/>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3"/>
      <c r="AK575" s="41"/>
      <c r="AL575" s="43"/>
      <c r="AM575" s="43"/>
      <c r="AT575" s="43">
        <f>SUM(C575:AS575)</f>
        <v>0</v>
      </c>
    </row>
  </sheetData>
  <sortState xmlns:xlrd2="http://schemas.microsoft.com/office/spreadsheetml/2017/richdata2" ref="A496:AN550">
    <sortCondition ref="A496"/>
  </sortState>
  <printOptions gridLines="1"/>
  <pageMargins left="0.25" right="0.25" top="0.5" bottom="0.5" header="0.3" footer="0.3"/>
  <pageSetup paperSize="14" scale="71" fitToHeight="0" orientation="landscape" r:id="rId1"/>
  <headerFooter>
    <oddHeader>&amp;CAbstract of Votes Cast at the August 6, 2024 Ford County Primary Election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8"/>
  <sheetViews>
    <sheetView zoomScaleNormal="100" workbookViewId="0">
      <pane xSplit="20" ySplit="20" topLeftCell="U21" activePane="bottomRight" state="frozen"/>
      <selection pane="topRight" activeCell="U1" sqref="U1"/>
      <selection pane="bottomLeft" activeCell="A21" sqref="A21"/>
      <selection pane="bottomRight" activeCell="AK86" sqref="AK86"/>
    </sheetView>
  </sheetViews>
  <sheetFormatPr defaultRowHeight="15" x14ac:dyDescent="0.25"/>
  <cols>
    <col min="1" max="1" width="8.85546875" customWidth="1"/>
    <col min="2" max="2" width="23.140625" customWidth="1"/>
    <col min="3" max="3" width="4.5703125" customWidth="1"/>
    <col min="4" max="4" width="4.42578125" customWidth="1"/>
    <col min="5" max="5" width="5.140625" customWidth="1"/>
    <col min="6" max="6" width="5" customWidth="1"/>
    <col min="7" max="7" width="4.85546875" customWidth="1"/>
    <col min="8" max="8" width="4.5703125" customWidth="1"/>
    <col min="9" max="9" width="5.140625" customWidth="1"/>
    <col min="10" max="12" width="4.42578125" customWidth="1"/>
    <col min="13" max="13" width="5" customWidth="1"/>
    <col min="14" max="14" width="4.85546875" customWidth="1"/>
    <col min="15" max="15" width="5.140625" customWidth="1"/>
    <col min="16" max="16" width="5" customWidth="1"/>
    <col min="17" max="19" width="4.42578125" customWidth="1"/>
    <col min="20" max="20" width="4.85546875" customWidth="1"/>
    <col min="21" max="21" width="4.42578125" customWidth="1"/>
    <col min="22" max="22" width="4.28515625" customWidth="1"/>
    <col min="23" max="23" width="5.140625" customWidth="1"/>
    <col min="24" max="24" width="4.28515625" customWidth="1"/>
    <col min="25" max="25" width="4.7109375" customWidth="1"/>
    <col min="26" max="26" width="5" customWidth="1"/>
    <col min="27" max="27" width="4.42578125" customWidth="1"/>
    <col min="28" max="28" width="4.7109375" customWidth="1"/>
    <col min="29" max="29" width="4.5703125" customWidth="1"/>
    <col min="30" max="30" width="4.85546875" customWidth="1"/>
    <col min="31" max="31" width="4.42578125" customWidth="1"/>
    <col min="32" max="32" width="4.140625" customWidth="1"/>
    <col min="33" max="33" width="5" customWidth="1"/>
    <col min="34" max="34" width="5.140625" customWidth="1"/>
    <col min="35" max="35" width="4.42578125" customWidth="1"/>
  </cols>
  <sheetData>
    <row r="1" spans="1:36" x14ac:dyDescent="0.25">
      <c r="A1" s="60" t="s">
        <v>0</v>
      </c>
      <c r="B1" s="60"/>
      <c r="C1" s="61" t="s">
        <v>2</v>
      </c>
      <c r="D1" s="58" t="s">
        <v>15</v>
      </c>
      <c r="E1" s="58" t="s">
        <v>16</v>
      </c>
      <c r="F1" s="58" t="s">
        <v>17</v>
      </c>
      <c r="G1" s="58" t="s">
        <v>18</v>
      </c>
      <c r="H1" s="58" t="s">
        <v>19</v>
      </c>
      <c r="I1" s="58" t="s">
        <v>20</v>
      </c>
      <c r="J1" s="58" t="s">
        <v>21</v>
      </c>
      <c r="K1" s="58" t="s">
        <v>22</v>
      </c>
      <c r="L1" s="58" t="s">
        <v>23</v>
      </c>
      <c r="M1" s="58" t="s">
        <v>3</v>
      </c>
      <c r="N1" s="58" t="s">
        <v>4</v>
      </c>
      <c r="O1" s="58" t="s">
        <v>5</v>
      </c>
      <c r="P1" s="58" t="s">
        <v>6</v>
      </c>
      <c r="Q1" s="58" t="s">
        <v>7</v>
      </c>
      <c r="R1" s="58" t="s">
        <v>8</v>
      </c>
      <c r="S1" s="58" t="s">
        <v>9</v>
      </c>
      <c r="T1" s="58" t="s">
        <v>10</v>
      </c>
      <c r="U1" s="63" t="s">
        <v>24</v>
      </c>
      <c r="V1" s="63" t="s">
        <v>11</v>
      </c>
      <c r="W1" s="63" t="s">
        <v>12</v>
      </c>
      <c r="X1" s="63" t="s">
        <v>13</v>
      </c>
      <c r="Y1" s="63" t="s">
        <v>14</v>
      </c>
      <c r="Z1" s="58" t="s">
        <v>25</v>
      </c>
      <c r="AA1" s="64" t="s">
        <v>26</v>
      </c>
      <c r="AB1" s="64" t="s">
        <v>27</v>
      </c>
      <c r="AC1" s="58" t="s">
        <v>28</v>
      </c>
      <c r="AD1" s="58" t="s">
        <v>29</v>
      </c>
      <c r="AE1" s="58" t="s">
        <v>30</v>
      </c>
      <c r="AF1" s="58" t="s">
        <v>31</v>
      </c>
      <c r="AG1" s="1"/>
      <c r="AH1" s="58" t="s">
        <v>33</v>
      </c>
      <c r="AI1" s="58" t="s">
        <v>34</v>
      </c>
      <c r="AJ1" s="58" t="s">
        <v>35</v>
      </c>
    </row>
    <row r="2" spans="1:36" x14ac:dyDescent="0.25">
      <c r="A2" s="60"/>
      <c r="B2" s="60"/>
      <c r="C2" s="61"/>
      <c r="D2" s="58"/>
      <c r="E2" s="58"/>
      <c r="F2" s="58"/>
      <c r="G2" s="58"/>
      <c r="H2" s="58"/>
      <c r="I2" s="58"/>
      <c r="J2" s="58"/>
      <c r="K2" s="58"/>
      <c r="L2" s="58"/>
      <c r="M2" s="58"/>
      <c r="N2" s="58"/>
      <c r="O2" s="58"/>
      <c r="P2" s="58"/>
      <c r="Q2" s="58"/>
      <c r="R2" s="58"/>
      <c r="S2" s="58"/>
      <c r="T2" s="58"/>
      <c r="U2" s="63"/>
      <c r="V2" s="63"/>
      <c r="W2" s="63"/>
      <c r="X2" s="63"/>
      <c r="Y2" s="63"/>
      <c r="Z2" s="62"/>
      <c r="AA2" s="64"/>
      <c r="AB2" s="64"/>
      <c r="AC2" s="62"/>
      <c r="AD2" s="62"/>
      <c r="AE2" s="58"/>
      <c r="AF2" s="58"/>
      <c r="AG2" s="58" t="s">
        <v>32</v>
      </c>
      <c r="AH2" s="58"/>
      <c r="AI2" s="62"/>
      <c r="AJ2" s="58"/>
    </row>
    <row r="3" spans="1:36" x14ac:dyDescent="0.25">
      <c r="A3" s="60"/>
      <c r="B3" s="60"/>
      <c r="C3" s="61"/>
      <c r="D3" s="58"/>
      <c r="E3" s="58"/>
      <c r="F3" s="58"/>
      <c r="G3" s="58"/>
      <c r="H3" s="58"/>
      <c r="I3" s="58"/>
      <c r="J3" s="58"/>
      <c r="K3" s="58"/>
      <c r="L3" s="58"/>
      <c r="M3" s="58"/>
      <c r="N3" s="58"/>
      <c r="O3" s="58"/>
      <c r="P3" s="58"/>
      <c r="Q3" s="58"/>
      <c r="R3" s="58"/>
      <c r="S3" s="58"/>
      <c r="T3" s="58"/>
      <c r="U3" s="63"/>
      <c r="V3" s="63"/>
      <c r="W3" s="63"/>
      <c r="X3" s="63"/>
      <c r="Y3" s="63"/>
      <c r="Z3" s="62"/>
      <c r="AA3" s="64"/>
      <c r="AB3" s="64"/>
      <c r="AC3" s="62"/>
      <c r="AD3" s="62"/>
      <c r="AE3" s="58"/>
      <c r="AF3" s="58"/>
      <c r="AG3" s="58"/>
      <c r="AH3" s="58"/>
      <c r="AI3" s="62"/>
      <c r="AJ3" s="58"/>
    </row>
    <row r="4" spans="1:36" x14ac:dyDescent="0.25">
      <c r="A4" s="59" t="s">
        <v>1</v>
      </c>
      <c r="B4" s="59"/>
      <c r="C4" s="61"/>
      <c r="D4" s="58"/>
      <c r="E4" s="58"/>
      <c r="F4" s="58"/>
      <c r="G4" s="58"/>
      <c r="H4" s="58"/>
      <c r="I4" s="58"/>
      <c r="J4" s="58"/>
      <c r="K4" s="58"/>
      <c r="L4" s="58"/>
      <c r="M4" s="58"/>
      <c r="N4" s="58"/>
      <c r="O4" s="58"/>
      <c r="P4" s="58"/>
      <c r="Q4" s="58"/>
      <c r="R4" s="58"/>
      <c r="S4" s="58"/>
      <c r="T4" s="58"/>
      <c r="U4" s="63"/>
      <c r="V4" s="63"/>
      <c r="W4" s="63"/>
      <c r="X4" s="63"/>
      <c r="Y4" s="63"/>
      <c r="Z4" s="62"/>
      <c r="AA4" s="64"/>
      <c r="AB4" s="64"/>
      <c r="AC4" s="62"/>
      <c r="AD4" s="62"/>
      <c r="AE4" s="58"/>
      <c r="AF4" s="58"/>
      <c r="AG4" s="58"/>
      <c r="AH4" s="58"/>
      <c r="AI4" s="62"/>
      <c r="AJ4" s="58"/>
    </row>
    <row r="5" spans="1:36" x14ac:dyDescent="0.25">
      <c r="A5" s="59"/>
      <c r="B5" s="59"/>
      <c r="C5" s="61"/>
      <c r="D5" s="58"/>
      <c r="E5" s="58"/>
      <c r="F5" s="58"/>
      <c r="G5" s="58"/>
      <c r="H5" s="58"/>
      <c r="I5" s="58"/>
      <c r="J5" s="58"/>
      <c r="K5" s="58"/>
      <c r="L5" s="58"/>
      <c r="M5" s="58"/>
      <c r="N5" s="58"/>
      <c r="O5" s="58"/>
      <c r="P5" s="58"/>
      <c r="Q5" s="58"/>
      <c r="R5" s="58"/>
      <c r="S5" s="58"/>
      <c r="T5" s="58"/>
      <c r="U5" s="63"/>
      <c r="V5" s="63"/>
      <c r="W5" s="63"/>
      <c r="X5" s="63"/>
      <c r="Y5" s="63"/>
      <c r="Z5" s="62"/>
      <c r="AA5" s="64"/>
      <c r="AB5" s="64"/>
      <c r="AC5" s="62"/>
      <c r="AD5" s="62"/>
      <c r="AE5" s="58"/>
      <c r="AF5" s="58"/>
      <c r="AG5" s="58"/>
      <c r="AH5" s="58"/>
      <c r="AI5" s="62"/>
      <c r="AJ5" s="58"/>
    </row>
    <row r="6" spans="1:36" x14ac:dyDescent="0.25">
      <c r="A6" s="2"/>
      <c r="B6" s="2"/>
      <c r="C6" s="61"/>
      <c r="D6" s="58"/>
      <c r="E6" s="58"/>
      <c r="F6" s="58"/>
      <c r="G6" s="58"/>
      <c r="H6" s="58"/>
      <c r="I6" s="58"/>
      <c r="J6" s="58"/>
      <c r="K6" s="58"/>
      <c r="L6" s="58"/>
      <c r="M6" s="58"/>
      <c r="N6" s="58"/>
      <c r="O6" s="58"/>
      <c r="P6" s="58"/>
      <c r="Q6" s="58"/>
      <c r="R6" s="58"/>
      <c r="S6" s="58"/>
      <c r="T6" s="58"/>
      <c r="U6" s="63"/>
      <c r="V6" s="63"/>
      <c r="W6" s="63"/>
      <c r="X6" s="63"/>
      <c r="Y6" s="63"/>
      <c r="Z6" s="62"/>
      <c r="AA6" s="64"/>
      <c r="AB6" s="64"/>
      <c r="AC6" s="62"/>
      <c r="AD6" s="62"/>
      <c r="AE6" s="58"/>
      <c r="AF6" s="58"/>
      <c r="AG6" s="58"/>
      <c r="AH6" s="58"/>
      <c r="AI6" s="62"/>
      <c r="AJ6" s="58"/>
    </row>
    <row r="7" spans="1:36" s="3" customFormat="1" ht="13.5" customHeight="1" x14ac:dyDescent="0.25">
      <c r="A7" s="8" t="s">
        <v>43</v>
      </c>
    </row>
    <row r="8" spans="1:36" ht="13.5" customHeight="1" x14ac:dyDescent="0.25">
      <c r="A8" s="2"/>
      <c r="B8" s="2"/>
      <c r="C8" s="14"/>
      <c r="D8" s="9"/>
      <c r="E8" s="9"/>
      <c r="F8" s="9"/>
      <c r="G8" s="9"/>
      <c r="H8" s="9"/>
      <c r="I8" s="9"/>
      <c r="J8" s="9"/>
      <c r="K8" s="9"/>
      <c r="L8" s="9"/>
      <c r="M8" s="9"/>
      <c r="N8" s="9"/>
      <c r="O8" s="9"/>
      <c r="P8" s="9"/>
      <c r="Q8" s="9"/>
      <c r="R8" s="9"/>
      <c r="S8" s="9"/>
      <c r="T8" s="9"/>
      <c r="U8" s="11"/>
      <c r="V8" s="11"/>
      <c r="W8" s="11"/>
      <c r="X8" s="11"/>
      <c r="Y8" s="11"/>
      <c r="Z8" s="10"/>
      <c r="AA8" s="13"/>
      <c r="AB8" s="13"/>
      <c r="AC8" s="10"/>
      <c r="AD8" s="10"/>
      <c r="AE8" s="9"/>
      <c r="AF8" s="9"/>
      <c r="AG8" s="9"/>
      <c r="AH8" s="9"/>
      <c r="AI8" s="10"/>
      <c r="AJ8" s="9"/>
    </row>
    <row r="9" spans="1:36" ht="13.5" customHeight="1" x14ac:dyDescent="0.25">
      <c r="A9" s="2"/>
      <c r="B9" s="2"/>
      <c r="C9" s="14"/>
      <c r="D9" s="9"/>
      <c r="E9" s="9"/>
      <c r="F9" s="9"/>
      <c r="G9" s="9"/>
      <c r="H9" s="9"/>
      <c r="I9" s="9"/>
      <c r="J9" s="9"/>
      <c r="K9" s="9"/>
      <c r="L9" s="9"/>
      <c r="M9" s="9"/>
      <c r="N9" s="9"/>
      <c r="O9" s="9"/>
      <c r="P9" s="9"/>
      <c r="Q9" s="9"/>
      <c r="R9" s="9"/>
      <c r="S9" s="9"/>
      <c r="T9" s="9"/>
      <c r="U9" s="11"/>
      <c r="V9" s="11"/>
      <c r="W9" s="11"/>
      <c r="X9" s="11"/>
      <c r="Y9" s="11"/>
      <c r="Z9" s="10"/>
      <c r="AA9" s="13"/>
      <c r="AB9" s="13"/>
      <c r="AC9" s="10"/>
      <c r="AD9" s="10"/>
      <c r="AE9" s="9"/>
      <c r="AF9" s="9"/>
      <c r="AG9" s="9"/>
      <c r="AH9" s="9"/>
      <c r="AI9" s="10"/>
      <c r="AJ9" s="9"/>
    </row>
    <row r="10" spans="1:36" ht="13.5" customHeight="1" x14ac:dyDescent="0.25"/>
    <row r="11" spans="1:36" s="3" customFormat="1" ht="13.5" customHeight="1" x14ac:dyDescent="0.25">
      <c r="A11" s="8" t="s">
        <v>45</v>
      </c>
      <c r="B11" s="8"/>
      <c r="C11" s="8"/>
    </row>
    <row r="12" spans="1:36" s="8" customFormat="1" ht="13.5" customHeight="1" x14ac:dyDescent="0.2">
      <c r="A12" s="8" t="s">
        <v>44</v>
      </c>
    </row>
    <row r="13" spans="1:36" ht="13.5" customHeight="1" x14ac:dyDescent="0.25"/>
    <row r="14" spans="1:36" ht="13.5" customHeight="1" x14ac:dyDescent="0.25"/>
    <row r="15" spans="1:36" s="8" customFormat="1" ht="13.5" customHeight="1" x14ac:dyDescent="0.2">
      <c r="A15" s="8" t="s">
        <v>47</v>
      </c>
    </row>
    <row r="16" spans="1:36" ht="13.5" customHeight="1" x14ac:dyDescent="0.25"/>
    <row r="17" spans="1:1" ht="13.5" customHeight="1" x14ac:dyDescent="0.25"/>
    <row r="18" spans="1:1" s="8" customFormat="1" ht="13.5" customHeight="1" x14ac:dyDescent="0.2">
      <c r="A18" s="8" t="s">
        <v>46</v>
      </c>
    </row>
    <row r="19" spans="1:1" ht="13.5" customHeight="1" x14ac:dyDescent="0.25"/>
    <row r="20" spans="1:1" ht="13.5" customHeight="1" x14ac:dyDescent="0.25"/>
    <row r="21" spans="1:1" s="8" customFormat="1" ht="13.5" customHeight="1" x14ac:dyDescent="0.2">
      <c r="A21" s="8" t="s">
        <v>48</v>
      </c>
    </row>
    <row r="22" spans="1:1" ht="13.5" customHeight="1" x14ac:dyDescent="0.25"/>
    <row r="23" spans="1:1" ht="13.5" customHeight="1" x14ac:dyDescent="0.25"/>
    <row r="24" spans="1:1" s="8" customFormat="1" ht="13.5" customHeight="1" x14ac:dyDescent="0.2">
      <c r="A24" s="8" t="s">
        <v>49</v>
      </c>
    </row>
    <row r="25" spans="1:1" ht="13.5" customHeight="1" x14ac:dyDescent="0.25"/>
    <row r="26" spans="1:1" ht="13.5" customHeight="1" x14ac:dyDescent="0.25"/>
    <row r="27" spans="1:1" s="8" customFormat="1" ht="13.5" customHeight="1" x14ac:dyDescent="0.2">
      <c r="A27" s="8" t="s">
        <v>50</v>
      </c>
    </row>
    <row r="28" spans="1:1" ht="13.5" customHeight="1" x14ac:dyDescent="0.25"/>
    <row r="29" spans="1:1" ht="13.5" customHeight="1" x14ac:dyDescent="0.25"/>
    <row r="30" spans="1:1" s="8" customFormat="1" ht="13.5" customHeight="1" x14ac:dyDescent="0.2">
      <c r="A30" s="8" t="s">
        <v>51</v>
      </c>
    </row>
    <row r="31" spans="1:1" ht="13.5" customHeight="1" x14ac:dyDescent="0.25"/>
    <row r="32" spans="1:1" ht="13.5" customHeight="1" x14ac:dyDescent="0.25"/>
    <row r="33" spans="1:36" s="8" customFormat="1" ht="13.5" customHeight="1" x14ac:dyDescent="0.2">
      <c r="A33" s="8" t="s">
        <v>52</v>
      </c>
    </row>
    <row r="34" spans="1:36" ht="13.5" customHeight="1" x14ac:dyDescent="0.25">
      <c r="A34" t="s">
        <v>91</v>
      </c>
      <c r="C34" t="s">
        <v>80</v>
      </c>
      <c r="T34">
        <v>1</v>
      </c>
      <c r="AJ34">
        <v>1</v>
      </c>
    </row>
    <row r="35" spans="1:36" ht="13.5" customHeight="1" x14ac:dyDescent="0.25">
      <c r="A35" t="s">
        <v>92</v>
      </c>
      <c r="C35" t="s">
        <v>80</v>
      </c>
      <c r="T35">
        <v>2</v>
      </c>
      <c r="AJ35">
        <v>2</v>
      </c>
    </row>
    <row r="36" spans="1:36" s="8" customFormat="1" ht="13.5" customHeight="1" x14ac:dyDescent="0.2">
      <c r="A36" s="8" t="s">
        <v>53</v>
      </c>
    </row>
    <row r="37" spans="1:36" ht="13.5" customHeight="1" x14ac:dyDescent="0.25">
      <c r="A37" t="s">
        <v>93</v>
      </c>
      <c r="C37" t="s">
        <v>80</v>
      </c>
      <c r="T37">
        <v>1</v>
      </c>
      <c r="AJ37">
        <v>1</v>
      </c>
    </row>
    <row r="38" spans="1:36" ht="13.5" customHeight="1" x14ac:dyDescent="0.25">
      <c r="A38" t="s">
        <v>94</v>
      </c>
      <c r="C38" t="s">
        <v>80</v>
      </c>
      <c r="T38">
        <v>2</v>
      </c>
      <c r="AJ38">
        <v>2</v>
      </c>
    </row>
    <row r="39" spans="1:36" s="8" customFormat="1" ht="13.5" customHeight="1" x14ac:dyDescent="0.2">
      <c r="A39" s="8" t="s">
        <v>54</v>
      </c>
    </row>
    <row r="40" spans="1:36" ht="13.5" customHeight="1" x14ac:dyDescent="0.25"/>
    <row r="41" spans="1:36" ht="13.5" customHeight="1" x14ac:dyDescent="0.25"/>
    <row r="42" spans="1:36" s="8" customFormat="1" ht="13.5" customHeight="1" x14ac:dyDescent="0.2">
      <c r="A42" s="8" t="s">
        <v>55</v>
      </c>
    </row>
    <row r="43" spans="1:36" ht="13.5" customHeight="1" x14ac:dyDescent="0.25"/>
    <row r="44" spans="1:36" ht="13.5" customHeight="1" x14ac:dyDescent="0.25"/>
    <row r="45" spans="1:36" s="8" customFormat="1" ht="13.5" customHeight="1" x14ac:dyDescent="0.2">
      <c r="A45" s="8" t="s">
        <v>56</v>
      </c>
    </row>
    <row r="46" spans="1:36" ht="13.5" customHeight="1" x14ac:dyDescent="0.25">
      <c r="A46" t="s">
        <v>95</v>
      </c>
      <c r="C46" t="s">
        <v>80</v>
      </c>
      <c r="V46" s="8">
        <v>1</v>
      </c>
      <c r="AJ46">
        <v>1</v>
      </c>
    </row>
    <row r="47" spans="1:36" ht="13.5" customHeight="1" x14ac:dyDescent="0.25"/>
    <row r="48" spans="1:36" s="8" customFormat="1" ht="13.5" customHeight="1" x14ac:dyDescent="0.2">
      <c r="A48" s="8" t="s">
        <v>57</v>
      </c>
    </row>
    <row r="49" spans="1:36" ht="13.5" customHeight="1" x14ac:dyDescent="0.25">
      <c r="A49" t="s">
        <v>96</v>
      </c>
      <c r="C49" t="s">
        <v>80</v>
      </c>
      <c r="V49">
        <v>1</v>
      </c>
      <c r="AJ49">
        <v>1</v>
      </c>
    </row>
    <row r="50" spans="1:36" ht="13.5" customHeight="1" x14ac:dyDescent="0.25"/>
    <row r="51" spans="1:36" s="8" customFormat="1" ht="13.5" customHeight="1" x14ac:dyDescent="0.2">
      <c r="A51" s="8" t="s">
        <v>58</v>
      </c>
    </row>
    <row r="52" spans="1:36" ht="13.5" customHeight="1" x14ac:dyDescent="0.25">
      <c r="A52" t="s">
        <v>85</v>
      </c>
      <c r="C52" s="12" t="s">
        <v>79</v>
      </c>
    </row>
    <row r="53" spans="1:36" ht="13.5" customHeight="1" x14ac:dyDescent="0.25">
      <c r="A53" t="s">
        <v>97</v>
      </c>
      <c r="C53" t="s">
        <v>80</v>
      </c>
      <c r="W53">
        <v>1</v>
      </c>
      <c r="AJ53">
        <v>1</v>
      </c>
    </row>
    <row r="54" spans="1:36" s="8" customFormat="1" ht="13.5" customHeight="1" x14ac:dyDescent="0.2">
      <c r="A54" s="8" t="s">
        <v>59</v>
      </c>
    </row>
    <row r="55" spans="1:36" ht="13.5" customHeight="1" x14ac:dyDescent="0.25"/>
    <row r="56" spans="1:36" ht="13.5" customHeight="1" x14ac:dyDescent="0.25"/>
    <row r="57" spans="1:36" s="8" customFormat="1" ht="13.5" customHeight="1" x14ac:dyDescent="0.2">
      <c r="A57" s="8" t="s">
        <v>60</v>
      </c>
    </row>
    <row r="58" spans="1:36" ht="13.5" customHeight="1" x14ac:dyDescent="0.25">
      <c r="A58" t="s">
        <v>81</v>
      </c>
      <c r="C58" s="12" t="s">
        <v>80</v>
      </c>
    </row>
    <row r="59" spans="1:36" ht="13.5" customHeight="1" x14ac:dyDescent="0.25">
      <c r="A59" t="s">
        <v>109</v>
      </c>
      <c r="C59" t="s">
        <v>80</v>
      </c>
      <c r="Y59">
        <v>1</v>
      </c>
      <c r="AJ59">
        <v>1</v>
      </c>
    </row>
    <row r="60" spans="1:36" s="8" customFormat="1" ht="13.5" customHeight="1" x14ac:dyDescent="0.2">
      <c r="A60" s="8" t="s">
        <v>61</v>
      </c>
    </row>
    <row r="61" spans="1:36" ht="13.5" customHeight="1" x14ac:dyDescent="0.25">
      <c r="A61" t="s">
        <v>82</v>
      </c>
      <c r="C61" s="12" t="s">
        <v>80</v>
      </c>
    </row>
    <row r="62" spans="1:36" ht="13.5" customHeight="1" x14ac:dyDescent="0.25">
      <c r="A62" t="s">
        <v>86</v>
      </c>
      <c r="C62" s="12" t="s">
        <v>79</v>
      </c>
    </row>
    <row r="63" spans="1:36" s="17" customFormat="1" ht="13.5" customHeight="1" x14ac:dyDescent="0.25">
      <c r="A63" s="17" t="s">
        <v>87</v>
      </c>
      <c r="C63" s="18" t="s">
        <v>79</v>
      </c>
      <c r="Y63" s="17">
        <v>1</v>
      </c>
      <c r="AJ63" s="17">
        <v>1</v>
      </c>
    </row>
    <row r="64" spans="1:36" s="17" customFormat="1" ht="13.5" customHeight="1" x14ac:dyDescent="0.25">
      <c r="A64" s="17" t="s">
        <v>110</v>
      </c>
      <c r="C64" s="18" t="s">
        <v>80</v>
      </c>
      <c r="Y64" s="17">
        <v>1</v>
      </c>
      <c r="AJ64" s="17">
        <v>1</v>
      </c>
    </row>
    <row r="65" spans="1:1" s="3" customFormat="1" ht="13.5" customHeight="1" x14ac:dyDescent="0.25">
      <c r="A65" s="8" t="s">
        <v>62</v>
      </c>
    </row>
    <row r="66" spans="1:1" ht="13.5" customHeight="1" x14ac:dyDescent="0.25"/>
    <row r="67" spans="1:1" ht="13.5" customHeight="1" x14ac:dyDescent="0.25"/>
    <row r="68" spans="1:1" s="15" customFormat="1" ht="13.5" customHeight="1" x14ac:dyDescent="0.2">
      <c r="A68" s="8" t="s">
        <v>63</v>
      </c>
    </row>
    <row r="69" spans="1:1" ht="13.5" customHeight="1" x14ac:dyDescent="0.25"/>
    <row r="70" spans="1:1" ht="13.5" customHeight="1" x14ac:dyDescent="0.25"/>
    <row r="71" spans="1:1" s="8" customFormat="1" ht="13.5" customHeight="1" x14ac:dyDescent="0.2">
      <c r="A71" s="8" t="s">
        <v>64</v>
      </c>
    </row>
    <row r="72" spans="1:1" ht="13.5" customHeight="1" x14ac:dyDescent="0.25"/>
    <row r="73" spans="1:1" ht="13.5" customHeight="1" x14ac:dyDescent="0.25"/>
    <row r="74" spans="1:1" s="3" customFormat="1" ht="13.5" customHeight="1" x14ac:dyDescent="0.25">
      <c r="A74" s="8" t="s">
        <v>65</v>
      </c>
    </row>
    <row r="75" spans="1:1" ht="13.5" customHeight="1" x14ac:dyDescent="0.25"/>
    <row r="76" spans="1:1" ht="13.5" customHeight="1" x14ac:dyDescent="0.25"/>
    <row r="77" spans="1:1" s="8" customFormat="1" ht="13.5" customHeight="1" x14ac:dyDescent="0.2">
      <c r="A77" s="8" t="s">
        <v>66</v>
      </c>
    </row>
    <row r="78" spans="1:1" ht="13.5" customHeight="1" x14ac:dyDescent="0.25"/>
    <row r="79" spans="1:1" ht="13.5" customHeight="1" x14ac:dyDescent="0.25"/>
    <row r="80" spans="1:1" s="8" customFormat="1" ht="13.5" customHeight="1" x14ac:dyDescent="0.2">
      <c r="A80" s="8" t="s">
        <v>67</v>
      </c>
    </row>
    <row r="81" spans="1:36" ht="13.5" customHeight="1" x14ac:dyDescent="0.25">
      <c r="A81" t="s">
        <v>83</v>
      </c>
      <c r="C81" s="12" t="s">
        <v>80</v>
      </c>
    </row>
    <row r="82" spans="1:36" ht="13.5" customHeight="1" x14ac:dyDescent="0.25">
      <c r="A82" t="s">
        <v>89</v>
      </c>
      <c r="C82" t="s">
        <v>80</v>
      </c>
      <c r="AC82">
        <v>1</v>
      </c>
      <c r="AJ82">
        <v>1</v>
      </c>
    </row>
    <row r="83" spans="1:36" s="17" customFormat="1" ht="13.5" customHeight="1" x14ac:dyDescent="0.25">
      <c r="A83" s="17" t="s">
        <v>90</v>
      </c>
      <c r="C83" s="17" t="s">
        <v>79</v>
      </c>
      <c r="AC83" s="17">
        <v>2</v>
      </c>
      <c r="AJ83" s="17">
        <v>2</v>
      </c>
    </row>
    <row r="84" spans="1:36" s="8" customFormat="1" ht="13.5" customHeight="1" x14ac:dyDescent="0.2">
      <c r="A84" s="8" t="s">
        <v>68</v>
      </c>
    </row>
    <row r="85" spans="1:36" ht="13.5" customHeight="1" x14ac:dyDescent="0.25">
      <c r="A85" t="s">
        <v>84</v>
      </c>
      <c r="C85" s="12" t="s">
        <v>80</v>
      </c>
    </row>
    <row r="86" spans="1:36" ht="13.5" customHeight="1" x14ac:dyDescent="0.25">
      <c r="A86" t="s">
        <v>111</v>
      </c>
      <c r="C86" t="s">
        <v>79</v>
      </c>
      <c r="AC86">
        <v>2</v>
      </c>
      <c r="AJ86">
        <v>2</v>
      </c>
    </row>
    <row r="87" spans="1:36" s="3" customFormat="1" ht="13.5" customHeight="1" x14ac:dyDescent="0.25">
      <c r="A87" s="8" t="s">
        <v>69</v>
      </c>
    </row>
    <row r="88" spans="1:36" ht="13.5" customHeight="1" x14ac:dyDescent="0.25">
      <c r="A88" t="s">
        <v>88</v>
      </c>
      <c r="C88" t="s">
        <v>79</v>
      </c>
      <c r="AD88">
        <v>1</v>
      </c>
      <c r="AJ88">
        <v>1</v>
      </c>
    </row>
    <row r="89" spans="1:36" ht="13.5" customHeight="1" x14ac:dyDescent="0.25">
      <c r="A89" t="s">
        <v>98</v>
      </c>
      <c r="C89" t="s">
        <v>80</v>
      </c>
      <c r="AD89">
        <v>1</v>
      </c>
      <c r="AJ89">
        <v>1</v>
      </c>
    </row>
    <row r="90" spans="1:36" s="17" customFormat="1" ht="13.5" customHeight="1" x14ac:dyDescent="0.25">
      <c r="A90" s="17" t="s">
        <v>99</v>
      </c>
      <c r="C90" s="17" t="s">
        <v>80</v>
      </c>
      <c r="AD90" s="17">
        <v>5</v>
      </c>
      <c r="AJ90" s="17">
        <v>5</v>
      </c>
    </row>
    <row r="91" spans="1:36" s="17" customFormat="1" ht="13.5" customHeight="1" x14ac:dyDescent="0.25">
      <c r="A91" s="17" t="s">
        <v>100</v>
      </c>
      <c r="C91" s="17" t="s">
        <v>80</v>
      </c>
      <c r="AD91" s="17">
        <v>2</v>
      </c>
      <c r="AJ91" s="17">
        <v>2</v>
      </c>
    </row>
    <row r="92" spans="1:36" s="17" customFormat="1" ht="13.5" customHeight="1" x14ac:dyDescent="0.25">
      <c r="A92" s="17" t="s">
        <v>101</v>
      </c>
      <c r="C92" s="17" t="s">
        <v>80</v>
      </c>
      <c r="AD92" s="17">
        <v>1</v>
      </c>
      <c r="AJ92" s="17">
        <v>1</v>
      </c>
    </row>
    <row r="93" spans="1:36" s="17" customFormat="1" ht="13.5" customHeight="1" x14ac:dyDescent="0.25">
      <c r="A93" s="17" t="s">
        <v>102</v>
      </c>
      <c r="C93" s="17" t="s">
        <v>80</v>
      </c>
      <c r="AD93" s="17">
        <v>1</v>
      </c>
      <c r="AJ93" s="17">
        <v>1</v>
      </c>
    </row>
    <row r="94" spans="1:36" s="3" customFormat="1" ht="13.5" customHeight="1" x14ac:dyDescent="0.25">
      <c r="A94" s="8" t="s">
        <v>70</v>
      </c>
    </row>
    <row r="95" spans="1:36" ht="13.5" customHeight="1" x14ac:dyDescent="0.25">
      <c r="A95" t="s">
        <v>103</v>
      </c>
      <c r="C95" t="s">
        <v>80</v>
      </c>
      <c r="AD95">
        <v>1</v>
      </c>
      <c r="AJ95">
        <v>1</v>
      </c>
    </row>
    <row r="96" spans="1:36" ht="13.5" customHeight="1" x14ac:dyDescent="0.25">
      <c r="A96" t="s">
        <v>104</v>
      </c>
      <c r="C96" t="s">
        <v>80</v>
      </c>
      <c r="AD96">
        <v>2</v>
      </c>
      <c r="AJ96">
        <v>2</v>
      </c>
    </row>
    <row r="97" spans="1:37" s="3" customFormat="1" ht="13.5" customHeight="1" x14ac:dyDescent="0.25">
      <c r="A97" s="8" t="s">
        <v>71</v>
      </c>
    </row>
    <row r="98" spans="1:37" ht="13.5" customHeight="1" x14ac:dyDescent="0.25">
      <c r="A98" t="s">
        <v>105</v>
      </c>
      <c r="C98" t="s">
        <v>80</v>
      </c>
      <c r="AF98">
        <v>1</v>
      </c>
      <c r="AJ98">
        <v>1</v>
      </c>
    </row>
    <row r="99" spans="1:37" ht="13.5" customHeight="1" x14ac:dyDescent="0.25">
      <c r="A99" t="s">
        <v>106</v>
      </c>
      <c r="C99" t="s">
        <v>80</v>
      </c>
      <c r="AF99">
        <v>1</v>
      </c>
      <c r="AJ99">
        <v>1</v>
      </c>
    </row>
    <row r="100" spans="1:37" s="8" customFormat="1" ht="13.5" customHeight="1" x14ac:dyDescent="0.2">
      <c r="A100" s="8" t="s">
        <v>72</v>
      </c>
    </row>
    <row r="101" spans="1:37" ht="13.5" customHeight="1" x14ac:dyDescent="0.25"/>
    <row r="102" spans="1:37" ht="13.5" customHeight="1" x14ac:dyDescent="0.25"/>
    <row r="103" spans="1:37" s="3" customFormat="1" ht="13.5" customHeight="1" x14ac:dyDescent="0.25">
      <c r="A103" s="8" t="s">
        <v>73</v>
      </c>
    </row>
    <row r="104" spans="1:37" ht="13.5" customHeight="1" x14ac:dyDescent="0.25"/>
    <row r="105" spans="1:37" ht="13.5" customHeight="1" x14ac:dyDescent="0.25"/>
    <row r="106" spans="1:37" s="8" customFormat="1" ht="13.5" customHeight="1" x14ac:dyDescent="0.2">
      <c r="A106" s="8" t="s">
        <v>74</v>
      </c>
    </row>
    <row r="107" spans="1:37" ht="13.5" customHeight="1" x14ac:dyDescent="0.25"/>
    <row r="108" spans="1:37" ht="13.5" customHeight="1" x14ac:dyDescent="0.25"/>
    <row r="109" spans="1:37" s="8" customFormat="1" ht="13.5" customHeight="1" x14ac:dyDescent="0.2">
      <c r="A109" s="8" t="s">
        <v>75</v>
      </c>
    </row>
    <row r="110" spans="1:37" ht="13.5" customHeight="1" x14ac:dyDescent="0.25">
      <c r="A110" t="s">
        <v>107</v>
      </c>
      <c r="C110" t="s">
        <v>80</v>
      </c>
      <c r="AH110">
        <v>1</v>
      </c>
      <c r="AK110">
        <v>1</v>
      </c>
    </row>
    <row r="111" spans="1:37" ht="13.5" customHeight="1" x14ac:dyDescent="0.25"/>
    <row r="112" spans="1:37" s="8" customFormat="1" ht="13.5" customHeight="1" x14ac:dyDescent="0.2">
      <c r="A112" s="8" t="s">
        <v>76</v>
      </c>
    </row>
    <row r="113" spans="1:37" ht="13.5" customHeight="1" x14ac:dyDescent="0.25">
      <c r="A113" t="s">
        <v>108</v>
      </c>
      <c r="C113" t="s">
        <v>80</v>
      </c>
      <c r="AH113">
        <v>1</v>
      </c>
      <c r="AK113">
        <v>1</v>
      </c>
    </row>
    <row r="114" spans="1:37" ht="13.5" customHeight="1" x14ac:dyDescent="0.25"/>
    <row r="115" spans="1:37" s="8" customFormat="1" ht="13.5" customHeight="1" x14ac:dyDescent="0.2">
      <c r="A115" s="8" t="s">
        <v>77</v>
      </c>
    </row>
    <row r="116" spans="1:37" ht="13.5" customHeight="1" x14ac:dyDescent="0.25"/>
    <row r="117" spans="1:37" ht="13.5" customHeight="1" x14ac:dyDescent="0.25"/>
    <row r="118" spans="1:37" s="8" customFormat="1" ht="13.5" customHeight="1" x14ac:dyDescent="0.2">
      <c r="A118" s="8" t="s">
        <v>78</v>
      </c>
    </row>
  </sheetData>
  <mergeCells count="36">
    <mergeCell ref="AF1:AF6"/>
    <mergeCell ref="AH1:AH6"/>
    <mergeCell ref="AI1:AI6"/>
    <mergeCell ref="AJ1:AJ6"/>
    <mergeCell ref="AG2:AG6"/>
    <mergeCell ref="S1:S6"/>
    <mergeCell ref="H1:H6"/>
    <mergeCell ref="I1:I6"/>
    <mergeCell ref="J1:J6"/>
    <mergeCell ref="K1:K6"/>
    <mergeCell ref="L1:L6"/>
    <mergeCell ref="N1:N6"/>
    <mergeCell ref="O1:O6"/>
    <mergeCell ref="P1:P6"/>
    <mergeCell ref="Q1:Q6"/>
    <mergeCell ref="R1:R6"/>
    <mergeCell ref="M1:M6"/>
    <mergeCell ref="AD1:AD6"/>
    <mergeCell ref="AE1:AE6"/>
    <mergeCell ref="T1:T6"/>
    <mergeCell ref="U1:U6"/>
    <mergeCell ref="V1:V6"/>
    <mergeCell ref="W1:W6"/>
    <mergeCell ref="X1:X6"/>
    <mergeCell ref="Y1:Y6"/>
    <mergeCell ref="Z1:Z6"/>
    <mergeCell ref="AA1:AA6"/>
    <mergeCell ref="AB1:AB6"/>
    <mergeCell ref="AC1:AC6"/>
    <mergeCell ref="G1:G6"/>
    <mergeCell ref="A4:B5"/>
    <mergeCell ref="A1:B3"/>
    <mergeCell ref="C1:C6"/>
    <mergeCell ref="D1:D6"/>
    <mergeCell ref="E1:E6"/>
    <mergeCell ref="F1:F6"/>
  </mergeCells>
  <pageMargins left="0.7" right="0.7" top="0.75" bottom="0.75" header="0.3" footer="0.3"/>
  <pageSetup scale="4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8"/>
  <sheetViews>
    <sheetView workbookViewId="0">
      <selection activeCell="A2" sqref="A2"/>
    </sheetView>
  </sheetViews>
  <sheetFormatPr defaultRowHeight="15" x14ac:dyDescent="0.25"/>
  <sheetData>
    <row r="1" spans="1:35" ht="15.75" customHeight="1" x14ac:dyDescent="0.25">
      <c r="A1" s="4" t="s">
        <v>36</v>
      </c>
      <c r="G1" s="18"/>
      <c r="S1" s="22"/>
      <c r="T1" s="22"/>
      <c r="AI1" s="23"/>
    </row>
    <row r="2" spans="1:35" x14ac:dyDescent="0.25">
      <c r="A2" s="21" t="s">
        <v>114</v>
      </c>
      <c r="G2" s="18"/>
      <c r="S2" s="22"/>
      <c r="T2" s="22"/>
      <c r="AI2" s="23"/>
    </row>
    <row r="3" spans="1:35" x14ac:dyDescent="0.25">
      <c r="A3" t="s">
        <v>115</v>
      </c>
      <c r="G3" s="18"/>
      <c r="S3" s="22"/>
      <c r="T3" s="22"/>
      <c r="AI3" s="23"/>
    </row>
    <row r="4" spans="1:35" s="25" customFormat="1" x14ac:dyDescent="0.25">
      <c r="A4" s="25" t="s">
        <v>116</v>
      </c>
      <c r="G4" s="26"/>
      <c r="AI4" s="23"/>
    </row>
    <row r="5" spans="1:35" x14ac:dyDescent="0.25">
      <c r="A5" t="s">
        <v>37</v>
      </c>
      <c r="G5" s="18"/>
      <c r="S5" s="22"/>
      <c r="T5" s="22"/>
      <c r="AI5" s="23"/>
    </row>
    <row r="6" spans="1:35" x14ac:dyDescent="0.25">
      <c r="G6" s="18"/>
      <c r="S6" s="22"/>
      <c r="T6" s="22"/>
      <c r="AI6" s="23"/>
    </row>
    <row r="7" spans="1:35" x14ac:dyDescent="0.25">
      <c r="A7" t="s">
        <v>38</v>
      </c>
      <c r="G7" s="18"/>
      <c r="S7" s="22"/>
      <c r="T7" s="22"/>
      <c r="AI7" s="23"/>
    </row>
    <row r="8" spans="1:35" x14ac:dyDescent="0.25">
      <c r="G8" s="18"/>
      <c r="S8" s="22"/>
      <c r="T8" s="22"/>
      <c r="AI8" s="23"/>
    </row>
    <row r="9" spans="1:35" x14ac:dyDescent="0.25">
      <c r="G9" s="18"/>
      <c r="S9" s="22"/>
      <c r="T9" s="22"/>
      <c r="AI9" s="23"/>
    </row>
    <row r="10" spans="1:35" ht="15.75" thickBot="1" x14ac:dyDescent="0.3">
      <c r="A10" s="6"/>
      <c r="B10" s="6"/>
      <c r="C10" s="6"/>
      <c r="D10" s="6"/>
      <c r="E10" s="6"/>
      <c r="F10" s="6"/>
      <c r="G10" s="20"/>
      <c r="S10" s="22"/>
      <c r="T10" s="22"/>
      <c r="AI10" s="23"/>
    </row>
    <row r="11" spans="1:35" x14ac:dyDescent="0.25">
      <c r="A11" t="s">
        <v>39</v>
      </c>
      <c r="G11" s="18"/>
      <c r="S11" s="22"/>
      <c r="T11" s="22"/>
      <c r="AI11" s="23"/>
    </row>
    <row r="12" spans="1:35" x14ac:dyDescent="0.25">
      <c r="G12" s="18"/>
      <c r="S12" s="22"/>
      <c r="T12" s="22"/>
      <c r="AI12" s="23"/>
    </row>
    <row r="13" spans="1:35" x14ac:dyDescent="0.25">
      <c r="G13" s="18"/>
      <c r="S13" s="22"/>
      <c r="T13" s="22"/>
      <c r="AI13" s="23"/>
    </row>
    <row r="14" spans="1:35" x14ac:dyDescent="0.25">
      <c r="G14" s="18"/>
      <c r="S14" s="22"/>
      <c r="T14" s="22"/>
      <c r="AI14" s="23"/>
    </row>
    <row r="15" spans="1:35" ht="15.75" thickBot="1" x14ac:dyDescent="0.3">
      <c r="A15" s="5"/>
      <c r="B15" s="6"/>
      <c r="C15" s="6"/>
      <c r="D15" s="6"/>
      <c r="E15" s="6"/>
      <c r="F15" s="6"/>
      <c r="G15" s="20"/>
      <c r="S15" s="22"/>
      <c r="T15" s="22"/>
      <c r="AI15" s="23"/>
    </row>
    <row r="16" spans="1:35" x14ac:dyDescent="0.25">
      <c r="A16" t="s">
        <v>112</v>
      </c>
      <c r="G16" s="18"/>
      <c r="S16" s="22"/>
      <c r="T16" s="22"/>
      <c r="AI16" s="23"/>
    </row>
    <row r="17" spans="1:35" x14ac:dyDescent="0.25">
      <c r="G17" s="18"/>
      <c r="S17" s="22"/>
      <c r="T17" s="22"/>
      <c r="AI17" s="23"/>
    </row>
    <row r="18" spans="1:35" x14ac:dyDescent="0.25">
      <c r="G18" s="18"/>
      <c r="S18" s="22"/>
      <c r="T18" s="22"/>
      <c r="AI18" s="23"/>
    </row>
    <row r="19" spans="1:35" x14ac:dyDescent="0.25">
      <c r="G19" s="18"/>
      <c r="S19" s="22"/>
      <c r="T19" s="22"/>
      <c r="AI19" s="23"/>
    </row>
    <row r="20" spans="1:35" ht="15.75" thickBot="1" x14ac:dyDescent="0.3">
      <c r="A20" s="5" t="s">
        <v>40</v>
      </c>
      <c r="B20" s="6" t="s">
        <v>41</v>
      </c>
      <c r="C20" s="7"/>
      <c r="D20" s="6" t="s">
        <v>40</v>
      </c>
      <c r="E20" s="6"/>
      <c r="F20" s="6"/>
      <c r="G20" s="20"/>
      <c r="S20" s="22"/>
      <c r="T20" s="22"/>
      <c r="AI20" s="23"/>
    </row>
    <row r="21" spans="1:35" x14ac:dyDescent="0.25">
      <c r="A21" t="s">
        <v>42</v>
      </c>
      <c r="G21" s="18"/>
      <c r="S21" s="22"/>
      <c r="T21" s="22"/>
      <c r="AI21" s="23"/>
    </row>
    <row r="22" spans="1:35" x14ac:dyDescent="0.25">
      <c r="G22" s="18"/>
      <c r="S22" s="22"/>
      <c r="T22" s="22"/>
      <c r="AI22" s="23"/>
    </row>
    <row r="23" spans="1:35" x14ac:dyDescent="0.25">
      <c r="G23" s="18"/>
      <c r="S23" s="22"/>
      <c r="T23" s="22"/>
      <c r="AI23" s="23"/>
    </row>
    <row r="24" spans="1:35" x14ac:dyDescent="0.25">
      <c r="G24" s="18"/>
      <c r="S24" s="22"/>
      <c r="T24" s="22"/>
      <c r="AI24" s="23"/>
    </row>
    <row r="25" spans="1:35" ht="15.75" thickBot="1" x14ac:dyDescent="0.3">
      <c r="A25" s="6"/>
      <c r="B25" s="6"/>
      <c r="C25" s="6"/>
      <c r="D25" s="6"/>
      <c r="E25" s="6"/>
      <c r="F25" s="6"/>
      <c r="G25" s="20"/>
      <c r="S25" s="22"/>
      <c r="T25" s="22"/>
      <c r="AI25" s="23"/>
    </row>
    <row r="26" spans="1:35" x14ac:dyDescent="0.25">
      <c r="A26" t="s">
        <v>113</v>
      </c>
      <c r="G26" s="18"/>
      <c r="S26" s="22"/>
      <c r="T26" s="22"/>
      <c r="AI26" s="23"/>
    </row>
    <row r="27" spans="1:35" x14ac:dyDescent="0.25">
      <c r="G27" s="18"/>
      <c r="S27" s="22"/>
      <c r="T27" s="22"/>
      <c r="AI27" s="23"/>
    </row>
    <row r="28" spans="1:35" x14ac:dyDescent="0.25">
      <c r="G28" s="18"/>
      <c r="S28" s="22"/>
      <c r="T28" s="22"/>
      <c r="AI28" s="23"/>
    </row>
  </sheetData>
  <pageMargins left="0.7" right="0.7" top="0.75" bottom="0.75" header="0.3" footer="0.3"/>
  <pageSetup paperSize="52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Sign Page</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Seibel</dc:creator>
  <cp:lastModifiedBy>Debbie Cox</cp:lastModifiedBy>
  <cp:lastPrinted>2024-08-22T16:24:06Z</cp:lastPrinted>
  <dcterms:created xsi:type="dcterms:W3CDTF">2012-10-14T00:55:13Z</dcterms:created>
  <dcterms:modified xsi:type="dcterms:W3CDTF">2025-03-07T13:10:15Z</dcterms:modified>
</cp:coreProperties>
</file>