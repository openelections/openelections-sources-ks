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chitaedu-my.sharepoint.com/personal/m693d933_wichita_edu/Documents/ks_2024_primary/official_results/Jackson/"/>
    </mc:Choice>
  </mc:AlternateContent>
  <xr:revisionPtr revIDLastSave="1" documentId="13_ncr:1_{C8AC3E74-3BD9-4246-956E-5B7B634921C4}" xr6:coauthVersionLast="47" xr6:coauthVersionMax="47" xr10:uidLastSave="{4C440A92-13F0-46A2-AAC8-E9E0E8AB4E2D}"/>
  <bookViews>
    <workbookView xWindow="-28920" yWindow="-120" windowWidth="29040" windowHeight="15720" tabRatio="504" firstSheet="8" activeTab="16" xr2:uid="{00000000-000D-0000-FFFF-FFFF00000000}"/>
  </bookViews>
  <sheets>
    <sheet name="080624 PRIM TALLY Official" sheetId="32" r:id="rId1"/>
    <sheet name="080624 PRIM TALLY" sheetId="1" r:id="rId2"/>
    <sheet name="Advance by Precinct" sheetId="31" r:id="rId3"/>
    <sheet name=" Precinct1" sheetId="4" r:id="rId4"/>
    <sheet name="Advanced" sheetId="5" r:id="rId5"/>
    <sheet name="Adrian" sheetId="6" r:id="rId6"/>
    <sheet name="Banner" sheetId="7" r:id="rId7"/>
    <sheet name="Douglas" sheetId="9" r:id="rId8"/>
    <sheet name="Cedar" sheetId="8" r:id="rId9"/>
    <sheet name="Franklin" sheetId="10" r:id="rId10"/>
    <sheet name="Franklin East" sheetId="11" r:id="rId11"/>
    <sheet name="Garfield" sheetId="12" r:id="rId12"/>
    <sheet name="Grant" sheetId="13" r:id="rId13"/>
    <sheet name="Jefferson" sheetId="14" r:id="rId14"/>
    <sheet name="Liberty" sheetId="15" r:id="rId15"/>
    <sheet name="Liberty Northeast" sheetId="16" r:id="rId16"/>
    <sheet name="Lincoln" sheetId="17" r:id="rId17"/>
    <sheet name="Netawaka" sheetId="18" r:id="rId18"/>
    <sheet name="Soldier" sheetId="19" r:id="rId19"/>
    <sheet name="St. Creek" sheetId="20" r:id="rId20"/>
    <sheet name="St. Creek North" sheetId="21" r:id="rId21"/>
    <sheet name="Ward 1" sheetId="22" r:id="rId22"/>
    <sheet name="Ward 1 City Lake" sheetId="23" r:id="rId23"/>
    <sheet name="Ward 1 Illinois East" sheetId="24" r:id="rId24"/>
    <sheet name="Ward 2" sheetId="25" r:id="rId25"/>
    <sheet name="Ward 3" sheetId="26" r:id="rId26"/>
    <sheet name="Ward 3 Industrial Park" sheetId="27" r:id="rId27"/>
    <sheet name="Washington" sheetId="28" r:id="rId28"/>
    <sheet name="Whiting" sheetId="29" r:id="rId29"/>
    <sheet name="Sheet1" sheetId="30" r:id="rId30"/>
  </sheets>
  <definedNames>
    <definedName name="_xlnm.Print_Area" localSheetId="1">'080624 PRIM TALLY'!$A$1:$AF$63</definedName>
    <definedName name="_xlnm.Print_Area" localSheetId="0">'080624 PRIM TALLY Official'!$A$1:$AF$63</definedName>
    <definedName name="_xlnm.Print_Area" localSheetId="2">'Advance by Precinct'!$A$1:$AA$63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63" i="32" l="1"/>
  <c r="AA63" i="32"/>
  <c r="V63" i="32"/>
  <c r="U63" i="32"/>
  <c r="S63" i="32"/>
  <c r="R63" i="32"/>
  <c r="Q63" i="32"/>
  <c r="O63" i="32"/>
  <c r="N63" i="32"/>
  <c r="M63" i="32"/>
  <c r="L63" i="32"/>
  <c r="K63" i="32"/>
  <c r="J63" i="32"/>
  <c r="I63" i="32"/>
  <c r="H63" i="32"/>
  <c r="G63" i="32"/>
  <c r="C62" i="32"/>
  <c r="AC61" i="32"/>
  <c r="AC63" i="32" s="1"/>
  <c r="Z61" i="32"/>
  <c r="Z63" i="32" s="1"/>
  <c r="Y61" i="32"/>
  <c r="Y63" i="32" s="1"/>
  <c r="X61" i="32"/>
  <c r="X63" i="32" s="1"/>
  <c r="W61" i="32"/>
  <c r="W63" i="32" s="1"/>
  <c r="V61" i="32"/>
  <c r="U61" i="32"/>
  <c r="T61" i="32"/>
  <c r="T63" i="32" s="1"/>
  <c r="S61" i="32"/>
  <c r="C61" i="32" s="1"/>
  <c r="P61" i="32"/>
  <c r="P63" i="32" s="1"/>
  <c r="O61" i="32"/>
  <c r="N61" i="32"/>
  <c r="M61" i="32"/>
  <c r="J61" i="32"/>
  <c r="I61" i="32"/>
  <c r="F61" i="32"/>
  <c r="F63" i="32" s="1"/>
  <c r="AC60" i="32"/>
  <c r="AB60" i="32"/>
  <c r="AA60" i="32"/>
  <c r="Z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C60" i="32"/>
  <c r="C59" i="32"/>
  <c r="Y58" i="32"/>
  <c r="Y60" i="32" s="1"/>
  <c r="C58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C57" i="32"/>
  <c r="C56" i="32"/>
  <c r="C55" i="32"/>
  <c r="C53" i="32"/>
  <c r="C52" i="32"/>
  <c r="C50" i="32"/>
  <c r="C49" i="32"/>
  <c r="C48" i="32"/>
  <c r="C46" i="32"/>
  <c r="C45" i="32"/>
  <c r="C43" i="32"/>
  <c r="C42" i="32"/>
  <c r="C40" i="32"/>
  <c r="C39" i="32"/>
  <c r="C37" i="32"/>
  <c r="C36" i="32"/>
  <c r="C35" i="32"/>
  <c r="C33" i="32"/>
  <c r="C32" i="32"/>
  <c r="C31" i="32"/>
  <c r="C29" i="32"/>
  <c r="C28" i="32"/>
  <c r="C27" i="32"/>
  <c r="C26" i="32"/>
  <c r="C24" i="32"/>
  <c r="C23" i="32"/>
  <c r="C21" i="32"/>
  <c r="C20" i="32"/>
  <c r="C18" i="32"/>
  <c r="C17" i="32"/>
  <c r="C16" i="32"/>
  <c r="C15" i="32"/>
  <c r="C13" i="32"/>
  <c r="C12" i="32"/>
  <c r="C11" i="32"/>
  <c r="C10" i="32"/>
  <c r="C9" i="32"/>
  <c r="C8" i="32"/>
  <c r="C7" i="32"/>
  <c r="C5" i="32"/>
  <c r="C4" i="32"/>
  <c r="C3" i="32"/>
  <c r="C121" i="4"/>
  <c r="C120" i="4"/>
  <c r="C119" i="4"/>
  <c r="C118" i="4"/>
  <c r="C106" i="4"/>
  <c r="C105" i="4"/>
  <c r="C104" i="4"/>
  <c r="C103" i="4"/>
  <c r="C101" i="4"/>
  <c r="C100" i="4"/>
  <c r="C99" i="4"/>
  <c r="C98" i="4"/>
  <c r="C81" i="4"/>
  <c r="C80" i="4"/>
  <c r="C79" i="4"/>
  <c r="C78" i="4"/>
  <c r="C31" i="4"/>
  <c r="C29" i="4"/>
  <c r="C28" i="4"/>
  <c r="Z63" i="31"/>
  <c r="Y63" i="31"/>
  <c r="P63" i="31"/>
  <c r="O63" i="31"/>
  <c r="J63" i="31"/>
  <c r="I63" i="31"/>
  <c r="F63" i="31"/>
  <c r="E63" i="31"/>
  <c r="C62" i="31"/>
  <c r="AA61" i="31"/>
  <c r="AA63" i="31" s="1"/>
  <c r="X61" i="31"/>
  <c r="X63" i="31" s="1"/>
  <c r="W61" i="31"/>
  <c r="W63" i="31" s="1"/>
  <c r="V61" i="31"/>
  <c r="V63" i="31" s="1"/>
  <c r="U61" i="31"/>
  <c r="U63" i="31" s="1"/>
  <c r="T61" i="31"/>
  <c r="T63" i="31" s="1"/>
  <c r="S61" i="31"/>
  <c r="S63" i="31" s="1"/>
  <c r="R61" i="31"/>
  <c r="R63" i="31" s="1"/>
  <c r="Q61" i="31"/>
  <c r="Q63" i="31" s="1"/>
  <c r="N61" i="31"/>
  <c r="N63" i="31" s="1"/>
  <c r="M61" i="31"/>
  <c r="M63" i="31" s="1"/>
  <c r="L61" i="31"/>
  <c r="L63" i="31" s="1"/>
  <c r="K61" i="31"/>
  <c r="K63" i="31" s="1"/>
  <c r="H61" i="31"/>
  <c r="H63" i="31" s="1"/>
  <c r="G61" i="31"/>
  <c r="G63" i="31" s="1"/>
  <c r="D61" i="31"/>
  <c r="D63" i="31" s="1"/>
  <c r="AA60" i="31"/>
  <c r="Z60" i="31"/>
  <c r="Y60" i="31"/>
  <c r="X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59" i="31"/>
  <c r="W58" i="31"/>
  <c r="W60" i="31" s="1"/>
  <c r="C58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6" i="31"/>
  <c r="C55" i="31"/>
  <c r="C53" i="31"/>
  <c r="C52" i="31"/>
  <c r="C50" i="31"/>
  <c r="C49" i="31"/>
  <c r="C48" i="31"/>
  <c r="C46" i="31"/>
  <c r="C45" i="31"/>
  <c r="C43" i="31"/>
  <c r="C42" i="31"/>
  <c r="C40" i="31"/>
  <c r="C39" i="31"/>
  <c r="C37" i="31"/>
  <c r="C36" i="31"/>
  <c r="C35" i="31"/>
  <c r="C33" i="31"/>
  <c r="C32" i="31"/>
  <c r="C31" i="31"/>
  <c r="C29" i="31"/>
  <c r="C28" i="31"/>
  <c r="C27" i="31"/>
  <c r="C26" i="31"/>
  <c r="C24" i="31"/>
  <c r="C23" i="31"/>
  <c r="C21" i="31"/>
  <c r="C20" i="31"/>
  <c r="C18" i="31"/>
  <c r="C17" i="31"/>
  <c r="C16" i="31"/>
  <c r="C15" i="31"/>
  <c r="C13" i="31"/>
  <c r="C12" i="31"/>
  <c r="C11" i="31"/>
  <c r="C10" i="31"/>
  <c r="C9" i="31"/>
  <c r="C8" i="31"/>
  <c r="C7" i="31"/>
  <c r="C5" i="31"/>
  <c r="C4" i="31"/>
  <c r="C3" i="31"/>
  <c r="C6" i="4"/>
  <c r="C5" i="4"/>
  <c r="C86" i="4"/>
  <c r="C85" i="4"/>
  <c r="G57" i="1"/>
  <c r="C63" i="32" l="1"/>
  <c r="C60" i="31"/>
  <c r="C57" i="31"/>
  <c r="C61" i="31"/>
  <c r="C63" i="31" s="1"/>
  <c r="Y61" i="1"/>
  <c r="Z61" i="1"/>
  <c r="I61" i="1"/>
  <c r="M61" i="1"/>
  <c r="F61" i="1"/>
  <c r="P61" i="1"/>
  <c r="P63" i="1" s="1"/>
  <c r="O61" i="1"/>
  <c r="AC61" i="1"/>
  <c r="X61" i="1"/>
  <c r="T61" i="1"/>
  <c r="J61" i="1"/>
  <c r="W61" i="1"/>
  <c r="V61" i="1"/>
  <c r="U61" i="1"/>
  <c r="S61" i="1"/>
  <c r="N61" i="1"/>
  <c r="Y58" i="1"/>
  <c r="K57" i="1"/>
  <c r="K60" i="1"/>
  <c r="K63" i="1"/>
  <c r="H57" i="1"/>
  <c r="H60" i="1"/>
  <c r="H63" i="1"/>
  <c r="G63" i="1"/>
  <c r="G60" i="1"/>
  <c r="AB63" i="1"/>
  <c r="AB60" i="1"/>
  <c r="AB57" i="1"/>
  <c r="R63" i="1"/>
  <c r="R60" i="1"/>
  <c r="R57" i="1"/>
  <c r="P57" i="1"/>
  <c r="P60" i="1"/>
  <c r="C49" i="1"/>
  <c r="C32" i="1"/>
  <c r="C28" i="1"/>
  <c r="C27" i="1"/>
  <c r="C21" i="1"/>
  <c r="C20" i="1"/>
  <c r="C17" i="1"/>
  <c r="C16" i="1"/>
  <c r="C11" i="1"/>
  <c r="C10" i="1"/>
  <c r="C3" i="1"/>
  <c r="C19" i="4" l="1"/>
  <c r="C20" i="4"/>
  <c r="C21" i="4"/>
  <c r="C23" i="4"/>
  <c r="C24" i="4"/>
  <c r="C25" i="4"/>
  <c r="C26" i="4"/>
  <c r="C33" i="4"/>
  <c r="C34" i="4"/>
  <c r="C35" i="4"/>
  <c r="C36" i="4"/>
  <c r="C38" i="4"/>
  <c r="C39" i="4"/>
  <c r="C40" i="4"/>
  <c r="C41" i="4"/>
  <c r="C43" i="4"/>
  <c r="C44" i="4"/>
  <c r="C45" i="4"/>
  <c r="C46" i="4"/>
  <c r="C48" i="4"/>
  <c r="C49" i="4"/>
  <c r="C50" i="4"/>
  <c r="C51" i="4"/>
  <c r="C58" i="4"/>
  <c r="C59" i="4"/>
  <c r="C60" i="4"/>
  <c r="C61" i="4"/>
  <c r="C63" i="4"/>
  <c r="C64" i="4"/>
  <c r="C65" i="4"/>
  <c r="C66" i="4"/>
  <c r="C68" i="4"/>
  <c r="C69" i="4"/>
  <c r="C70" i="4"/>
  <c r="C71" i="4"/>
  <c r="C73" i="4"/>
  <c r="C74" i="4"/>
  <c r="C75" i="4"/>
  <c r="C76" i="4"/>
  <c r="C83" i="4"/>
  <c r="C84" i="4"/>
  <c r="C88" i="4"/>
  <c r="C89" i="4"/>
  <c r="C90" i="4"/>
  <c r="C91" i="4"/>
  <c r="C93" i="4"/>
  <c r="C94" i="4"/>
  <c r="C95" i="4"/>
  <c r="C96" i="4"/>
  <c r="C108" i="4"/>
  <c r="C109" i="4"/>
  <c r="C110" i="4"/>
  <c r="C111" i="4"/>
  <c r="C113" i="4"/>
  <c r="C114" i="4"/>
  <c r="C115" i="4"/>
  <c r="C116" i="4"/>
  <c r="C4" i="4"/>
  <c r="C8" i="4"/>
  <c r="C9" i="4"/>
  <c r="C10" i="4"/>
  <c r="C11" i="4"/>
  <c r="C13" i="4"/>
  <c r="C14" i="4"/>
  <c r="C15" i="4"/>
  <c r="C16" i="4"/>
  <c r="C18" i="4"/>
  <c r="C3" i="4"/>
  <c r="C56" i="1" l="1"/>
  <c r="C59" i="1"/>
  <c r="C58" i="1"/>
  <c r="C4" i="1"/>
  <c r="C5" i="1"/>
  <c r="C7" i="1"/>
  <c r="C8" i="1"/>
  <c r="C9" i="1"/>
  <c r="C12" i="1"/>
  <c r="C13" i="1"/>
  <c r="C15" i="1"/>
  <c r="C18" i="1"/>
  <c r="C23" i="1"/>
  <c r="C24" i="1"/>
  <c r="C26" i="1"/>
  <c r="C29" i="1"/>
  <c r="C31" i="1"/>
  <c r="C33" i="1"/>
  <c r="C35" i="1"/>
  <c r="C36" i="1"/>
  <c r="C37" i="1"/>
  <c r="C39" i="1"/>
  <c r="C40" i="1"/>
  <c r="C42" i="1"/>
  <c r="C43" i="1"/>
  <c r="C45" i="1"/>
  <c r="C46" i="1"/>
  <c r="C48" i="1"/>
  <c r="C50" i="1"/>
  <c r="C52" i="1"/>
  <c r="C53" i="1"/>
  <c r="C55" i="1"/>
  <c r="C61" i="1" l="1"/>
  <c r="F57" i="1"/>
  <c r="I57" i="1"/>
  <c r="J57" i="1"/>
  <c r="L57" i="1"/>
  <c r="M57" i="1"/>
  <c r="N57" i="1"/>
  <c r="O57" i="1"/>
  <c r="Q57" i="1"/>
  <c r="S57" i="1"/>
  <c r="T57" i="1"/>
  <c r="U57" i="1"/>
  <c r="V57" i="1"/>
  <c r="W57" i="1"/>
  <c r="X57" i="1"/>
  <c r="Y57" i="1"/>
  <c r="Z57" i="1"/>
  <c r="AA57" i="1"/>
  <c r="AC57" i="1"/>
  <c r="AC63" i="1" l="1"/>
  <c r="AA63" i="1"/>
  <c r="Z63" i="1"/>
  <c r="Y63" i="1"/>
  <c r="X63" i="1"/>
  <c r="W63" i="1"/>
  <c r="V63" i="1"/>
  <c r="U63" i="1"/>
  <c r="T63" i="1"/>
  <c r="S63" i="1"/>
  <c r="Q63" i="1"/>
  <c r="O63" i="1"/>
  <c r="N63" i="1"/>
  <c r="M63" i="1"/>
  <c r="L63" i="1"/>
  <c r="C62" i="1" s="1"/>
  <c r="J63" i="1"/>
  <c r="I63" i="1"/>
  <c r="F63" i="1"/>
  <c r="AC60" i="1"/>
  <c r="AA60" i="1"/>
  <c r="Z60" i="1"/>
  <c r="Y60" i="1"/>
  <c r="X60" i="1"/>
  <c r="W60" i="1"/>
  <c r="V60" i="1"/>
  <c r="U60" i="1"/>
  <c r="T60" i="1"/>
  <c r="S60" i="1"/>
  <c r="Q60" i="1"/>
  <c r="O60" i="1"/>
  <c r="N60" i="1"/>
  <c r="M60" i="1"/>
  <c r="L60" i="1"/>
  <c r="J60" i="1"/>
  <c r="I60" i="1"/>
  <c r="F60" i="1"/>
  <c r="C57" i="1"/>
  <c r="C60" i="1" l="1"/>
  <c r="C63" i="1"/>
</calcChain>
</file>

<file path=xl/sharedStrings.xml><?xml version="1.0" encoding="utf-8"?>
<sst xmlns="http://schemas.openxmlformats.org/spreadsheetml/2006/main" count="1644" uniqueCount="475">
  <si>
    <t>Netawaka</t>
  </si>
  <si>
    <t>Soldier</t>
  </si>
  <si>
    <t>Whiting</t>
  </si>
  <si>
    <t>TOTAL</t>
  </si>
  <si>
    <t>Provisional</t>
  </si>
  <si>
    <t>Advance</t>
  </si>
  <si>
    <t>WD I</t>
  </si>
  <si>
    <t>WD II</t>
  </si>
  <si>
    <t>WD III</t>
  </si>
  <si>
    <t>Adrian</t>
  </si>
  <si>
    <t>Washington</t>
  </si>
  <si>
    <t>Banner</t>
  </si>
  <si>
    <t>Franklin</t>
  </si>
  <si>
    <t>Liberty</t>
  </si>
  <si>
    <t>Cedar</t>
  </si>
  <si>
    <t>Lincoln</t>
  </si>
  <si>
    <t>Douglas</t>
  </si>
  <si>
    <t>Garfield</t>
  </si>
  <si>
    <t>Grant</t>
  </si>
  <si>
    <t>Jefferson</t>
  </si>
  <si>
    <t>St. Creek</t>
  </si>
  <si>
    <t>US REPR 2ND DIST</t>
  </si>
  <si>
    <t>KS SENATOR  1ST</t>
  </si>
  <si>
    <t>KS REPRE 61ST</t>
  </si>
  <si>
    <t>KS REPRE 62ND</t>
  </si>
  <si>
    <t xml:space="preserve">CO COMM 2ND </t>
  </si>
  <si>
    <t>CO COMM 3RD</t>
  </si>
  <si>
    <t>CO CLERK</t>
  </si>
  <si>
    <t>CO SHERIFF</t>
  </si>
  <si>
    <t>CO TREASURER</t>
  </si>
  <si>
    <t>CO REG OF DEEDS</t>
  </si>
  <si>
    <t>Total Registered REP</t>
  </si>
  <si>
    <t>Total REP voted</t>
  </si>
  <si>
    <t>Total Registered DEM</t>
  </si>
  <si>
    <t>Total DEM voted</t>
  </si>
  <si>
    <t>Total Registered</t>
  </si>
  <si>
    <t>Total Voted</t>
  </si>
  <si>
    <t>% of Reg that Voted</t>
  </si>
  <si>
    <t>DENNIS PYLE                     REP</t>
  </si>
  <si>
    <t>FRANCIS AWERKAMP       REP</t>
  </si>
  <si>
    <t>KEITH I KELLY                     REP</t>
  </si>
  <si>
    <t>CO ATTORNEY</t>
  </si>
  <si>
    <t>DEMOCRAT % voted</t>
  </si>
  <si>
    <t>REPUBLICAN % voted</t>
  </si>
  <si>
    <t>ADRIAN</t>
  </si>
  <si>
    <t>BANNER</t>
  </si>
  <si>
    <t>CEDAR</t>
  </si>
  <si>
    <t>DOUGLAS</t>
  </si>
  <si>
    <t>FRANKLIN</t>
  </si>
  <si>
    <t>GARFIELD</t>
  </si>
  <si>
    <t>GRANT</t>
  </si>
  <si>
    <t>JEFFERSON</t>
  </si>
  <si>
    <t>LIBERTY</t>
  </si>
  <si>
    <t>LINCOLN</t>
  </si>
  <si>
    <t>NETAWAKA</t>
  </si>
  <si>
    <t>SOLDIER</t>
  </si>
  <si>
    <t>WHITING</t>
  </si>
  <si>
    <t>WASHINGTON</t>
  </si>
  <si>
    <t>Michael E Carpenter</t>
  </si>
  <si>
    <t>Janet Bair-Carpenter</t>
  </si>
  <si>
    <t>Catharine Morris</t>
  </si>
  <si>
    <t>Jonathan Wimer</t>
  </si>
  <si>
    <t>Jessica Diane Karns</t>
  </si>
  <si>
    <t>James Allen Robbins</t>
  </si>
  <si>
    <t>Judy L May</t>
  </si>
  <si>
    <t>Mark A Pruett</t>
  </si>
  <si>
    <t>Victoria A Pruett</t>
  </si>
  <si>
    <t>Vernon Lee Rogers</t>
  </si>
  <si>
    <t>Suzette McCord-Rogers</t>
  </si>
  <si>
    <t>ST CREEK</t>
  </si>
  <si>
    <t>Dyana L Morgan</t>
  </si>
  <si>
    <t>Virgil D Wilhelm</t>
  </si>
  <si>
    <t>Anna L Wilhelm</t>
  </si>
  <si>
    <t>Les Roediger</t>
  </si>
  <si>
    <t>Janette L Harris</t>
  </si>
  <si>
    <t>Matt DeVader</t>
  </si>
  <si>
    <r>
      <t xml:space="preserve">NAME            </t>
    </r>
    <r>
      <rPr>
        <b/>
        <sz val="28"/>
        <color rgb="FFFF0000"/>
        <rFont val="Arial"/>
        <family val="2"/>
      </rPr>
      <t>Unofficial Results</t>
    </r>
  </si>
  <si>
    <t>Wednesday</t>
  </si>
  <si>
    <t>Thursday</t>
  </si>
  <si>
    <t>Friday</t>
  </si>
  <si>
    <r>
      <t xml:space="preserve">NAME            </t>
    </r>
    <r>
      <rPr>
        <b/>
        <sz val="14"/>
        <color rgb="FFFF0000"/>
        <rFont val="Arial"/>
        <family val="2"/>
      </rPr>
      <t>Unofficial Results</t>
    </r>
  </si>
  <si>
    <t>Precinct</t>
  </si>
  <si>
    <t>DEM Committee Man</t>
  </si>
  <si>
    <t>DEM Committee Woman</t>
  </si>
  <si>
    <t>REP Committee Man</t>
  </si>
  <si>
    <t>REP Committee Woman</t>
  </si>
  <si>
    <t>WARD I</t>
  </si>
  <si>
    <t>WARD II</t>
  </si>
  <si>
    <t>WARD III</t>
  </si>
  <si>
    <t>JACKSON COUNTY  AUGUST 6, 2024 PRIMARY</t>
  </si>
  <si>
    <t>US REPR 1ST DIST</t>
  </si>
  <si>
    <t>NANCY BOYDA                     DEM</t>
  </si>
  <si>
    <t>PAUL BUSKIRK                    DEM</t>
  </si>
  <si>
    <t>TRACY MANN                       REP</t>
  </si>
  <si>
    <t>ERIC BLOOM                        REP</t>
  </si>
  <si>
    <t>MATT KLEINMANN               DEM</t>
  </si>
  <si>
    <t>JEFF KAHRS                        REP</t>
  </si>
  <si>
    <t>MICHAEL A OGLE                REP</t>
  </si>
  <si>
    <t>DEREK SCHMIDT                 REP</t>
  </si>
  <si>
    <t>SHAWN TIFFANY                REP</t>
  </si>
  <si>
    <t>CHAD YOUNG                     REP</t>
  </si>
  <si>
    <t>write-in                              DEM</t>
  </si>
  <si>
    <t>CRAIG BOWSER                 REP</t>
  </si>
  <si>
    <t>JOHN R EPLEE                   REP</t>
  </si>
  <si>
    <t>KS REPRE 47TH</t>
  </si>
  <si>
    <t>MARY T WILLIAMS             DEM</t>
  </si>
  <si>
    <t>RONALD B ELLIS                REP</t>
  </si>
  <si>
    <t>DORTHY(DORT) GOODMAN  REP</t>
  </si>
  <si>
    <t>DYLAN KEIM                        REP</t>
  </si>
  <si>
    <t>SEAM M WILLCOTT            REP</t>
  </si>
  <si>
    <t>LINDA GERHARDT              REP</t>
  </si>
  <si>
    <t>MATTHEW F DeVADER       REP</t>
  </si>
  <si>
    <t>THOMAS HOFFMAN            REP</t>
  </si>
  <si>
    <t>write-in                               DEM</t>
  </si>
  <si>
    <t>KRISTIE D RICHTER            REP</t>
  </si>
  <si>
    <t>LISA D MILLER                   REP</t>
  </si>
  <si>
    <t>MARY S SAVAGE               DEM</t>
  </si>
  <si>
    <t>JERICA HOLT                     REP</t>
  </si>
  <si>
    <t>BETHANY LEE                    REP</t>
  </si>
  <si>
    <t>JEFFREY MORROW           REP</t>
  </si>
  <si>
    <t>TIM MORSE                       REP</t>
  </si>
  <si>
    <t>Joseph L Pruett</t>
  </si>
  <si>
    <t>Paul A Lemery</t>
  </si>
  <si>
    <t>Lonni L Lemery</t>
  </si>
  <si>
    <t>John Scott Lefferd</t>
  </si>
  <si>
    <t>Shelly Fisher</t>
  </si>
  <si>
    <t>Terri A Smith</t>
  </si>
  <si>
    <t>David Anderson</t>
  </si>
  <si>
    <t>Steve Sheldon</t>
  </si>
  <si>
    <t>Lana Sheldon</t>
  </si>
  <si>
    <t>Joseph Williamson</t>
  </si>
  <si>
    <t>Allyson Jean Sanders</t>
  </si>
  <si>
    <t>Franklin East</t>
  </si>
  <si>
    <t>Liberty North East</t>
  </si>
  <si>
    <t>St. Creek North</t>
  </si>
  <si>
    <t>WD I East Illinois</t>
  </si>
  <si>
    <t>WD I City Lake</t>
  </si>
  <si>
    <t>WD III Industrial Park</t>
  </si>
  <si>
    <t xml:space="preserve">  Rep/Dem/UnAfil</t>
  </si>
  <si>
    <t>Ward 1</t>
  </si>
  <si>
    <t>Ward 2</t>
  </si>
  <si>
    <t>Township Trustee</t>
  </si>
  <si>
    <t>Committeeman</t>
  </si>
  <si>
    <t>Committeewoman</t>
  </si>
  <si>
    <t>Township</t>
  </si>
  <si>
    <t>Party</t>
  </si>
  <si>
    <t>Township Treasurer</t>
  </si>
  <si>
    <t>R</t>
  </si>
  <si>
    <t xml:space="preserve">Thomas Hoffman </t>
  </si>
  <si>
    <t>Mark Bowser</t>
  </si>
  <si>
    <t>Amber Hoffman</t>
  </si>
  <si>
    <t>Shawn Hederson</t>
  </si>
  <si>
    <t>D</t>
  </si>
  <si>
    <t>Roger McClintock</t>
  </si>
  <si>
    <t>Douglas Fisher</t>
  </si>
  <si>
    <t>Dixie Mannell</t>
  </si>
  <si>
    <t>Teresa Schafer</t>
  </si>
  <si>
    <t>Beth McManigal</t>
  </si>
  <si>
    <t>NR</t>
  </si>
  <si>
    <t>Brandon Will</t>
  </si>
  <si>
    <t>Rex Frazier</t>
  </si>
  <si>
    <t>Jason Belveal</t>
  </si>
  <si>
    <t>Paula Rangel</t>
  </si>
  <si>
    <t>Tracy Hill</t>
  </si>
  <si>
    <t>U</t>
  </si>
  <si>
    <t>Aaron Utz</t>
  </si>
  <si>
    <t>Dyana Morgan</t>
  </si>
  <si>
    <t>Denise Bowser</t>
  </si>
  <si>
    <t>Sue McClintock</t>
  </si>
  <si>
    <t>Erin Clarke-Not Registered</t>
  </si>
  <si>
    <t>Kenny Jerome - Not Registered</t>
  </si>
  <si>
    <t>Mark Grollmes-Not Registered</t>
  </si>
  <si>
    <t>Ashley Brown-Unaffiliated</t>
  </si>
  <si>
    <t>Linda Smith</t>
  </si>
  <si>
    <t>Rowdy Meyer</t>
  </si>
  <si>
    <t>Phil McManigal</t>
  </si>
  <si>
    <t>Matthew Clarke</t>
  </si>
  <si>
    <t>Heather Horr</t>
  </si>
  <si>
    <t>Mary anderson</t>
  </si>
  <si>
    <t>Aushlin Foster-Not Registered</t>
  </si>
  <si>
    <t>Martha Williams</t>
  </si>
  <si>
    <t>Sharon Arnold</t>
  </si>
  <si>
    <t>Cody Utz-Garfield Township</t>
  </si>
  <si>
    <t>Betty Bowser-Lincoln Township</t>
  </si>
  <si>
    <t>Thomas Hoffman</t>
  </si>
  <si>
    <t>David Jackson</t>
  </si>
  <si>
    <t>Rick Mercer-Not Registered</t>
  </si>
  <si>
    <t>Jeff Moore</t>
  </si>
  <si>
    <t>Kerwin McKee</t>
  </si>
  <si>
    <t>Harold Morris</t>
  </si>
  <si>
    <t>Russell Riederer</t>
  </si>
  <si>
    <t>Robert Phillips-Unaffiliated</t>
  </si>
  <si>
    <t>Frank Suggs</t>
  </si>
  <si>
    <t>Terry Bottom</t>
  </si>
  <si>
    <t>Joseph Strong</t>
  </si>
  <si>
    <t>Larry Fenske</t>
  </si>
  <si>
    <t>James Scott Wilson</t>
  </si>
  <si>
    <t>Christopher Culligan</t>
  </si>
  <si>
    <t>Michelle Larrison</t>
  </si>
  <si>
    <t>Marj Cochran</t>
  </si>
  <si>
    <t>Janet Zwonitzer</t>
  </si>
  <si>
    <t>Jennifer Shaw</t>
  </si>
  <si>
    <t>Almetta Bottom</t>
  </si>
  <si>
    <t xml:space="preserve">Carrie Thompson-Not Registered </t>
  </si>
  <si>
    <t>Cathleen McMahon</t>
  </si>
  <si>
    <t>Beth Fenske</t>
  </si>
  <si>
    <t>Sarah Culligan</t>
  </si>
  <si>
    <t>Marj Cochren</t>
  </si>
  <si>
    <t>Robin McConnell</t>
  </si>
  <si>
    <t>Janet Mercer</t>
  </si>
  <si>
    <t>Michelle Larrison-Ward 1</t>
  </si>
  <si>
    <t>Victoria Schleinger</t>
  </si>
  <si>
    <t>Charles Foster</t>
  </si>
  <si>
    <t>Tammy Kerwin</t>
  </si>
  <si>
    <t>Ronald Sulzen</t>
  </si>
  <si>
    <t>Denise Bousey-Not Registered</t>
  </si>
  <si>
    <t>Thomas Schleinger</t>
  </si>
  <si>
    <t>Kevin Kerwin</t>
  </si>
  <si>
    <t>Tom Hoffman</t>
  </si>
  <si>
    <t>Patty Marlatt-Unaffiliated</t>
  </si>
  <si>
    <t>Elizabeth Kvestersloffon-Not Registered</t>
  </si>
  <si>
    <t>Beth Nelson</t>
  </si>
  <si>
    <t>Janet Brockelman Mercer</t>
  </si>
  <si>
    <t>Cheryl Stires</t>
  </si>
  <si>
    <t>Mary Elizabeth Nelson</t>
  </si>
  <si>
    <t>Jackie McCasey</t>
  </si>
  <si>
    <t>Dyann Parks</t>
  </si>
  <si>
    <t>Timothy Parks</t>
  </si>
  <si>
    <t>Doug Fisher</t>
  </si>
  <si>
    <t xml:space="preserve">David Jackson </t>
  </si>
  <si>
    <t>Roger McAsey</t>
  </si>
  <si>
    <t>Tonya Luntsford</t>
  </si>
  <si>
    <t>Kimberly McClelland</t>
  </si>
  <si>
    <t>Mike Area</t>
  </si>
  <si>
    <t>Lori Hansford</t>
  </si>
  <si>
    <t>Paulette Hug</t>
  </si>
  <si>
    <t>Robert Holt Jr</t>
  </si>
  <si>
    <t>Caleb Martin</t>
  </si>
  <si>
    <t>Lisa Hooper</t>
  </si>
  <si>
    <t>Julia Martin</t>
  </si>
  <si>
    <t>Zach King</t>
  </si>
  <si>
    <t>Terry Hansford</t>
  </si>
  <si>
    <t>Christopher Harris</t>
  </si>
  <si>
    <t>Rick Kramer</t>
  </si>
  <si>
    <t>Chris Martin</t>
  </si>
  <si>
    <t>Benny Hopper</t>
  </si>
  <si>
    <t>Amber Martin</t>
  </si>
  <si>
    <t>Comyn Eigenman</t>
  </si>
  <si>
    <t>Theresa Watkins</t>
  </si>
  <si>
    <t>Sheryl Burns</t>
  </si>
  <si>
    <t>Robert Mullinix</t>
  </si>
  <si>
    <t>Robert Ehrhart</t>
  </si>
  <si>
    <t>Randy Rhoades</t>
  </si>
  <si>
    <t>Robert Hammes</t>
  </si>
  <si>
    <t>Robert Bell</t>
  </si>
  <si>
    <t>L</t>
  </si>
  <si>
    <t>John Tipton</t>
  </si>
  <si>
    <t>Dave Moseley</t>
  </si>
  <si>
    <t>Matthew Hanshaw</t>
  </si>
  <si>
    <t>Dean Bryant</t>
  </si>
  <si>
    <t>Doug Putnam</t>
  </si>
  <si>
    <t>Scott Gooderl</t>
  </si>
  <si>
    <t>Jason Jackson</t>
  </si>
  <si>
    <t>Gary Cook</t>
  </si>
  <si>
    <t>Jeff Moszeter</t>
  </si>
  <si>
    <t>Melvin Bailey</t>
  </si>
  <si>
    <t>Matthew Harvey</t>
  </si>
  <si>
    <t>Delbert Boling</t>
  </si>
  <si>
    <t>Edward Ryan</t>
  </si>
  <si>
    <t>Danna Gibbs</t>
  </si>
  <si>
    <t>Kim Bryant</t>
  </si>
  <si>
    <t>Deborah Gooderl</t>
  </si>
  <si>
    <t>Joseph Putthoff</t>
  </si>
  <si>
    <t>Melvin Blank</t>
  </si>
  <si>
    <t>Cynthia Murphy</t>
  </si>
  <si>
    <t>Keri Gehrt-Miller</t>
  </si>
  <si>
    <t>Connie Powls</t>
  </si>
  <si>
    <t>Paula Taylor</t>
  </si>
  <si>
    <t>Kaitlyn Bissitt</t>
  </si>
  <si>
    <t>Elizabeth Gerhardt</t>
  </si>
  <si>
    <t>Erin Bowser</t>
  </si>
  <si>
    <t>Travis Bowser</t>
  </si>
  <si>
    <t>Vern Miller</t>
  </si>
  <si>
    <t>Ben Bauman</t>
  </si>
  <si>
    <t>Richard Iverson</t>
  </si>
  <si>
    <t>Ryan Patrick</t>
  </si>
  <si>
    <t>Adam Schafer</t>
  </si>
  <si>
    <t>Matthew DeVader</t>
  </si>
  <si>
    <t>Roger Chartier</t>
  </si>
  <si>
    <t>Terry Lierz</t>
  </si>
  <si>
    <t>Raylene Wallace</t>
  </si>
  <si>
    <t>Teresa Schager</t>
  </si>
  <si>
    <t>Ginger Lloyd</t>
  </si>
  <si>
    <t>Steve Haug</t>
  </si>
  <si>
    <t>Larry Wallace</t>
  </si>
  <si>
    <t>Cathy Haug</t>
  </si>
  <si>
    <t>Bruce Yonke</t>
  </si>
  <si>
    <t>Kevin Hamm</t>
  </si>
  <si>
    <t>Greg Kelly</t>
  </si>
  <si>
    <t>Jordan Moseley</t>
  </si>
  <si>
    <t>Christopher Heineken</t>
  </si>
  <si>
    <t>Christopher McManial</t>
  </si>
  <si>
    <t>Carol McManigal</t>
  </si>
  <si>
    <t>Samantha Correll</t>
  </si>
  <si>
    <t>Jennie Coleman</t>
  </si>
  <si>
    <t>Mercedes Moseley</t>
  </si>
  <si>
    <t>Lindsey Heineken</t>
  </si>
  <si>
    <t>Samatha Correll</t>
  </si>
  <si>
    <t>Scott Bartlett</t>
  </si>
  <si>
    <t>Ronald Kranz</t>
  </si>
  <si>
    <t>Vickie Wold</t>
  </si>
  <si>
    <t>Marlene Kranz</t>
  </si>
  <si>
    <t>Jodi Hamm</t>
  </si>
  <si>
    <t>Brandi Dutt</t>
  </si>
  <si>
    <t>Jim Howard</t>
  </si>
  <si>
    <t>Mike Hare</t>
  </si>
  <si>
    <t>Halie Osmun</t>
  </si>
  <si>
    <t>Christie Edwards</t>
  </si>
  <si>
    <t>Carla Barnett</t>
  </si>
  <si>
    <t>Samuel Schumaker</t>
  </si>
  <si>
    <t>James Howard</t>
  </si>
  <si>
    <t>Steveb Duryea</t>
  </si>
  <si>
    <t>Jacob Spalding</t>
  </si>
  <si>
    <t>Brian Roush</t>
  </si>
  <si>
    <t>Dawn Duryea</t>
  </si>
  <si>
    <t>Sally Alley</t>
  </si>
  <si>
    <t>Amy Cyphers</t>
  </si>
  <si>
    <t>Kathy Gencauski</t>
  </si>
  <si>
    <t>Jim Dodson</t>
  </si>
  <si>
    <t>Bruce Rinkes</t>
  </si>
  <si>
    <t>Alexandria Belveal</t>
  </si>
  <si>
    <t>Benjamin Pruett</t>
  </si>
  <si>
    <t>Jill Bleier</t>
  </si>
  <si>
    <t>Richard Bausch</t>
  </si>
  <si>
    <t>Joe Booth</t>
  </si>
  <si>
    <t>Tosha Wilson</t>
  </si>
  <si>
    <t>Helen Bausch</t>
  </si>
  <si>
    <t>Linda Houck</t>
  </si>
  <si>
    <t>Max Martin-Cedar Township</t>
  </si>
  <si>
    <t>Christopher Houck</t>
  </si>
  <si>
    <t>JoAnn Walker-Cedar Township</t>
  </si>
  <si>
    <t>Carol Eakin</t>
  </si>
  <si>
    <t>Robert Jackson</t>
  </si>
  <si>
    <t>Mark  Fries</t>
  </si>
  <si>
    <t>Michael Hahn</t>
  </si>
  <si>
    <t>Dawna O'Dell</t>
  </si>
  <si>
    <t>Shane Rowland</t>
  </si>
  <si>
    <t>Kolby Rethman</t>
  </si>
  <si>
    <t>Amy Rethman</t>
  </si>
  <si>
    <t>Jeanne Hutchinson</t>
  </si>
  <si>
    <t>Susan Bloom</t>
  </si>
  <si>
    <t>Rodney Oxandale</t>
  </si>
  <si>
    <t>Daryl Wilson</t>
  </si>
  <si>
    <t>Shelby Hahn</t>
  </si>
  <si>
    <t>Karen Schumann</t>
  </si>
  <si>
    <t>Heather Amon</t>
  </si>
  <si>
    <t>Larry Amon</t>
  </si>
  <si>
    <t>Crystal Bosley</t>
  </si>
  <si>
    <t>Beth Amon</t>
  </si>
  <si>
    <t>Konrad Coe</t>
  </si>
  <si>
    <t>Garett Schreiber</t>
  </si>
  <si>
    <t>Larry VanDonge</t>
  </si>
  <si>
    <t>Sherman Stanton</t>
  </si>
  <si>
    <t>Jack Tannahill</t>
  </si>
  <si>
    <t>Taylor Mckenzie</t>
  </si>
  <si>
    <t>Krista Lane</t>
  </si>
  <si>
    <t>Bill Brown</t>
  </si>
  <si>
    <t>Ross Rieschick</t>
  </si>
  <si>
    <t>Robert Bernatis</t>
  </si>
  <si>
    <t>Amber Coe</t>
  </si>
  <si>
    <t>Emma Catherine</t>
  </si>
  <si>
    <t>Julie Bahret</t>
  </si>
  <si>
    <t>Brenda Holliday-Stanton</t>
  </si>
  <si>
    <t>Samantha Rieschick</t>
  </si>
  <si>
    <t>Terry Bernatis</t>
  </si>
  <si>
    <t>Janell Buck</t>
  </si>
  <si>
    <t>Sandra Myers</t>
  </si>
  <si>
    <t>Linda VanDonge</t>
  </si>
  <si>
    <t>Terence Hankerson</t>
  </si>
  <si>
    <t>Trent Reed</t>
  </si>
  <si>
    <t>Andra Holliday</t>
  </si>
  <si>
    <t>John Apel</t>
  </si>
  <si>
    <t>Luke Schreiber</t>
  </si>
  <si>
    <t>John Grau</t>
  </si>
  <si>
    <t>David Allen</t>
  </si>
  <si>
    <t>Frederick Bailey</t>
  </si>
  <si>
    <t>Lynn Rieschick</t>
  </si>
  <si>
    <t>Debra Brown</t>
  </si>
  <si>
    <t>Nancy VanDonge</t>
  </si>
  <si>
    <t>Chad Myers</t>
  </si>
  <si>
    <t>Jeremy Melvin</t>
  </si>
  <si>
    <t>Janci Junod</t>
  </si>
  <si>
    <t>Greg Maxwell</t>
  </si>
  <si>
    <t>Curt Bontrager</t>
  </si>
  <si>
    <t>Michael Child</t>
  </si>
  <si>
    <t>Daniel Child</t>
  </si>
  <si>
    <t>Emmett Schumaker</t>
  </si>
  <si>
    <t>Gary Amon</t>
  </si>
  <si>
    <t>Mitchell Child</t>
  </si>
  <si>
    <t>Richard Thayer</t>
  </si>
  <si>
    <t>Bryan Shupe</t>
  </si>
  <si>
    <t>Rose Clark-Ward 2</t>
  </si>
  <si>
    <t>Hugh Clark-Ward 2</t>
  </si>
  <si>
    <t>Noel Clark</t>
  </si>
  <si>
    <t xml:space="preserve">U </t>
  </si>
  <si>
    <t>Gordon Lamme</t>
  </si>
  <si>
    <t>John Lemon</t>
  </si>
  <si>
    <t>Rodney Wittmer-Franklin East</t>
  </si>
  <si>
    <t>Michelle Larson</t>
  </si>
  <si>
    <t>Sarahjo Cullian</t>
  </si>
  <si>
    <t>Dawn Shupe</t>
  </si>
  <si>
    <t>Timothy Morris-Ward 3</t>
  </si>
  <si>
    <t xml:space="preserve">D </t>
  </si>
  <si>
    <t>Dora Clark</t>
  </si>
  <si>
    <t>Shannon Wittmer-Franklin East</t>
  </si>
  <si>
    <t>Ward 1 City Lake</t>
  </si>
  <si>
    <t>Ward 1 Illinois East</t>
  </si>
  <si>
    <t>Jeffrey Moore</t>
  </si>
  <si>
    <t>Mary Richardson</t>
  </si>
  <si>
    <t>Teresa Riley-Liberty</t>
  </si>
  <si>
    <t>Charissa Totten</t>
  </si>
  <si>
    <t>Ward 3</t>
  </si>
  <si>
    <t>Russell Luthi-Ward 2</t>
  </si>
  <si>
    <t>David Powelson</t>
  </si>
  <si>
    <t>Merlin Arnold-Franklin</t>
  </si>
  <si>
    <t>Martha Powelson</t>
  </si>
  <si>
    <t>Devere Austin Winter-Franklin East</t>
  </si>
  <si>
    <t>Robert Snavely</t>
  </si>
  <si>
    <t>Katrenia Luthi-Ward 2</t>
  </si>
  <si>
    <t>Tamara Graff</t>
  </si>
  <si>
    <t>John Baker</t>
  </si>
  <si>
    <t>Ward 3 Industrial Park</t>
  </si>
  <si>
    <t>Thomas Hoffman-Adrian</t>
  </si>
  <si>
    <t>Mary Chris Myers</t>
  </si>
  <si>
    <t>Bob Acken</t>
  </si>
  <si>
    <t>Amber Hoffman-Adrian</t>
  </si>
  <si>
    <t>Robert Reynolds</t>
  </si>
  <si>
    <t>Keith Kelly-Douglas</t>
  </si>
  <si>
    <t>David Shibler</t>
  </si>
  <si>
    <t>Paul Pierce</t>
  </si>
  <si>
    <t>Red Catron</t>
  </si>
  <si>
    <t>Chris Gordon</t>
  </si>
  <si>
    <t>Virginia Shibler</t>
  </si>
  <si>
    <t>Adelaide Johnson</t>
  </si>
  <si>
    <t>Molly Robb</t>
  </si>
  <si>
    <t>Rebecca Anderson</t>
  </si>
  <si>
    <t>Mark McAtarian</t>
  </si>
  <si>
    <t>Steven Albright</t>
  </si>
  <si>
    <t>Tom Joenjes</t>
  </si>
  <si>
    <t>Colin Vander Putten</t>
  </si>
  <si>
    <t>Christopher Gordon</t>
  </si>
  <si>
    <t>Jeremy Holaday</t>
  </si>
  <si>
    <t>Isabel Bogowith</t>
  </si>
  <si>
    <t>Christopher Johnson</t>
  </si>
  <si>
    <t>Levi Anderson</t>
  </si>
  <si>
    <t>Neal Keeler</t>
  </si>
  <si>
    <t>Lucas Cochren-St. Creek</t>
  </si>
  <si>
    <t>Debbie Keeler</t>
  </si>
  <si>
    <t>Carol Williams-Netawaka</t>
  </si>
  <si>
    <t>William Marshall</t>
  </si>
  <si>
    <t>Loren Linn</t>
  </si>
  <si>
    <t>William Thomas</t>
  </si>
  <si>
    <t>Debra Goodwin</t>
  </si>
  <si>
    <t>Kyle Williams</t>
  </si>
  <si>
    <t>Larry Eubanks</t>
  </si>
  <si>
    <t>Krista Gilchrist</t>
  </si>
  <si>
    <t>Jera Cochran</t>
  </si>
  <si>
    <t>Write ins</t>
  </si>
  <si>
    <t>FRANKLIN EAST</t>
  </si>
  <si>
    <t>LIBERTY NORTHEAST</t>
  </si>
  <si>
    <t>ST CREEK NORTH</t>
  </si>
  <si>
    <t>WARD I ILLINOIS EAST</t>
  </si>
  <si>
    <t>WARD I CITY LAKE</t>
  </si>
  <si>
    <t>WARD III INDUSTRIAL PARK</t>
  </si>
  <si>
    <r>
      <t xml:space="preserve">NAME            </t>
    </r>
    <r>
      <rPr>
        <b/>
        <sz val="24"/>
        <color rgb="FFFF0000"/>
        <rFont val="Arial"/>
        <family val="2"/>
      </rPr>
      <t>O</t>
    </r>
    <r>
      <rPr>
        <b/>
        <sz val="28"/>
        <color rgb="FFFF0000"/>
        <rFont val="Arial"/>
        <family val="2"/>
      </rPr>
      <t>fficial Results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</si>
</sst>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4"/>
      <name val="Arial"/>
      <family val="2"/>
    </font>
    <font>
      <sz val="24"/>
      <name val="Arial"/>
      <family val="2"/>
    </font>
    <font>
      <b/>
      <sz val="24"/>
      <color rgb="FF0000CC"/>
      <name val="Arial"/>
      <family val="2"/>
    </font>
    <font>
      <sz val="24"/>
      <color rgb="FF0000CC"/>
      <name val="Arial"/>
      <family val="2"/>
    </font>
    <font>
      <sz val="24"/>
      <color indexed="20"/>
      <name val="Arial"/>
      <family val="2"/>
    </font>
    <font>
      <b/>
      <sz val="24"/>
      <color indexed="20"/>
      <name val="Arial"/>
      <family val="2"/>
    </font>
    <font>
      <sz val="11"/>
      <color theme="1"/>
      <name val="Calibri"/>
      <family val="2"/>
      <scheme val="minor"/>
    </font>
    <font>
      <b/>
      <sz val="24"/>
      <color rgb="FF0000FF"/>
      <name val="Arial"/>
      <family val="2"/>
    </font>
    <font>
      <sz val="24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28"/>
      <color rgb="FFFF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 diagonalUp="1" diagonalDown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textRotation="60"/>
    </xf>
    <xf numFmtId="0" fontId="2" fillId="0" borderId="0" xfId="0" applyFont="1" applyAlignment="1">
      <alignment textRotation="6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9" fillId="0" borderId="0" xfId="0" applyFont="1"/>
    <xf numFmtId="1" fontId="2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9" fontId="1" fillId="0" borderId="0" xfId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9" fontId="3" fillId="0" borderId="0" xfId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9" fontId="6" fillId="0" borderId="0" xfId="1" applyFont="1" applyFill="1" applyAlignment="1">
      <alignment horizontal="center"/>
    </xf>
    <xf numFmtId="10" fontId="6" fillId="0" borderId="0" xfId="0" applyNumberFormat="1" applyFont="1" applyAlignment="1">
      <alignment horizontal="center"/>
    </xf>
    <xf numFmtId="0" fontId="6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1" fontId="1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2" borderId="0" xfId="0" applyFont="1" applyFill="1"/>
    <xf numFmtId="1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0" xfId="0" applyFont="1"/>
    <xf numFmtId="0" fontId="15" fillId="0" borderId="0" xfId="0" applyFont="1" applyAlignment="1">
      <alignment horizontal="center" textRotation="60"/>
    </xf>
    <xf numFmtId="0" fontId="16" fillId="0" borderId="0" xfId="0" applyFont="1" applyAlignment="1">
      <alignment textRotation="60"/>
    </xf>
    <xf numFmtId="0" fontId="10" fillId="2" borderId="0" xfId="0" applyFont="1" applyFill="1"/>
    <xf numFmtId="0" fontId="0" fillId="2" borderId="0" xfId="0" applyFill="1"/>
    <xf numFmtId="0" fontId="15" fillId="0" borderId="0" xfId="0" applyFont="1" applyAlignment="1">
      <alignment horizontal="center"/>
    </xf>
    <xf numFmtId="0" fontId="10" fillId="0" borderId="2" xfId="0" applyFont="1" applyBorder="1"/>
    <xf numFmtId="0" fontId="0" fillId="0" borderId="2" xfId="0" applyBorder="1"/>
    <xf numFmtId="0" fontId="11" fillId="0" borderId="2" xfId="0" applyFont="1" applyBorder="1"/>
    <xf numFmtId="0" fontId="17" fillId="0" borderId="2" xfId="0" applyFont="1" applyBorder="1"/>
    <xf numFmtId="0" fontId="2" fillId="3" borderId="0" xfId="0" applyFont="1" applyFill="1" applyAlignment="1">
      <alignment horizontal="center" textRotation="60"/>
    </xf>
    <xf numFmtId="0" fontId="2" fillId="3" borderId="0" xfId="0" applyFont="1" applyFill="1" applyAlignment="1">
      <alignment horizontal="center" textRotation="60" wrapText="1"/>
    </xf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18" fillId="3" borderId="2" xfId="0" applyFont="1" applyFill="1" applyBorder="1"/>
    <xf numFmtId="0" fontId="18" fillId="0" borderId="2" xfId="0" applyFont="1" applyBorder="1"/>
    <xf numFmtId="0" fontId="0" fillId="4" borderId="2" xfId="0" applyFill="1" applyBorder="1"/>
    <xf numFmtId="0" fontId="18" fillId="0" borderId="0" xfId="0" applyFont="1"/>
    <xf numFmtId="0" fontId="18" fillId="3" borderId="0" xfId="0" applyFont="1" applyFill="1"/>
    <xf numFmtId="0" fontId="18" fillId="0" borderId="4" xfId="0" applyFont="1" applyBorder="1"/>
    <xf numFmtId="0" fontId="18" fillId="0" borderId="5" xfId="0" applyFont="1" applyBorder="1"/>
    <xf numFmtId="0" fontId="18" fillId="0" borderId="3" xfId="0" applyFont="1" applyBorder="1"/>
    <xf numFmtId="0" fontId="18" fillId="3" borderId="4" xfId="0" applyFont="1" applyFill="1" applyBorder="1"/>
    <xf numFmtId="0" fontId="18" fillId="0" borderId="0" xfId="0" applyFont="1" applyAlignment="1">
      <alignment textRotation="49"/>
    </xf>
    <xf numFmtId="0" fontId="18" fillId="3" borderId="5" xfId="0" applyFont="1" applyFill="1" applyBorder="1"/>
    <xf numFmtId="0" fontId="0" fillId="0" borderId="6" xfId="0" applyBorder="1"/>
    <xf numFmtId="0" fontId="0" fillId="0" borderId="7" xfId="0" applyBorder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3" borderId="6" xfId="0" applyFill="1" applyBorder="1"/>
    <xf numFmtId="0" fontId="0" fillId="3" borderId="7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9" xfId="0" applyFill="1" applyBorder="1"/>
    <xf numFmtId="0" fontId="0" fillId="3" borderId="10" xfId="0" applyFill="1" applyBorder="1"/>
    <xf numFmtId="0" fontId="18" fillId="5" borderId="4" xfId="0" applyFont="1" applyFill="1" applyBorder="1"/>
    <xf numFmtId="0" fontId="18" fillId="5" borderId="5" xfId="0" applyFont="1" applyFill="1" applyBorder="1"/>
    <xf numFmtId="0" fontId="18" fillId="5" borderId="3" xfId="0" applyFont="1" applyFill="1" applyBorder="1"/>
    <xf numFmtId="0" fontId="18" fillId="5" borderId="0" xfId="0" applyFont="1" applyFill="1"/>
    <xf numFmtId="0" fontId="0" fillId="5" borderId="0" xfId="0" applyFill="1"/>
    <xf numFmtId="0" fontId="0" fillId="5" borderId="2" xfId="0" applyFill="1" applyBorder="1"/>
    <xf numFmtId="0" fontId="18" fillId="5" borderId="2" xfId="0" applyFont="1" applyFill="1" applyBorder="1"/>
    <xf numFmtId="0" fontId="19" fillId="0" borderId="2" xfId="0" applyFont="1" applyBorder="1"/>
    <xf numFmtId="0" fontId="2" fillId="4" borderId="0" xfId="0" applyFont="1" applyFill="1" applyAlignment="1">
      <alignment horizontal="center" textRotation="60"/>
    </xf>
    <xf numFmtId="0" fontId="2" fillId="4" borderId="0" xfId="0" applyFont="1" applyFill="1" applyAlignment="1">
      <alignment horizontal="center" textRotation="60" wrapText="1"/>
    </xf>
    <xf numFmtId="0" fontId="0" fillId="6" borderId="0" xfId="0" applyFill="1"/>
    <xf numFmtId="0" fontId="0" fillId="6" borderId="1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53</xdr:row>
      <xdr:rowOff>0</xdr:rowOff>
    </xdr:from>
    <xdr:to>
      <xdr:col>5</xdr:col>
      <xdr:colOff>28575</xdr:colOff>
      <xdr:row>53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3E5A2A84-0FCB-4E51-AE7A-A76DAEB33554}"/>
            </a:ext>
          </a:extLst>
        </xdr:cNvPr>
        <xdr:cNvSpPr>
          <a:spLocks noChangeShapeType="1"/>
        </xdr:cNvSpPr>
      </xdr:nvSpPr>
      <xdr:spPr bwMode="auto">
        <a:xfrm>
          <a:off x="12401550" y="3117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53</xdr:row>
      <xdr:rowOff>0</xdr:rowOff>
    </xdr:from>
    <xdr:to>
      <xdr:col>6</xdr:col>
      <xdr:colOff>28575</xdr:colOff>
      <xdr:row>53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309236A-AF39-49C5-9981-987DB8456E87}"/>
            </a:ext>
          </a:extLst>
        </xdr:cNvPr>
        <xdr:cNvSpPr>
          <a:spLocks noChangeShapeType="1"/>
        </xdr:cNvSpPr>
      </xdr:nvSpPr>
      <xdr:spPr bwMode="auto">
        <a:xfrm>
          <a:off x="13792200" y="3117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53</xdr:row>
      <xdr:rowOff>0</xdr:rowOff>
    </xdr:from>
    <xdr:to>
      <xdr:col>7</xdr:col>
      <xdr:colOff>28575</xdr:colOff>
      <xdr:row>53</xdr:row>
      <xdr:rowOff>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B05864B0-B4C1-4AA3-87A5-D974D737D45C}"/>
            </a:ext>
          </a:extLst>
        </xdr:cNvPr>
        <xdr:cNvSpPr>
          <a:spLocks noChangeShapeType="1"/>
        </xdr:cNvSpPr>
      </xdr:nvSpPr>
      <xdr:spPr bwMode="auto">
        <a:xfrm>
          <a:off x="15182850" y="3117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53</xdr:row>
      <xdr:rowOff>0</xdr:rowOff>
    </xdr:from>
    <xdr:to>
      <xdr:col>5</xdr:col>
      <xdr:colOff>28575</xdr:colOff>
      <xdr:row>53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1C444093-BF1A-4E98-8D14-E4B1980C9768}"/>
            </a:ext>
          </a:extLst>
        </xdr:cNvPr>
        <xdr:cNvSpPr>
          <a:spLocks noChangeShapeType="1"/>
        </xdr:cNvSpPr>
      </xdr:nvSpPr>
      <xdr:spPr bwMode="auto">
        <a:xfrm>
          <a:off x="14192250" y="1740217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53</xdr:row>
      <xdr:rowOff>0</xdr:rowOff>
    </xdr:from>
    <xdr:to>
      <xdr:col>6</xdr:col>
      <xdr:colOff>28575</xdr:colOff>
      <xdr:row>53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892F494-8274-4055-A361-7A3F5B93CFF7}"/>
            </a:ext>
          </a:extLst>
        </xdr:cNvPr>
        <xdr:cNvSpPr>
          <a:spLocks noChangeShapeType="1"/>
        </xdr:cNvSpPr>
      </xdr:nvSpPr>
      <xdr:spPr bwMode="auto">
        <a:xfrm>
          <a:off x="12411075" y="31408688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53</xdr:row>
      <xdr:rowOff>0</xdr:rowOff>
    </xdr:from>
    <xdr:to>
      <xdr:col>7</xdr:col>
      <xdr:colOff>28575</xdr:colOff>
      <xdr:row>53</xdr:row>
      <xdr:rowOff>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6DDC7A40-7E79-4CA4-B105-63001D32F3B4}"/>
            </a:ext>
          </a:extLst>
        </xdr:cNvPr>
        <xdr:cNvSpPr>
          <a:spLocks noChangeShapeType="1"/>
        </xdr:cNvSpPr>
      </xdr:nvSpPr>
      <xdr:spPr bwMode="auto">
        <a:xfrm>
          <a:off x="13792200" y="31408688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53</xdr:row>
      <xdr:rowOff>0</xdr:rowOff>
    </xdr:from>
    <xdr:to>
      <xdr:col>3</xdr:col>
      <xdr:colOff>28575</xdr:colOff>
      <xdr:row>53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BE42481F-A6E6-4E11-BA9F-9ACECF72BA8D}"/>
            </a:ext>
          </a:extLst>
        </xdr:cNvPr>
        <xdr:cNvSpPr>
          <a:spLocks noChangeShapeType="1"/>
        </xdr:cNvSpPr>
      </xdr:nvSpPr>
      <xdr:spPr bwMode="auto">
        <a:xfrm>
          <a:off x="12401550" y="3117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</xdr:colOff>
      <xdr:row>53</xdr:row>
      <xdr:rowOff>0</xdr:rowOff>
    </xdr:from>
    <xdr:to>
      <xdr:col>4</xdr:col>
      <xdr:colOff>28575</xdr:colOff>
      <xdr:row>53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92C3BFD-3B6C-47D9-9539-46AFB12418D3}"/>
            </a:ext>
          </a:extLst>
        </xdr:cNvPr>
        <xdr:cNvSpPr>
          <a:spLocks noChangeShapeType="1"/>
        </xdr:cNvSpPr>
      </xdr:nvSpPr>
      <xdr:spPr bwMode="auto">
        <a:xfrm>
          <a:off x="13792200" y="3117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53</xdr:row>
      <xdr:rowOff>0</xdr:rowOff>
    </xdr:from>
    <xdr:to>
      <xdr:col>5</xdr:col>
      <xdr:colOff>28575</xdr:colOff>
      <xdr:row>53</xdr:row>
      <xdr:rowOff>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045FFE03-0AD2-483D-8963-5FE102595146}"/>
            </a:ext>
          </a:extLst>
        </xdr:cNvPr>
        <xdr:cNvSpPr>
          <a:spLocks noChangeShapeType="1"/>
        </xdr:cNvSpPr>
      </xdr:nvSpPr>
      <xdr:spPr bwMode="auto">
        <a:xfrm>
          <a:off x="15182850" y="311753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D14E-67BB-4168-B4EC-168D2E84F81A}">
  <sheetPr>
    <pageSetUpPr fitToPage="1"/>
  </sheetPr>
  <dimension ref="A1:AF63"/>
  <sheetViews>
    <sheetView zoomScale="40" zoomScaleNormal="40" workbookViewId="0">
      <pane xSplit="9" ySplit="12" topLeftCell="J17" activePane="bottomRight" state="frozen"/>
      <selection pane="topRight" activeCell="J1" sqref="J1"/>
      <selection pane="bottomLeft" activeCell="A13" sqref="A13"/>
      <selection pane="bottomRight" activeCell="C62" sqref="C62"/>
    </sheetView>
  </sheetViews>
  <sheetFormatPr defaultRowHeight="36.75" customHeight="1" x14ac:dyDescent="0.4"/>
  <cols>
    <col min="1" max="1" width="48.42578125" style="6" bestFit="1" customWidth="1"/>
    <col min="2" max="2" width="76.28515625" style="2" customWidth="1"/>
    <col min="3" max="3" width="19.140625" style="3" bestFit="1" customWidth="1"/>
    <col min="4" max="27" width="20.85546875" style="7" customWidth="1"/>
    <col min="28" max="28" width="27" style="7" bestFit="1" customWidth="1"/>
    <col min="29" max="29" width="20.85546875" style="7" customWidth="1"/>
    <col min="30" max="32" width="20.85546875" style="9" customWidth="1"/>
    <col min="33" max="261" width="9.140625" style="9"/>
    <col min="262" max="262" width="48.42578125" style="9" bestFit="1" customWidth="1"/>
    <col min="263" max="263" width="71.7109375" style="9" customWidth="1"/>
    <col min="264" max="264" width="19.140625" style="9" bestFit="1" customWidth="1"/>
    <col min="265" max="288" width="20.85546875" style="9" customWidth="1"/>
    <col min="289" max="517" width="9.140625" style="9"/>
    <col min="518" max="518" width="48.42578125" style="9" bestFit="1" customWidth="1"/>
    <col min="519" max="519" width="71.7109375" style="9" customWidth="1"/>
    <col min="520" max="520" width="19.140625" style="9" bestFit="1" customWidth="1"/>
    <col min="521" max="544" width="20.85546875" style="9" customWidth="1"/>
    <col min="545" max="773" width="9.140625" style="9"/>
    <col min="774" max="774" width="48.42578125" style="9" bestFit="1" customWidth="1"/>
    <col min="775" max="775" width="71.7109375" style="9" customWidth="1"/>
    <col min="776" max="776" width="19.140625" style="9" bestFit="1" customWidth="1"/>
    <col min="777" max="800" width="20.85546875" style="9" customWidth="1"/>
    <col min="801" max="1029" width="9.140625" style="9"/>
    <col min="1030" max="1030" width="48.42578125" style="9" bestFit="1" customWidth="1"/>
    <col min="1031" max="1031" width="71.7109375" style="9" customWidth="1"/>
    <col min="1032" max="1032" width="19.140625" style="9" bestFit="1" customWidth="1"/>
    <col min="1033" max="1056" width="20.85546875" style="9" customWidth="1"/>
    <col min="1057" max="1285" width="9.140625" style="9"/>
    <col min="1286" max="1286" width="48.42578125" style="9" bestFit="1" customWidth="1"/>
    <col min="1287" max="1287" width="71.7109375" style="9" customWidth="1"/>
    <col min="1288" max="1288" width="19.140625" style="9" bestFit="1" customWidth="1"/>
    <col min="1289" max="1312" width="20.85546875" style="9" customWidth="1"/>
    <col min="1313" max="1541" width="9.140625" style="9"/>
    <col min="1542" max="1542" width="48.42578125" style="9" bestFit="1" customWidth="1"/>
    <col min="1543" max="1543" width="71.7109375" style="9" customWidth="1"/>
    <col min="1544" max="1544" width="19.140625" style="9" bestFit="1" customWidth="1"/>
    <col min="1545" max="1568" width="20.85546875" style="9" customWidth="1"/>
    <col min="1569" max="1797" width="9.140625" style="9"/>
    <col min="1798" max="1798" width="48.42578125" style="9" bestFit="1" customWidth="1"/>
    <col min="1799" max="1799" width="71.7109375" style="9" customWidth="1"/>
    <col min="1800" max="1800" width="19.140625" style="9" bestFit="1" customWidth="1"/>
    <col min="1801" max="1824" width="20.85546875" style="9" customWidth="1"/>
    <col min="1825" max="2053" width="9.140625" style="9"/>
    <col min="2054" max="2054" width="48.42578125" style="9" bestFit="1" customWidth="1"/>
    <col min="2055" max="2055" width="71.7109375" style="9" customWidth="1"/>
    <col min="2056" max="2056" width="19.140625" style="9" bestFit="1" customWidth="1"/>
    <col min="2057" max="2080" width="20.85546875" style="9" customWidth="1"/>
    <col min="2081" max="2309" width="9.140625" style="9"/>
    <col min="2310" max="2310" width="48.42578125" style="9" bestFit="1" customWidth="1"/>
    <col min="2311" max="2311" width="71.7109375" style="9" customWidth="1"/>
    <col min="2312" max="2312" width="19.140625" style="9" bestFit="1" customWidth="1"/>
    <col min="2313" max="2336" width="20.85546875" style="9" customWidth="1"/>
    <col min="2337" max="2565" width="9.140625" style="9"/>
    <col min="2566" max="2566" width="48.42578125" style="9" bestFit="1" customWidth="1"/>
    <col min="2567" max="2567" width="71.7109375" style="9" customWidth="1"/>
    <col min="2568" max="2568" width="19.140625" style="9" bestFit="1" customWidth="1"/>
    <col min="2569" max="2592" width="20.85546875" style="9" customWidth="1"/>
    <col min="2593" max="2821" width="9.140625" style="9"/>
    <col min="2822" max="2822" width="48.42578125" style="9" bestFit="1" customWidth="1"/>
    <col min="2823" max="2823" width="71.7109375" style="9" customWidth="1"/>
    <col min="2824" max="2824" width="19.140625" style="9" bestFit="1" customWidth="1"/>
    <col min="2825" max="2848" width="20.85546875" style="9" customWidth="1"/>
    <col min="2849" max="3077" width="9.140625" style="9"/>
    <col min="3078" max="3078" width="48.42578125" style="9" bestFit="1" customWidth="1"/>
    <col min="3079" max="3079" width="71.7109375" style="9" customWidth="1"/>
    <col min="3080" max="3080" width="19.140625" style="9" bestFit="1" customWidth="1"/>
    <col min="3081" max="3104" width="20.85546875" style="9" customWidth="1"/>
    <col min="3105" max="3333" width="9.140625" style="9"/>
    <col min="3334" max="3334" width="48.42578125" style="9" bestFit="1" customWidth="1"/>
    <col min="3335" max="3335" width="71.7109375" style="9" customWidth="1"/>
    <col min="3336" max="3336" width="19.140625" style="9" bestFit="1" customWidth="1"/>
    <col min="3337" max="3360" width="20.85546875" style="9" customWidth="1"/>
    <col min="3361" max="3589" width="9.140625" style="9"/>
    <col min="3590" max="3590" width="48.42578125" style="9" bestFit="1" customWidth="1"/>
    <col min="3591" max="3591" width="71.7109375" style="9" customWidth="1"/>
    <col min="3592" max="3592" width="19.140625" style="9" bestFit="1" customWidth="1"/>
    <col min="3593" max="3616" width="20.85546875" style="9" customWidth="1"/>
    <col min="3617" max="3845" width="9.140625" style="9"/>
    <col min="3846" max="3846" width="48.42578125" style="9" bestFit="1" customWidth="1"/>
    <col min="3847" max="3847" width="71.7109375" style="9" customWidth="1"/>
    <col min="3848" max="3848" width="19.140625" style="9" bestFit="1" customWidth="1"/>
    <col min="3849" max="3872" width="20.85546875" style="9" customWidth="1"/>
    <col min="3873" max="4101" width="9.140625" style="9"/>
    <col min="4102" max="4102" width="48.42578125" style="9" bestFit="1" customWidth="1"/>
    <col min="4103" max="4103" width="71.7109375" style="9" customWidth="1"/>
    <col min="4104" max="4104" width="19.140625" style="9" bestFit="1" customWidth="1"/>
    <col min="4105" max="4128" width="20.85546875" style="9" customWidth="1"/>
    <col min="4129" max="4357" width="9.140625" style="9"/>
    <col min="4358" max="4358" width="48.42578125" style="9" bestFit="1" customWidth="1"/>
    <col min="4359" max="4359" width="71.7109375" style="9" customWidth="1"/>
    <col min="4360" max="4360" width="19.140625" style="9" bestFit="1" customWidth="1"/>
    <col min="4361" max="4384" width="20.85546875" style="9" customWidth="1"/>
    <col min="4385" max="4613" width="9.140625" style="9"/>
    <col min="4614" max="4614" width="48.42578125" style="9" bestFit="1" customWidth="1"/>
    <col min="4615" max="4615" width="71.7109375" style="9" customWidth="1"/>
    <col min="4616" max="4616" width="19.140625" style="9" bestFit="1" customWidth="1"/>
    <col min="4617" max="4640" width="20.85546875" style="9" customWidth="1"/>
    <col min="4641" max="4869" width="9.140625" style="9"/>
    <col min="4870" max="4870" width="48.42578125" style="9" bestFit="1" customWidth="1"/>
    <col min="4871" max="4871" width="71.7109375" style="9" customWidth="1"/>
    <col min="4872" max="4872" width="19.140625" style="9" bestFit="1" customWidth="1"/>
    <col min="4873" max="4896" width="20.85546875" style="9" customWidth="1"/>
    <col min="4897" max="5125" width="9.140625" style="9"/>
    <col min="5126" max="5126" width="48.42578125" style="9" bestFit="1" customWidth="1"/>
    <col min="5127" max="5127" width="71.7109375" style="9" customWidth="1"/>
    <col min="5128" max="5128" width="19.140625" style="9" bestFit="1" customWidth="1"/>
    <col min="5129" max="5152" width="20.85546875" style="9" customWidth="1"/>
    <col min="5153" max="5381" width="9.140625" style="9"/>
    <col min="5382" max="5382" width="48.42578125" style="9" bestFit="1" customWidth="1"/>
    <col min="5383" max="5383" width="71.7109375" style="9" customWidth="1"/>
    <col min="5384" max="5384" width="19.140625" style="9" bestFit="1" customWidth="1"/>
    <col min="5385" max="5408" width="20.85546875" style="9" customWidth="1"/>
    <col min="5409" max="5637" width="9.140625" style="9"/>
    <col min="5638" max="5638" width="48.42578125" style="9" bestFit="1" customWidth="1"/>
    <col min="5639" max="5639" width="71.7109375" style="9" customWidth="1"/>
    <col min="5640" max="5640" width="19.140625" style="9" bestFit="1" customWidth="1"/>
    <col min="5641" max="5664" width="20.85546875" style="9" customWidth="1"/>
    <col min="5665" max="5893" width="9.140625" style="9"/>
    <col min="5894" max="5894" width="48.42578125" style="9" bestFit="1" customWidth="1"/>
    <col min="5895" max="5895" width="71.7109375" style="9" customWidth="1"/>
    <col min="5896" max="5896" width="19.140625" style="9" bestFit="1" customWidth="1"/>
    <col min="5897" max="5920" width="20.85546875" style="9" customWidth="1"/>
    <col min="5921" max="6149" width="9.140625" style="9"/>
    <col min="6150" max="6150" width="48.42578125" style="9" bestFit="1" customWidth="1"/>
    <col min="6151" max="6151" width="71.7109375" style="9" customWidth="1"/>
    <col min="6152" max="6152" width="19.140625" style="9" bestFit="1" customWidth="1"/>
    <col min="6153" max="6176" width="20.85546875" style="9" customWidth="1"/>
    <col min="6177" max="6405" width="9.140625" style="9"/>
    <col min="6406" max="6406" width="48.42578125" style="9" bestFit="1" customWidth="1"/>
    <col min="6407" max="6407" width="71.7109375" style="9" customWidth="1"/>
    <col min="6408" max="6408" width="19.140625" style="9" bestFit="1" customWidth="1"/>
    <col min="6409" max="6432" width="20.85546875" style="9" customWidth="1"/>
    <col min="6433" max="6661" width="9.140625" style="9"/>
    <col min="6662" max="6662" width="48.42578125" style="9" bestFit="1" customWidth="1"/>
    <col min="6663" max="6663" width="71.7109375" style="9" customWidth="1"/>
    <col min="6664" max="6664" width="19.140625" style="9" bestFit="1" customWidth="1"/>
    <col min="6665" max="6688" width="20.85546875" style="9" customWidth="1"/>
    <col min="6689" max="6917" width="9.140625" style="9"/>
    <col min="6918" max="6918" width="48.42578125" style="9" bestFit="1" customWidth="1"/>
    <col min="6919" max="6919" width="71.7109375" style="9" customWidth="1"/>
    <col min="6920" max="6920" width="19.140625" style="9" bestFit="1" customWidth="1"/>
    <col min="6921" max="6944" width="20.85546875" style="9" customWidth="1"/>
    <col min="6945" max="7173" width="9.140625" style="9"/>
    <col min="7174" max="7174" width="48.42578125" style="9" bestFit="1" customWidth="1"/>
    <col min="7175" max="7175" width="71.7109375" style="9" customWidth="1"/>
    <col min="7176" max="7176" width="19.140625" style="9" bestFit="1" customWidth="1"/>
    <col min="7177" max="7200" width="20.85546875" style="9" customWidth="1"/>
    <col min="7201" max="7429" width="9.140625" style="9"/>
    <col min="7430" max="7430" width="48.42578125" style="9" bestFit="1" customWidth="1"/>
    <col min="7431" max="7431" width="71.7109375" style="9" customWidth="1"/>
    <col min="7432" max="7432" width="19.140625" style="9" bestFit="1" customWidth="1"/>
    <col min="7433" max="7456" width="20.85546875" style="9" customWidth="1"/>
    <col min="7457" max="7685" width="9.140625" style="9"/>
    <col min="7686" max="7686" width="48.42578125" style="9" bestFit="1" customWidth="1"/>
    <col min="7687" max="7687" width="71.7109375" style="9" customWidth="1"/>
    <col min="7688" max="7688" width="19.140625" style="9" bestFit="1" customWidth="1"/>
    <col min="7689" max="7712" width="20.85546875" style="9" customWidth="1"/>
    <col min="7713" max="7941" width="9.140625" style="9"/>
    <col min="7942" max="7942" width="48.42578125" style="9" bestFit="1" customWidth="1"/>
    <col min="7943" max="7943" width="71.7109375" style="9" customWidth="1"/>
    <col min="7944" max="7944" width="19.140625" style="9" bestFit="1" customWidth="1"/>
    <col min="7945" max="7968" width="20.85546875" style="9" customWidth="1"/>
    <col min="7969" max="8197" width="9.140625" style="9"/>
    <col min="8198" max="8198" width="48.42578125" style="9" bestFit="1" customWidth="1"/>
    <col min="8199" max="8199" width="71.7109375" style="9" customWidth="1"/>
    <col min="8200" max="8200" width="19.140625" style="9" bestFit="1" customWidth="1"/>
    <col min="8201" max="8224" width="20.85546875" style="9" customWidth="1"/>
    <col min="8225" max="8453" width="9.140625" style="9"/>
    <col min="8454" max="8454" width="48.42578125" style="9" bestFit="1" customWidth="1"/>
    <col min="8455" max="8455" width="71.7109375" style="9" customWidth="1"/>
    <col min="8456" max="8456" width="19.140625" style="9" bestFit="1" customWidth="1"/>
    <col min="8457" max="8480" width="20.85546875" style="9" customWidth="1"/>
    <col min="8481" max="8709" width="9.140625" style="9"/>
    <col min="8710" max="8710" width="48.42578125" style="9" bestFit="1" customWidth="1"/>
    <col min="8711" max="8711" width="71.7109375" style="9" customWidth="1"/>
    <col min="8712" max="8712" width="19.140625" style="9" bestFit="1" customWidth="1"/>
    <col min="8713" max="8736" width="20.85546875" style="9" customWidth="1"/>
    <col min="8737" max="8965" width="9.140625" style="9"/>
    <col min="8966" max="8966" width="48.42578125" style="9" bestFit="1" customWidth="1"/>
    <col min="8967" max="8967" width="71.7109375" style="9" customWidth="1"/>
    <col min="8968" max="8968" width="19.140625" style="9" bestFit="1" customWidth="1"/>
    <col min="8969" max="8992" width="20.85546875" style="9" customWidth="1"/>
    <col min="8993" max="9221" width="9.140625" style="9"/>
    <col min="9222" max="9222" width="48.42578125" style="9" bestFit="1" customWidth="1"/>
    <col min="9223" max="9223" width="71.7109375" style="9" customWidth="1"/>
    <col min="9224" max="9224" width="19.140625" style="9" bestFit="1" customWidth="1"/>
    <col min="9225" max="9248" width="20.85546875" style="9" customWidth="1"/>
    <col min="9249" max="9477" width="9.140625" style="9"/>
    <col min="9478" max="9478" width="48.42578125" style="9" bestFit="1" customWidth="1"/>
    <col min="9479" max="9479" width="71.7109375" style="9" customWidth="1"/>
    <col min="9480" max="9480" width="19.140625" style="9" bestFit="1" customWidth="1"/>
    <col min="9481" max="9504" width="20.85546875" style="9" customWidth="1"/>
    <col min="9505" max="9733" width="9.140625" style="9"/>
    <col min="9734" max="9734" width="48.42578125" style="9" bestFit="1" customWidth="1"/>
    <col min="9735" max="9735" width="71.7109375" style="9" customWidth="1"/>
    <col min="9736" max="9736" width="19.140625" style="9" bestFit="1" customWidth="1"/>
    <col min="9737" max="9760" width="20.85546875" style="9" customWidth="1"/>
    <col min="9761" max="9989" width="9.140625" style="9"/>
    <col min="9990" max="9990" width="48.42578125" style="9" bestFit="1" customWidth="1"/>
    <col min="9991" max="9991" width="71.7109375" style="9" customWidth="1"/>
    <col min="9992" max="9992" width="19.140625" style="9" bestFit="1" customWidth="1"/>
    <col min="9993" max="10016" width="20.85546875" style="9" customWidth="1"/>
    <col min="10017" max="10245" width="9.140625" style="9"/>
    <col min="10246" max="10246" width="48.42578125" style="9" bestFit="1" customWidth="1"/>
    <col min="10247" max="10247" width="71.7109375" style="9" customWidth="1"/>
    <col min="10248" max="10248" width="19.140625" style="9" bestFit="1" customWidth="1"/>
    <col min="10249" max="10272" width="20.85546875" style="9" customWidth="1"/>
    <col min="10273" max="10501" width="9.140625" style="9"/>
    <col min="10502" max="10502" width="48.42578125" style="9" bestFit="1" customWidth="1"/>
    <col min="10503" max="10503" width="71.7109375" style="9" customWidth="1"/>
    <col min="10504" max="10504" width="19.140625" style="9" bestFit="1" customWidth="1"/>
    <col min="10505" max="10528" width="20.85546875" style="9" customWidth="1"/>
    <col min="10529" max="10757" width="9.140625" style="9"/>
    <col min="10758" max="10758" width="48.42578125" style="9" bestFit="1" customWidth="1"/>
    <col min="10759" max="10759" width="71.7109375" style="9" customWidth="1"/>
    <col min="10760" max="10760" width="19.140625" style="9" bestFit="1" customWidth="1"/>
    <col min="10761" max="10784" width="20.85546875" style="9" customWidth="1"/>
    <col min="10785" max="11013" width="9.140625" style="9"/>
    <col min="11014" max="11014" width="48.42578125" style="9" bestFit="1" customWidth="1"/>
    <col min="11015" max="11015" width="71.7109375" style="9" customWidth="1"/>
    <col min="11016" max="11016" width="19.140625" style="9" bestFit="1" customWidth="1"/>
    <col min="11017" max="11040" width="20.85546875" style="9" customWidth="1"/>
    <col min="11041" max="11269" width="9.140625" style="9"/>
    <col min="11270" max="11270" width="48.42578125" style="9" bestFit="1" customWidth="1"/>
    <col min="11271" max="11271" width="71.7109375" style="9" customWidth="1"/>
    <col min="11272" max="11272" width="19.140625" style="9" bestFit="1" customWidth="1"/>
    <col min="11273" max="11296" width="20.85546875" style="9" customWidth="1"/>
    <col min="11297" max="11525" width="9.140625" style="9"/>
    <col min="11526" max="11526" width="48.42578125" style="9" bestFit="1" customWidth="1"/>
    <col min="11527" max="11527" width="71.7109375" style="9" customWidth="1"/>
    <col min="11528" max="11528" width="19.140625" style="9" bestFit="1" customWidth="1"/>
    <col min="11529" max="11552" width="20.85546875" style="9" customWidth="1"/>
    <col min="11553" max="11781" width="9.140625" style="9"/>
    <col min="11782" max="11782" width="48.42578125" style="9" bestFit="1" customWidth="1"/>
    <col min="11783" max="11783" width="71.7109375" style="9" customWidth="1"/>
    <col min="11784" max="11784" width="19.140625" style="9" bestFit="1" customWidth="1"/>
    <col min="11785" max="11808" width="20.85546875" style="9" customWidth="1"/>
    <col min="11809" max="12037" width="9.140625" style="9"/>
    <col min="12038" max="12038" width="48.42578125" style="9" bestFit="1" customWidth="1"/>
    <col min="12039" max="12039" width="71.7109375" style="9" customWidth="1"/>
    <col min="12040" max="12040" width="19.140625" style="9" bestFit="1" customWidth="1"/>
    <col min="12041" max="12064" width="20.85546875" style="9" customWidth="1"/>
    <col min="12065" max="12293" width="9.140625" style="9"/>
    <col min="12294" max="12294" width="48.42578125" style="9" bestFit="1" customWidth="1"/>
    <col min="12295" max="12295" width="71.7109375" style="9" customWidth="1"/>
    <col min="12296" max="12296" width="19.140625" style="9" bestFit="1" customWidth="1"/>
    <col min="12297" max="12320" width="20.85546875" style="9" customWidth="1"/>
    <col min="12321" max="12549" width="9.140625" style="9"/>
    <col min="12550" max="12550" width="48.42578125" style="9" bestFit="1" customWidth="1"/>
    <col min="12551" max="12551" width="71.7109375" style="9" customWidth="1"/>
    <col min="12552" max="12552" width="19.140625" style="9" bestFit="1" customWidth="1"/>
    <col min="12553" max="12576" width="20.85546875" style="9" customWidth="1"/>
    <col min="12577" max="12805" width="9.140625" style="9"/>
    <col min="12806" max="12806" width="48.42578125" style="9" bestFit="1" customWidth="1"/>
    <col min="12807" max="12807" width="71.7109375" style="9" customWidth="1"/>
    <col min="12808" max="12808" width="19.140625" style="9" bestFit="1" customWidth="1"/>
    <col min="12809" max="12832" width="20.85546875" style="9" customWidth="1"/>
    <col min="12833" max="13061" width="9.140625" style="9"/>
    <col min="13062" max="13062" width="48.42578125" style="9" bestFit="1" customWidth="1"/>
    <col min="13063" max="13063" width="71.7109375" style="9" customWidth="1"/>
    <col min="13064" max="13064" width="19.140625" style="9" bestFit="1" customWidth="1"/>
    <col min="13065" max="13088" width="20.85546875" style="9" customWidth="1"/>
    <col min="13089" max="13317" width="9.140625" style="9"/>
    <col min="13318" max="13318" width="48.42578125" style="9" bestFit="1" customWidth="1"/>
    <col min="13319" max="13319" width="71.7109375" style="9" customWidth="1"/>
    <col min="13320" max="13320" width="19.140625" style="9" bestFit="1" customWidth="1"/>
    <col min="13321" max="13344" width="20.85546875" style="9" customWidth="1"/>
    <col min="13345" max="13573" width="9.140625" style="9"/>
    <col min="13574" max="13574" width="48.42578125" style="9" bestFit="1" customWidth="1"/>
    <col min="13575" max="13575" width="71.7109375" style="9" customWidth="1"/>
    <col min="13576" max="13576" width="19.140625" style="9" bestFit="1" customWidth="1"/>
    <col min="13577" max="13600" width="20.85546875" style="9" customWidth="1"/>
    <col min="13601" max="13829" width="9.140625" style="9"/>
    <col min="13830" max="13830" width="48.42578125" style="9" bestFit="1" customWidth="1"/>
    <col min="13831" max="13831" width="71.7109375" style="9" customWidth="1"/>
    <col min="13832" max="13832" width="19.140625" style="9" bestFit="1" customWidth="1"/>
    <col min="13833" max="13856" width="20.85546875" style="9" customWidth="1"/>
    <col min="13857" max="14085" width="9.140625" style="9"/>
    <col min="14086" max="14086" width="48.42578125" style="9" bestFit="1" customWidth="1"/>
    <col min="14087" max="14087" width="71.7109375" style="9" customWidth="1"/>
    <col min="14088" max="14088" width="19.140625" style="9" bestFit="1" customWidth="1"/>
    <col min="14089" max="14112" width="20.85546875" style="9" customWidth="1"/>
    <col min="14113" max="14341" width="9.140625" style="9"/>
    <col min="14342" max="14342" width="48.42578125" style="9" bestFit="1" customWidth="1"/>
    <col min="14343" max="14343" width="71.7109375" style="9" customWidth="1"/>
    <col min="14344" max="14344" width="19.140625" style="9" bestFit="1" customWidth="1"/>
    <col min="14345" max="14368" width="20.85546875" style="9" customWidth="1"/>
    <col min="14369" max="14597" width="9.140625" style="9"/>
    <col min="14598" max="14598" width="48.42578125" style="9" bestFit="1" customWidth="1"/>
    <col min="14599" max="14599" width="71.7109375" style="9" customWidth="1"/>
    <col min="14600" max="14600" width="19.140625" style="9" bestFit="1" customWidth="1"/>
    <col min="14601" max="14624" width="20.85546875" style="9" customWidth="1"/>
    <col min="14625" max="14853" width="9.140625" style="9"/>
    <col min="14854" max="14854" width="48.42578125" style="9" bestFit="1" customWidth="1"/>
    <col min="14855" max="14855" width="71.7109375" style="9" customWidth="1"/>
    <col min="14856" max="14856" width="19.140625" style="9" bestFit="1" customWidth="1"/>
    <col min="14857" max="14880" width="20.85546875" style="9" customWidth="1"/>
    <col min="14881" max="15109" width="9.140625" style="9"/>
    <col min="15110" max="15110" width="48.42578125" style="9" bestFit="1" customWidth="1"/>
    <col min="15111" max="15111" width="71.7109375" style="9" customWidth="1"/>
    <col min="15112" max="15112" width="19.140625" style="9" bestFit="1" customWidth="1"/>
    <col min="15113" max="15136" width="20.85546875" style="9" customWidth="1"/>
    <col min="15137" max="15365" width="9.140625" style="9"/>
    <col min="15366" max="15366" width="48.42578125" style="9" bestFit="1" customWidth="1"/>
    <col min="15367" max="15367" width="71.7109375" style="9" customWidth="1"/>
    <col min="15368" max="15368" width="19.140625" style="9" bestFit="1" customWidth="1"/>
    <col min="15369" max="15392" width="20.85546875" style="9" customWidth="1"/>
    <col min="15393" max="15621" width="9.140625" style="9"/>
    <col min="15622" max="15622" width="48.42578125" style="9" bestFit="1" customWidth="1"/>
    <col min="15623" max="15623" width="71.7109375" style="9" customWidth="1"/>
    <col min="15624" max="15624" width="19.140625" style="9" bestFit="1" customWidth="1"/>
    <col min="15625" max="15648" width="20.85546875" style="9" customWidth="1"/>
    <col min="15649" max="15877" width="9.140625" style="9"/>
    <col min="15878" max="15878" width="48.42578125" style="9" bestFit="1" customWidth="1"/>
    <col min="15879" max="15879" width="71.7109375" style="9" customWidth="1"/>
    <col min="15880" max="15880" width="19.140625" style="9" bestFit="1" customWidth="1"/>
    <col min="15881" max="15904" width="20.85546875" style="9" customWidth="1"/>
    <col min="15905" max="16133" width="9.140625" style="9"/>
    <col min="16134" max="16134" width="48.42578125" style="9" bestFit="1" customWidth="1"/>
    <col min="16135" max="16135" width="71.7109375" style="9" customWidth="1"/>
    <col min="16136" max="16136" width="19.140625" style="9" bestFit="1" customWidth="1"/>
    <col min="16137" max="16160" width="20.85546875" style="9" customWidth="1"/>
    <col min="16161" max="16384" width="9.140625" style="9"/>
  </cols>
  <sheetData>
    <row r="1" spans="1:32" s="5" customFormat="1" ht="110.25" customHeight="1" x14ac:dyDescent="0.5">
      <c r="A1" s="1" t="s">
        <v>89</v>
      </c>
      <c r="B1" s="2" t="s">
        <v>474</v>
      </c>
      <c r="C1" s="3" t="s">
        <v>3</v>
      </c>
      <c r="D1" s="4" t="s">
        <v>4</v>
      </c>
      <c r="E1" s="4" t="s">
        <v>5</v>
      </c>
      <c r="F1" s="58" t="s">
        <v>6</v>
      </c>
      <c r="G1" s="59" t="s">
        <v>135</v>
      </c>
      <c r="H1" s="59" t="s">
        <v>136</v>
      </c>
      <c r="I1" s="58" t="s">
        <v>7</v>
      </c>
      <c r="J1" s="58" t="s">
        <v>8</v>
      </c>
      <c r="K1" s="59" t="s">
        <v>137</v>
      </c>
      <c r="L1" s="58" t="s">
        <v>9</v>
      </c>
      <c r="M1" s="58" t="s">
        <v>10</v>
      </c>
      <c r="N1" s="58" t="s">
        <v>11</v>
      </c>
      <c r="O1" s="58" t="s">
        <v>12</v>
      </c>
      <c r="P1" s="59" t="s">
        <v>132</v>
      </c>
      <c r="Q1" s="58" t="s">
        <v>13</v>
      </c>
      <c r="R1" s="59" t="s">
        <v>133</v>
      </c>
      <c r="S1" s="58" t="s">
        <v>14</v>
      </c>
      <c r="T1" s="58" t="s">
        <v>15</v>
      </c>
      <c r="U1" s="58" t="s">
        <v>16</v>
      </c>
      <c r="V1" s="58" t="s">
        <v>17</v>
      </c>
      <c r="W1" s="58" t="s">
        <v>18</v>
      </c>
      <c r="X1" s="58" t="s">
        <v>1</v>
      </c>
      <c r="Y1" s="58" t="s">
        <v>19</v>
      </c>
      <c r="Z1" s="58" t="s">
        <v>0</v>
      </c>
      <c r="AA1" s="58" t="s">
        <v>20</v>
      </c>
      <c r="AB1" s="59" t="s">
        <v>134</v>
      </c>
      <c r="AC1" s="58" t="s">
        <v>2</v>
      </c>
      <c r="AD1" s="5" t="s">
        <v>77</v>
      </c>
      <c r="AE1" s="5" t="s">
        <v>78</v>
      </c>
      <c r="AF1" s="5" t="s">
        <v>79</v>
      </c>
    </row>
    <row r="2" spans="1:32" ht="15" customHeight="1" x14ac:dyDescent="0.4"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2" ht="39" customHeight="1" x14ac:dyDescent="0.4">
      <c r="A3" s="6" t="s">
        <v>90</v>
      </c>
      <c r="B3" s="2" t="s">
        <v>92</v>
      </c>
      <c r="C3" s="10">
        <f>SUM(D3:AF3)</f>
        <v>310</v>
      </c>
      <c r="D3" s="11">
        <v>4</v>
      </c>
      <c r="E3" s="11">
        <v>90</v>
      </c>
      <c r="F3" s="11">
        <v>11</v>
      </c>
      <c r="G3" s="11">
        <v>0</v>
      </c>
      <c r="H3" s="11">
        <v>1</v>
      </c>
      <c r="I3" s="11">
        <v>25</v>
      </c>
      <c r="J3" s="11">
        <v>15</v>
      </c>
      <c r="K3" s="11">
        <v>0</v>
      </c>
      <c r="L3" s="11">
        <v>2</v>
      </c>
      <c r="M3" s="11">
        <v>7</v>
      </c>
      <c r="N3" s="11">
        <v>8</v>
      </c>
      <c r="O3" s="11">
        <v>13</v>
      </c>
      <c r="P3" s="11">
        <v>10</v>
      </c>
      <c r="Q3" s="11">
        <v>10</v>
      </c>
      <c r="R3" s="20"/>
      <c r="S3" s="11">
        <v>20</v>
      </c>
      <c r="T3" s="11">
        <v>18</v>
      </c>
      <c r="U3" s="11">
        <v>41</v>
      </c>
      <c r="V3" s="11">
        <v>15</v>
      </c>
      <c r="W3" s="11">
        <v>1</v>
      </c>
      <c r="X3" s="11">
        <v>5</v>
      </c>
      <c r="Y3" s="11">
        <v>11</v>
      </c>
      <c r="Z3" s="20"/>
      <c r="AA3" s="11">
        <v>1</v>
      </c>
      <c r="AB3" s="20"/>
      <c r="AC3" s="20"/>
      <c r="AD3" s="9">
        <v>2</v>
      </c>
    </row>
    <row r="4" spans="1:32" ht="39" customHeight="1" x14ac:dyDescent="0.4">
      <c r="B4" s="12" t="s">
        <v>93</v>
      </c>
      <c r="C4" s="10">
        <f>SUM(D4:AF4)</f>
        <v>1459</v>
      </c>
      <c r="D4" s="11">
        <v>11</v>
      </c>
      <c r="E4" s="11">
        <v>313</v>
      </c>
      <c r="F4" s="11">
        <v>50</v>
      </c>
      <c r="G4" s="11">
        <v>4</v>
      </c>
      <c r="H4" s="11">
        <v>0</v>
      </c>
      <c r="I4" s="11">
        <v>72</v>
      </c>
      <c r="J4" s="11">
        <v>49</v>
      </c>
      <c r="K4" s="11">
        <v>0</v>
      </c>
      <c r="L4" s="11">
        <v>37</v>
      </c>
      <c r="M4" s="11">
        <v>84</v>
      </c>
      <c r="N4" s="11">
        <v>37</v>
      </c>
      <c r="O4" s="11">
        <v>70</v>
      </c>
      <c r="P4" s="11">
        <v>64</v>
      </c>
      <c r="Q4" s="11">
        <v>61</v>
      </c>
      <c r="R4" s="20"/>
      <c r="S4" s="11">
        <v>99</v>
      </c>
      <c r="T4" s="11">
        <v>54</v>
      </c>
      <c r="U4" s="11">
        <v>216</v>
      </c>
      <c r="V4" s="11">
        <v>61</v>
      </c>
      <c r="W4" s="11">
        <v>15</v>
      </c>
      <c r="X4" s="11">
        <v>54</v>
      </c>
      <c r="Y4" s="11">
        <v>94</v>
      </c>
      <c r="Z4" s="20"/>
      <c r="AA4" s="11">
        <v>9</v>
      </c>
      <c r="AB4" s="20"/>
      <c r="AC4" s="20"/>
      <c r="AD4" s="9">
        <v>4</v>
      </c>
      <c r="AE4" s="9">
        <v>1</v>
      </c>
    </row>
    <row r="5" spans="1:32" ht="39" customHeight="1" x14ac:dyDescent="0.4">
      <c r="B5" s="12" t="s">
        <v>94</v>
      </c>
      <c r="C5" s="10">
        <f>SUM(D5:AF5)</f>
        <v>501</v>
      </c>
      <c r="D5" s="11">
        <v>7</v>
      </c>
      <c r="E5" s="11">
        <v>112</v>
      </c>
      <c r="F5" s="11">
        <v>38</v>
      </c>
      <c r="G5" s="11">
        <v>0</v>
      </c>
      <c r="H5" s="11">
        <v>0</v>
      </c>
      <c r="I5" s="11">
        <v>31</v>
      </c>
      <c r="J5" s="11">
        <v>18</v>
      </c>
      <c r="K5" s="11">
        <v>0</v>
      </c>
      <c r="L5" s="11">
        <v>2</v>
      </c>
      <c r="M5" s="11">
        <v>7</v>
      </c>
      <c r="N5" s="11">
        <v>18</v>
      </c>
      <c r="O5" s="11">
        <v>19</v>
      </c>
      <c r="P5" s="11">
        <v>18</v>
      </c>
      <c r="Q5" s="11">
        <v>26</v>
      </c>
      <c r="R5" s="20"/>
      <c r="S5" s="11">
        <v>43</v>
      </c>
      <c r="T5" s="11">
        <v>9</v>
      </c>
      <c r="U5" s="11">
        <v>79</v>
      </c>
      <c r="V5" s="11">
        <v>22</v>
      </c>
      <c r="W5" s="11">
        <v>4</v>
      </c>
      <c r="X5" s="11">
        <v>16</v>
      </c>
      <c r="Y5" s="11">
        <v>27</v>
      </c>
      <c r="Z5" s="20"/>
      <c r="AA5" s="11">
        <v>2</v>
      </c>
      <c r="AB5" s="20"/>
      <c r="AC5" s="20"/>
      <c r="AD5" s="9">
        <v>2</v>
      </c>
      <c r="AF5" s="9">
        <v>1</v>
      </c>
    </row>
    <row r="6" spans="1:32" s="44" customFormat="1" ht="27" customHeight="1" x14ac:dyDescent="0.4">
      <c r="A6" s="40"/>
      <c r="B6" s="41"/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spans="1:32" ht="46.5" customHeight="1" x14ac:dyDescent="0.4">
      <c r="A7" s="6" t="s">
        <v>21</v>
      </c>
      <c r="B7" s="2" t="s">
        <v>91</v>
      </c>
      <c r="C7" s="10">
        <f>SUM(D7:AF7)</f>
        <v>13</v>
      </c>
      <c r="D7" s="11"/>
      <c r="E7" s="11">
        <v>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1">
        <v>0</v>
      </c>
      <c r="S7" s="20"/>
      <c r="T7" s="20"/>
      <c r="U7" s="20"/>
      <c r="V7" s="20"/>
      <c r="W7" s="20"/>
      <c r="X7" s="20"/>
      <c r="Y7" s="20"/>
      <c r="Z7" s="11">
        <v>7</v>
      </c>
      <c r="AA7" s="20"/>
      <c r="AB7" s="11">
        <v>0</v>
      </c>
      <c r="AC7" s="11">
        <v>5</v>
      </c>
    </row>
    <row r="8" spans="1:32" ht="46.5" customHeight="1" x14ac:dyDescent="0.4">
      <c r="B8" s="2" t="s">
        <v>95</v>
      </c>
      <c r="C8" s="10">
        <f>SUM(D8:AF8)</f>
        <v>4</v>
      </c>
      <c r="D8" s="11"/>
      <c r="E8" s="11">
        <v>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1">
        <v>0</v>
      </c>
      <c r="S8" s="20"/>
      <c r="T8" s="20"/>
      <c r="U8" s="20"/>
      <c r="V8" s="20"/>
      <c r="W8" s="20"/>
      <c r="X8" s="20"/>
      <c r="Y8" s="20"/>
      <c r="Z8" s="11">
        <v>1</v>
      </c>
      <c r="AA8" s="20"/>
      <c r="AB8" s="11">
        <v>0</v>
      </c>
      <c r="AC8" s="11">
        <v>3</v>
      </c>
    </row>
    <row r="9" spans="1:32" s="19" customFormat="1" ht="46.5" customHeight="1" x14ac:dyDescent="0.4">
      <c r="A9" s="16"/>
      <c r="B9" s="17" t="s">
        <v>96</v>
      </c>
      <c r="C9" s="10">
        <f>SUM(D9:AF9)</f>
        <v>12</v>
      </c>
      <c r="D9" s="18"/>
      <c r="E9" s="18"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8">
        <v>0</v>
      </c>
      <c r="S9" s="20"/>
      <c r="T9" s="20"/>
      <c r="U9" s="20"/>
      <c r="V9" s="20"/>
      <c r="W9" s="20"/>
      <c r="X9" s="20"/>
      <c r="Y9" s="20"/>
      <c r="Z9" s="18">
        <v>6</v>
      </c>
      <c r="AA9" s="20"/>
      <c r="AB9" s="18">
        <v>3</v>
      </c>
      <c r="AC9" s="18">
        <v>3</v>
      </c>
    </row>
    <row r="10" spans="1:32" s="19" customFormat="1" ht="46.5" customHeight="1" x14ac:dyDescent="0.4">
      <c r="A10" s="16"/>
      <c r="B10" s="17" t="s">
        <v>97</v>
      </c>
      <c r="C10" s="10">
        <f t="shared" ref="C10:C11" si="0">SUM(D10:AF10)</f>
        <v>5</v>
      </c>
      <c r="D10" s="18"/>
      <c r="E10" s="18">
        <v>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8">
        <v>0</v>
      </c>
      <c r="S10" s="20"/>
      <c r="T10" s="20"/>
      <c r="U10" s="20"/>
      <c r="V10" s="20"/>
      <c r="W10" s="20"/>
      <c r="X10" s="20"/>
      <c r="Y10" s="20"/>
      <c r="Z10" s="18">
        <v>3</v>
      </c>
      <c r="AA10" s="20"/>
      <c r="AB10" s="18">
        <v>0</v>
      </c>
      <c r="AC10" s="18">
        <v>1</v>
      </c>
    </row>
    <row r="11" spans="1:32" s="15" customFormat="1" ht="46.5" customHeight="1" x14ac:dyDescent="0.4">
      <c r="A11" s="13"/>
      <c r="B11" s="12" t="s">
        <v>98</v>
      </c>
      <c r="C11" s="10">
        <f t="shared" si="0"/>
        <v>86</v>
      </c>
      <c r="D11" s="14"/>
      <c r="E11" s="14">
        <v>5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4">
        <v>1</v>
      </c>
      <c r="S11" s="20"/>
      <c r="T11" s="20"/>
      <c r="U11" s="20"/>
      <c r="V11" s="20"/>
      <c r="W11" s="20"/>
      <c r="X11" s="20"/>
      <c r="Y11" s="20"/>
      <c r="Z11" s="14">
        <v>34</v>
      </c>
      <c r="AA11" s="20"/>
      <c r="AB11" s="14">
        <v>7</v>
      </c>
      <c r="AC11" s="14">
        <v>39</v>
      </c>
    </row>
    <row r="12" spans="1:32" s="19" customFormat="1" ht="46.5" customHeight="1" x14ac:dyDescent="0.4">
      <c r="A12" s="16"/>
      <c r="B12" s="17" t="s">
        <v>99</v>
      </c>
      <c r="C12" s="10">
        <f>SUM(D12:AF12)</f>
        <v>18</v>
      </c>
      <c r="D12" s="18"/>
      <c r="E12" s="18">
        <v>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8">
        <v>0</v>
      </c>
      <c r="S12" s="20"/>
      <c r="T12" s="20"/>
      <c r="U12" s="20"/>
      <c r="V12" s="20"/>
      <c r="W12" s="20"/>
      <c r="X12" s="20"/>
      <c r="Y12" s="20"/>
      <c r="Z12" s="18">
        <v>9</v>
      </c>
      <c r="AA12" s="20"/>
      <c r="AB12" s="18">
        <v>0</v>
      </c>
      <c r="AC12" s="18">
        <v>7</v>
      </c>
    </row>
    <row r="13" spans="1:32" s="15" customFormat="1" ht="46.5" customHeight="1" x14ac:dyDescent="0.4">
      <c r="A13" s="13"/>
      <c r="B13" s="12" t="s">
        <v>100</v>
      </c>
      <c r="C13" s="10">
        <f>SUM(D13:AF13)</f>
        <v>2</v>
      </c>
      <c r="D13" s="14"/>
      <c r="E13" s="14"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4">
        <v>0</v>
      </c>
      <c r="S13" s="20"/>
      <c r="T13" s="20"/>
      <c r="U13" s="20"/>
      <c r="V13" s="20"/>
      <c r="W13" s="20"/>
      <c r="X13" s="20"/>
      <c r="Y13" s="20"/>
      <c r="Z13" s="14">
        <v>0</v>
      </c>
      <c r="AA13" s="20"/>
      <c r="AB13" s="14">
        <v>0</v>
      </c>
      <c r="AC13" s="14">
        <v>2</v>
      </c>
    </row>
    <row r="14" spans="1:32" s="44" customFormat="1" ht="46.5" customHeight="1" x14ac:dyDescent="0.4">
      <c r="A14" s="40"/>
      <c r="B14" s="41"/>
      <c r="C14" s="42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spans="1:32" ht="46.5" customHeight="1" x14ac:dyDescent="0.4">
      <c r="A15" s="6" t="s">
        <v>22</v>
      </c>
      <c r="B15" s="2" t="s">
        <v>101</v>
      </c>
      <c r="C15" s="10">
        <f>SUM(D15:AF15)</f>
        <v>31</v>
      </c>
      <c r="D15" s="11"/>
      <c r="E15" s="11">
        <v>10</v>
      </c>
      <c r="F15" s="11">
        <v>1</v>
      </c>
      <c r="G15" s="11">
        <v>0</v>
      </c>
      <c r="H15" s="11">
        <v>0</v>
      </c>
      <c r="I15" s="11">
        <v>2</v>
      </c>
      <c r="J15" s="11">
        <v>1</v>
      </c>
      <c r="K15" s="11">
        <v>0</v>
      </c>
      <c r="L15" s="11">
        <v>0</v>
      </c>
      <c r="M15" s="11">
        <v>2</v>
      </c>
      <c r="N15" s="11">
        <v>1</v>
      </c>
      <c r="O15" s="11">
        <v>1</v>
      </c>
      <c r="P15" s="11">
        <v>2</v>
      </c>
      <c r="Q15" s="11">
        <v>0</v>
      </c>
      <c r="R15" s="11">
        <v>0</v>
      </c>
      <c r="S15" s="11">
        <v>2</v>
      </c>
      <c r="T15" s="11">
        <v>1</v>
      </c>
      <c r="U15" s="11">
        <v>4</v>
      </c>
      <c r="V15" s="11">
        <v>1</v>
      </c>
      <c r="W15" s="11">
        <v>0</v>
      </c>
      <c r="X15" s="11">
        <v>0</v>
      </c>
      <c r="Y15" s="11">
        <v>0</v>
      </c>
      <c r="Z15" s="11">
        <v>1</v>
      </c>
      <c r="AA15" s="11">
        <v>0</v>
      </c>
      <c r="AB15" s="11">
        <v>0</v>
      </c>
      <c r="AC15" s="11">
        <v>1</v>
      </c>
      <c r="AD15" s="9">
        <v>1</v>
      </c>
    </row>
    <row r="16" spans="1:32" s="15" customFormat="1" ht="46.5" customHeight="1" x14ac:dyDescent="0.4">
      <c r="A16" s="13"/>
      <c r="B16" s="12" t="s">
        <v>102</v>
      </c>
      <c r="C16" s="10">
        <f t="shared" ref="C16:C17" si="1">SUM(D16:AF16)</f>
        <v>1480</v>
      </c>
      <c r="D16" s="14">
        <v>11</v>
      </c>
      <c r="E16" s="14">
        <v>310</v>
      </c>
      <c r="F16" s="14">
        <v>65</v>
      </c>
      <c r="G16" s="14">
        <v>4</v>
      </c>
      <c r="H16" s="14">
        <v>0</v>
      </c>
      <c r="I16" s="14">
        <v>76</v>
      </c>
      <c r="J16" s="14">
        <v>56</v>
      </c>
      <c r="K16" s="14">
        <v>0</v>
      </c>
      <c r="L16" s="14">
        <v>23</v>
      </c>
      <c r="M16" s="14">
        <v>59</v>
      </c>
      <c r="N16" s="14">
        <v>47</v>
      </c>
      <c r="O16" s="14">
        <v>80</v>
      </c>
      <c r="P16" s="14">
        <v>69</v>
      </c>
      <c r="Q16" s="14">
        <v>65</v>
      </c>
      <c r="R16" s="14">
        <v>1</v>
      </c>
      <c r="S16" s="14">
        <v>98</v>
      </c>
      <c r="T16" s="14">
        <v>40</v>
      </c>
      <c r="U16" s="14">
        <v>171</v>
      </c>
      <c r="V16" s="14">
        <v>48</v>
      </c>
      <c r="W16" s="14">
        <v>17</v>
      </c>
      <c r="X16" s="14">
        <v>52</v>
      </c>
      <c r="Y16" s="14">
        <v>93</v>
      </c>
      <c r="Z16" s="14">
        <v>36</v>
      </c>
      <c r="AA16" s="14">
        <v>7</v>
      </c>
      <c r="AB16" s="14">
        <v>7</v>
      </c>
      <c r="AC16" s="14">
        <v>37</v>
      </c>
      <c r="AD16" s="15">
        <v>5</v>
      </c>
      <c r="AE16" s="15">
        <v>2</v>
      </c>
      <c r="AF16" s="15">
        <v>1</v>
      </c>
    </row>
    <row r="17" spans="1:32" s="15" customFormat="1" ht="46.5" customHeight="1" x14ac:dyDescent="0.4">
      <c r="A17" s="13"/>
      <c r="B17" s="12" t="s">
        <v>103</v>
      </c>
      <c r="C17" s="10">
        <f t="shared" si="1"/>
        <v>257</v>
      </c>
      <c r="D17" s="14">
        <v>1</v>
      </c>
      <c r="E17" s="14">
        <v>55</v>
      </c>
      <c r="F17" s="14">
        <v>10</v>
      </c>
      <c r="G17" s="14">
        <v>0</v>
      </c>
      <c r="H17" s="14">
        <v>0</v>
      </c>
      <c r="I17" s="14">
        <v>21</v>
      </c>
      <c r="J17" s="14">
        <v>4</v>
      </c>
      <c r="K17" s="14">
        <v>0</v>
      </c>
      <c r="L17" s="14">
        <v>1</v>
      </c>
      <c r="M17" s="14">
        <v>11</v>
      </c>
      <c r="N17" s="14">
        <v>5</v>
      </c>
      <c r="O17" s="14">
        <v>2</v>
      </c>
      <c r="P17" s="14">
        <v>10</v>
      </c>
      <c r="Q17" s="14">
        <v>20</v>
      </c>
      <c r="R17" s="14">
        <v>0</v>
      </c>
      <c r="S17" s="14">
        <v>16</v>
      </c>
      <c r="T17" s="14">
        <v>8</v>
      </c>
      <c r="U17" s="14">
        <v>49</v>
      </c>
      <c r="V17" s="14">
        <v>9</v>
      </c>
      <c r="W17" s="14">
        <v>2</v>
      </c>
      <c r="X17" s="14">
        <v>6</v>
      </c>
      <c r="Y17" s="14">
        <v>10</v>
      </c>
      <c r="Z17" s="14">
        <v>7</v>
      </c>
      <c r="AA17" s="14">
        <v>2</v>
      </c>
      <c r="AB17" s="14">
        <v>1</v>
      </c>
      <c r="AC17" s="14">
        <v>7</v>
      </c>
      <c r="AD17" s="15">
        <v>0</v>
      </c>
    </row>
    <row r="18" spans="1:32" s="15" customFormat="1" ht="46.5" customHeight="1" x14ac:dyDescent="0.4">
      <c r="A18" s="13"/>
      <c r="B18" s="12" t="s">
        <v>38</v>
      </c>
      <c r="C18" s="10">
        <f>SUM(D18:AF18)</f>
        <v>462</v>
      </c>
      <c r="D18" s="14">
        <v>6</v>
      </c>
      <c r="E18" s="14">
        <v>99</v>
      </c>
      <c r="F18" s="14">
        <v>18</v>
      </c>
      <c r="G18" s="14">
        <v>0</v>
      </c>
      <c r="H18" s="14">
        <v>0</v>
      </c>
      <c r="I18" s="14">
        <v>15</v>
      </c>
      <c r="J18" s="14">
        <v>9</v>
      </c>
      <c r="K18" s="14">
        <v>0</v>
      </c>
      <c r="L18" s="14">
        <v>19</v>
      </c>
      <c r="M18" s="14">
        <v>25</v>
      </c>
      <c r="N18" s="14">
        <v>9</v>
      </c>
      <c r="O18" s="14">
        <v>9</v>
      </c>
      <c r="P18" s="14">
        <v>12</v>
      </c>
      <c r="Q18" s="14">
        <v>6</v>
      </c>
      <c r="R18" s="14">
        <v>0</v>
      </c>
      <c r="S18" s="14">
        <v>34</v>
      </c>
      <c r="T18" s="14">
        <v>14</v>
      </c>
      <c r="U18" s="14">
        <v>88</v>
      </c>
      <c r="V18" s="14">
        <v>32</v>
      </c>
      <c r="W18" s="14">
        <v>1</v>
      </c>
      <c r="X18" s="14">
        <v>16</v>
      </c>
      <c r="Y18" s="14">
        <v>26</v>
      </c>
      <c r="Z18" s="14">
        <v>10</v>
      </c>
      <c r="AA18" s="14">
        <v>2</v>
      </c>
      <c r="AB18" s="14">
        <v>2</v>
      </c>
      <c r="AC18" s="14">
        <v>9</v>
      </c>
      <c r="AD18" s="15">
        <v>1</v>
      </c>
    </row>
    <row r="19" spans="1:32" s="44" customFormat="1" ht="46.5" customHeight="1" x14ac:dyDescent="0.4">
      <c r="A19" s="40"/>
      <c r="B19" s="41"/>
      <c r="C19" s="42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1:32" ht="46.5" customHeight="1" x14ac:dyDescent="0.4">
      <c r="A20" s="6" t="s">
        <v>104</v>
      </c>
      <c r="B20" s="2" t="s">
        <v>105</v>
      </c>
      <c r="C20" s="10">
        <f t="shared" ref="C20:C21" si="2">SUM(D20:AF20)</f>
        <v>72</v>
      </c>
      <c r="D20" s="11">
        <v>1</v>
      </c>
      <c r="E20" s="11">
        <v>9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11">
        <v>19</v>
      </c>
      <c r="T20" s="20"/>
      <c r="U20" s="11">
        <v>43</v>
      </c>
      <c r="V20" s="20"/>
      <c r="W20" s="20"/>
      <c r="X20" s="20"/>
      <c r="Y20" s="20"/>
      <c r="Z20" s="20"/>
      <c r="AA20" s="20"/>
      <c r="AB20" s="20"/>
      <c r="AC20" s="20"/>
    </row>
    <row r="21" spans="1:32" s="15" customFormat="1" ht="46.5" customHeight="1" x14ac:dyDescent="0.4">
      <c r="A21" s="13"/>
      <c r="B21" s="12" t="s">
        <v>106</v>
      </c>
      <c r="C21" s="10">
        <f t="shared" si="2"/>
        <v>439</v>
      </c>
      <c r="D21" s="14">
        <v>3</v>
      </c>
      <c r="E21" s="14">
        <v>53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14">
        <v>122</v>
      </c>
      <c r="T21" s="20"/>
      <c r="U21" s="14">
        <v>257</v>
      </c>
      <c r="V21" s="20"/>
      <c r="W21" s="20"/>
      <c r="X21" s="21"/>
      <c r="Y21" s="21"/>
      <c r="Z21" s="21"/>
      <c r="AA21" s="21"/>
      <c r="AB21" s="21"/>
      <c r="AC21" s="21"/>
      <c r="AD21" s="15">
        <v>3</v>
      </c>
      <c r="AF21" s="15">
        <v>1</v>
      </c>
    </row>
    <row r="22" spans="1:32" s="44" customFormat="1" ht="46.5" customHeight="1" x14ac:dyDescent="0.4">
      <c r="A22" s="40"/>
      <c r="B22" s="41"/>
      <c r="C22" s="42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spans="1:32" ht="46.5" customHeight="1" x14ac:dyDescent="0.4">
      <c r="A23" s="6" t="s">
        <v>23</v>
      </c>
      <c r="B23" s="2" t="s">
        <v>101</v>
      </c>
      <c r="C23" s="10">
        <f>SUM(D23:AF23)</f>
        <v>18</v>
      </c>
      <c r="D23" s="11"/>
      <c r="E23" s="11">
        <v>10</v>
      </c>
      <c r="F23" s="11">
        <v>1</v>
      </c>
      <c r="G23" s="20"/>
      <c r="H23" s="20"/>
      <c r="I23" s="11">
        <v>2</v>
      </c>
      <c r="J23" s="11">
        <v>1</v>
      </c>
      <c r="K23" s="20"/>
      <c r="L23" s="11">
        <v>0</v>
      </c>
      <c r="M23" s="11">
        <v>2</v>
      </c>
      <c r="N23" s="11">
        <v>1</v>
      </c>
      <c r="O23" s="11">
        <v>0</v>
      </c>
      <c r="P23" s="20"/>
      <c r="Q23" s="20"/>
      <c r="R23" s="20"/>
      <c r="S23" s="20"/>
      <c r="T23" s="11">
        <v>0</v>
      </c>
      <c r="U23" s="20"/>
      <c r="V23" s="20"/>
      <c r="W23" s="11">
        <v>0</v>
      </c>
      <c r="X23" s="20"/>
      <c r="Y23" s="20"/>
      <c r="Z23" s="20"/>
      <c r="AA23" s="20"/>
      <c r="AB23" s="20"/>
      <c r="AC23" s="20"/>
      <c r="AD23" s="9">
        <v>1</v>
      </c>
    </row>
    <row r="24" spans="1:32" s="15" customFormat="1" ht="46.5" customHeight="1" x14ac:dyDescent="0.4">
      <c r="A24" s="13"/>
      <c r="B24" s="12" t="s">
        <v>39</v>
      </c>
      <c r="C24" s="10">
        <f>SUM(D24:AF24)</f>
        <v>720</v>
      </c>
      <c r="D24" s="14">
        <v>7</v>
      </c>
      <c r="E24" s="14">
        <v>191</v>
      </c>
      <c r="F24" s="14">
        <v>72</v>
      </c>
      <c r="G24" s="20"/>
      <c r="H24" s="20"/>
      <c r="I24" s="14">
        <v>90</v>
      </c>
      <c r="J24" s="14">
        <v>54</v>
      </c>
      <c r="K24" s="20"/>
      <c r="L24" s="14">
        <v>31</v>
      </c>
      <c r="M24" s="14">
        <v>85</v>
      </c>
      <c r="N24" s="14">
        <v>44</v>
      </c>
      <c r="O24" s="14">
        <v>72</v>
      </c>
      <c r="P24" s="20"/>
      <c r="Q24" s="20"/>
      <c r="R24" s="20"/>
      <c r="S24" s="20"/>
      <c r="T24" s="14">
        <v>55</v>
      </c>
      <c r="U24" s="20"/>
      <c r="V24" s="20"/>
      <c r="W24" s="14">
        <v>16</v>
      </c>
      <c r="X24" s="21"/>
      <c r="Y24" s="21"/>
      <c r="Z24" s="21"/>
      <c r="AA24" s="21"/>
      <c r="AB24" s="21"/>
      <c r="AC24" s="21"/>
      <c r="AD24" s="15">
        <v>2</v>
      </c>
      <c r="AE24" s="15">
        <v>1</v>
      </c>
    </row>
    <row r="25" spans="1:32" s="44" customFormat="1" ht="46.5" customHeight="1" x14ac:dyDescent="0.4">
      <c r="A25" s="40"/>
      <c r="B25" s="41"/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spans="1:32" ht="46.5" customHeight="1" x14ac:dyDescent="0.4">
      <c r="A26" s="6" t="s">
        <v>24</v>
      </c>
      <c r="B26" s="2" t="s">
        <v>101</v>
      </c>
      <c r="C26" s="10">
        <f>SUM(D26:AF26)</f>
        <v>5</v>
      </c>
      <c r="D26" s="11"/>
      <c r="E26" s="11">
        <v>1</v>
      </c>
      <c r="F26" s="20"/>
      <c r="G26" s="11">
        <v>0</v>
      </c>
      <c r="H26" s="11">
        <v>0</v>
      </c>
      <c r="I26" s="20"/>
      <c r="J26" s="20"/>
      <c r="K26" s="11">
        <v>0</v>
      </c>
      <c r="L26" s="20"/>
      <c r="M26" s="20"/>
      <c r="N26" s="20"/>
      <c r="O26" s="20"/>
      <c r="P26" s="11">
        <v>2</v>
      </c>
      <c r="Q26" s="11">
        <v>0</v>
      </c>
      <c r="R26" s="11">
        <v>0</v>
      </c>
      <c r="S26" s="20"/>
      <c r="T26" s="20"/>
      <c r="U26" s="20"/>
      <c r="V26" s="11">
        <v>1</v>
      </c>
      <c r="W26" s="20"/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1</v>
      </c>
    </row>
    <row r="27" spans="1:32" s="15" customFormat="1" ht="46.5" customHeight="1" x14ac:dyDescent="0.4">
      <c r="A27" s="13"/>
      <c r="B27" s="12" t="s">
        <v>107</v>
      </c>
      <c r="C27" s="10">
        <f t="shared" ref="C27:C28" si="3">SUM(D27:AF27)</f>
        <v>71</v>
      </c>
      <c r="D27" s="14"/>
      <c r="E27" s="14">
        <v>14</v>
      </c>
      <c r="F27" s="21"/>
      <c r="G27" s="14">
        <v>0</v>
      </c>
      <c r="H27" s="14">
        <v>0</v>
      </c>
      <c r="I27" s="21"/>
      <c r="J27" s="21"/>
      <c r="K27" s="14">
        <v>0</v>
      </c>
      <c r="L27" s="21"/>
      <c r="M27" s="21"/>
      <c r="N27" s="21"/>
      <c r="O27" s="21"/>
      <c r="P27" s="14">
        <v>11</v>
      </c>
      <c r="Q27" s="14">
        <v>9</v>
      </c>
      <c r="R27" s="14">
        <v>0</v>
      </c>
      <c r="S27" s="21"/>
      <c r="T27" s="21"/>
      <c r="U27" s="21"/>
      <c r="V27" s="14">
        <v>10</v>
      </c>
      <c r="W27" s="21"/>
      <c r="X27" s="14">
        <v>13</v>
      </c>
      <c r="Y27" s="14">
        <v>6</v>
      </c>
      <c r="Z27" s="14">
        <v>3</v>
      </c>
      <c r="AA27" s="14">
        <v>1</v>
      </c>
      <c r="AB27" s="14">
        <v>1</v>
      </c>
      <c r="AC27" s="14">
        <v>3</v>
      </c>
    </row>
    <row r="28" spans="1:32" s="15" customFormat="1" ht="46.5" customHeight="1" x14ac:dyDescent="0.4">
      <c r="A28" s="13"/>
      <c r="B28" s="12" t="s">
        <v>108</v>
      </c>
      <c r="C28" s="10">
        <f t="shared" si="3"/>
        <v>119</v>
      </c>
      <c r="D28" s="14">
        <v>3</v>
      </c>
      <c r="E28" s="14">
        <v>20</v>
      </c>
      <c r="F28" s="21"/>
      <c r="G28" s="14">
        <v>0</v>
      </c>
      <c r="H28" s="14">
        <v>0</v>
      </c>
      <c r="I28" s="21"/>
      <c r="J28" s="21"/>
      <c r="K28" s="14">
        <v>0</v>
      </c>
      <c r="L28" s="21"/>
      <c r="M28" s="21"/>
      <c r="N28" s="21"/>
      <c r="O28" s="21"/>
      <c r="P28" s="14">
        <v>5</v>
      </c>
      <c r="Q28" s="14">
        <v>13</v>
      </c>
      <c r="R28" s="14">
        <v>0</v>
      </c>
      <c r="S28" s="21"/>
      <c r="T28" s="21"/>
      <c r="U28" s="21"/>
      <c r="V28" s="14">
        <v>21</v>
      </c>
      <c r="W28" s="21"/>
      <c r="X28" s="14">
        <v>6</v>
      </c>
      <c r="Y28" s="14">
        <v>27</v>
      </c>
      <c r="Z28" s="14">
        <v>12</v>
      </c>
      <c r="AA28" s="14">
        <v>1</v>
      </c>
      <c r="AB28" s="14">
        <v>1</v>
      </c>
      <c r="AC28" s="14">
        <v>10</v>
      </c>
    </row>
    <row r="29" spans="1:32" s="15" customFormat="1" ht="46.5" customHeight="1" x14ac:dyDescent="0.4">
      <c r="A29" s="13"/>
      <c r="B29" s="12" t="s">
        <v>109</v>
      </c>
      <c r="C29" s="10">
        <f>SUM(D29:AF29)</f>
        <v>551</v>
      </c>
      <c r="D29" s="14">
        <v>4</v>
      </c>
      <c r="E29" s="14">
        <v>106</v>
      </c>
      <c r="F29" s="21"/>
      <c r="G29" s="14">
        <v>3</v>
      </c>
      <c r="H29" s="14">
        <v>0</v>
      </c>
      <c r="I29" s="21"/>
      <c r="J29" s="21"/>
      <c r="K29" s="14">
        <v>0</v>
      </c>
      <c r="L29" s="21"/>
      <c r="M29" s="21"/>
      <c r="N29" s="21"/>
      <c r="O29" s="21"/>
      <c r="P29" s="14">
        <v>74</v>
      </c>
      <c r="Q29" s="14">
        <v>68</v>
      </c>
      <c r="R29" s="14">
        <v>1</v>
      </c>
      <c r="S29" s="21"/>
      <c r="T29" s="21"/>
      <c r="U29" s="21"/>
      <c r="V29" s="14">
        <v>55</v>
      </c>
      <c r="W29" s="21"/>
      <c r="X29" s="14">
        <v>53</v>
      </c>
      <c r="Y29" s="14">
        <v>94</v>
      </c>
      <c r="Z29" s="14">
        <v>38</v>
      </c>
      <c r="AA29" s="14">
        <v>9</v>
      </c>
      <c r="AB29" s="14">
        <v>7</v>
      </c>
      <c r="AC29" s="14">
        <v>38</v>
      </c>
      <c r="AE29" s="15">
        <v>1</v>
      </c>
    </row>
    <row r="30" spans="1:32" s="44" customFormat="1" ht="46.5" customHeight="1" x14ac:dyDescent="0.4">
      <c r="A30" s="40"/>
      <c r="B30" s="41"/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spans="1:32" ht="46.5" customHeight="1" x14ac:dyDescent="0.4">
      <c r="A31" s="6" t="s">
        <v>25</v>
      </c>
      <c r="B31" s="2" t="s">
        <v>101</v>
      </c>
      <c r="C31" s="10">
        <f>SUM(D31:AF31)</f>
        <v>23</v>
      </c>
      <c r="D31" s="11"/>
      <c r="E31" s="11">
        <v>13</v>
      </c>
      <c r="F31" s="11">
        <v>2</v>
      </c>
      <c r="G31" s="11">
        <v>0</v>
      </c>
      <c r="H31" s="20"/>
      <c r="I31" s="11">
        <v>2</v>
      </c>
      <c r="J31" s="20"/>
      <c r="K31" s="20"/>
      <c r="L31" s="20"/>
      <c r="M31" s="20"/>
      <c r="N31" s="20"/>
      <c r="O31" s="11">
        <v>1</v>
      </c>
      <c r="P31" s="11">
        <v>2</v>
      </c>
      <c r="Q31" s="20"/>
      <c r="R31" s="20"/>
      <c r="S31" s="20"/>
      <c r="T31" s="11">
        <v>3</v>
      </c>
      <c r="U31" s="20"/>
      <c r="V31" s="20"/>
      <c r="W31" s="20"/>
      <c r="X31" s="20"/>
      <c r="Y31" s="20"/>
      <c r="Z31" s="20"/>
      <c r="AA31" s="20"/>
      <c r="AB31" s="20"/>
      <c r="AC31" s="20"/>
    </row>
    <row r="32" spans="1:32" s="15" customFormat="1" ht="46.5" customHeight="1" x14ac:dyDescent="0.4">
      <c r="A32" s="13"/>
      <c r="B32" s="17" t="s">
        <v>110</v>
      </c>
      <c r="C32" s="10">
        <f t="shared" ref="C32" si="4">SUM(D32:AF32)</f>
        <v>383</v>
      </c>
      <c r="D32" s="14">
        <v>3</v>
      </c>
      <c r="E32" s="14">
        <v>137</v>
      </c>
      <c r="F32" s="14">
        <v>45</v>
      </c>
      <c r="G32" s="14">
        <v>2</v>
      </c>
      <c r="H32" s="21"/>
      <c r="I32" s="14">
        <v>57</v>
      </c>
      <c r="J32" s="21"/>
      <c r="K32" s="21"/>
      <c r="L32" s="21"/>
      <c r="M32" s="21"/>
      <c r="N32" s="21"/>
      <c r="O32" s="14">
        <v>66</v>
      </c>
      <c r="P32" s="14">
        <v>46</v>
      </c>
      <c r="Q32" s="21"/>
      <c r="R32" s="21"/>
      <c r="S32" s="21"/>
      <c r="T32" s="11">
        <v>25</v>
      </c>
      <c r="U32" s="21"/>
      <c r="V32" s="21"/>
      <c r="W32" s="21"/>
      <c r="X32" s="21"/>
      <c r="Y32" s="21"/>
      <c r="Z32" s="21"/>
      <c r="AA32" s="21"/>
      <c r="AB32" s="21"/>
      <c r="AC32" s="21"/>
      <c r="AE32" s="15">
        <v>2</v>
      </c>
    </row>
    <row r="33" spans="1:32" s="15" customFormat="1" ht="46.5" customHeight="1" x14ac:dyDescent="0.4">
      <c r="A33" s="13"/>
      <c r="B33" s="17" t="s">
        <v>111</v>
      </c>
      <c r="C33" s="10">
        <f>SUM(D33:AF33)</f>
        <v>297</v>
      </c>
      <c r="D33" s="14">
        <v>6</v>
      </c>
      <c r="E33" s="14">
        <v>80</v>
      </c>
      <c r="F33" s="14">
        <v>48</v>
      </c>
      <c r="G33" s="14">
        <v>2</v>
      </c>
      <c r="H33" s="21"/>
      <c r="I33" s="14">
        <v>53</v>
      </c>
      <c r="J33" s="21"/>
      <c r="K33" s="21"/>
      <c r="L33" s="21"/>
      <c r="M33" s="21"/>
      <c r="N33" s="21"/>
      <c r="O33" s="14">
        <v>24</v>
      </c>
      <c r="P33" s="14">
        <v>44</v>
      </c>
      <c r="Q33" s="21"/>
      <c r="R33" s="21"/>
      <c r="S33" s="21"/>
      <c r="T33" s="14">
        <v>38</v>
      </c>
      <c r="U33" s="21"/>
      <c r="V33" s="21"/>
      <c r="W33" s="21"/>
      <c r="X33" s="21"/>
      <c r="Y33" s="21"/>
      <c r="Z33" s="21"/>
      <c r="AA33" s="21"/>
      <c r="AB33" s="21"/>
      <c r="AC33" s="21"/>
      <c r="AD33" s="15">
        <v>2</v>
      </c>
    </row>
    <row r="34" spans="1:32" s="44" customFormat="1" ht="46.5" customHeight="1" x14ac:dyDescent="0.4">
      <c r="A34" s="40"/>
      <c r="B34" s="41"/>
      <c r="C34" s="42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spans="1:32" ht="46.5" customHeight="1" x14ac:dyDescent="0.4">
      <c r="A35" s="6" t="s">
        <v>26</v>
      </c>
      <c r="B35" s="2" t="s">
        <v>101</v>
      </c>
      <c r="C35" s="10">
        <f>SUM(D35:AF35)</f>
        <v>12</v>
      </c>
      <c r="D35" s="11"/>
      <c r="E35" s="11">
        <v>0</v>
      </c>
      <c r="F35" s="20"/>
      <c r="G35" s="20"/>
      <c r="H35" s="20"/>
      <c r="I35" s="20"/>
      <c r="J35" s="20"/>
      <c r="K35" s="20"/>
      <c r="L35" s="11">
        <v>1</v>
      </c>
      <c r="M35" s="11">
        <v>4</v>
      </c>
      <c r="N35" s="20"/>
      <c r="O35" s="20"/>
      <c r="P35" s="20"/>
      <c r="Q35" s="20"/>
      <c r="R35" s="20"/>
      <c r="S35" s="11">
        <v>3</v>
      </c>
      <c r="T35" s="20"/>
      <c r="U35" s="11">
        <v>4</v>
      </c>
      <c r="V35" s="20"/>
      <c r="W35" s="20"/>
      <c r="X35" s="20"/>
      <c r="Y35" s="20"/>
      <c r="Z35" s="20"/>
      <c r="AA35" s="20"/>
      <c r="AB35" s="20"/>
      <c r="AC35" s="20"/>
    </row>
    <row r="36" spans="1:32" ht="46.5" customHeight="1" x14ac:dyDescent="0.4">
      <c r="B36" s="12" t="s">
        <v>40</v>
      </c>
      <c r="C36" s="10">
        <f>SUM(D36:AF36)</f>
        <v>429</v>
      </c>
      <c r="D36" s="11">
        <v>2</v>
      </c>
      <c r="E36" s="11">
        <v>43</v>
      </c>
      <c r="F36" s="20"/>
      <c r="G36" s="20"/>
      <c r="H36" s="20"/>
      <c r="I36" s="20"/>
      <c r="J36" s="20"/>
      <c r="K36" s="20"/>
      <c r="L36" s="11">
        <v>13</v>
      </c>
      <c r="M36" s="11">
        <v>32</v>
      </c>
      <c r="N36" s="20"/>
      <c r="O36" s="20"/>
      <c r="P36" s="20"/>
      <c r="Q36" s="20"/>
      <c r="R36" s="20"/>
      <c r="S36" s="11">
        <v>92</v>
      </c>
      <c r="T36" s="21"/>
      <c r="U36" s="11">
        <v>244</v>
      </c>
      <c r="V36" s="20"/>
      <c r="W36" s="20"/>
      <c r="X36" s="20"/>
      <c r="Y36" s="20"/>
      <c r="Z36" s="20"/>
      <c r="AA36" s="20"/>
      <c r="AB36" s="20"/>
      <c r="AC36" s="20"/>
      <c r="AD36" s="9">
        <v>2</v>
      </c>
      <c r="AF36" s="9">
        <v>1</v>
      </c>
    </row>
    <row r="37" spans="1:32" s="15" customFormat="1" ht="46.5" customHeight="1" x14ac:dyDescent="0.4">
      <c r="A37" s="13"/>
      <c r="B37" s="12" t="s">
        <v>112</v>
      </c>
      <c r="C37" s="10">
        <f>SUM(D37:AF37)</f>
        <v>259</v>
      </c>
      <c r="D37" s="14">
        <v>2</v>
      </c>
      <c r="E37" s="14">
        <v>35</v>
      </c>
      <c r="F37" s="21"/>
      <c r="G37" s="21"/>
      <c r="H37" s="21"/>
      <c r="I37" s="21"/>
      <c r="J37" s="21"/>
      <c r="K37" s="21"/>
      <c r="L37" s="14">
        <v>35</v>
      </c>
      <c r="M37" s="14">
        <v>68</v>
      </c>
      <c r="N37" s="21"/>
      <c r="O37" s="21"/>
      <c r="P37" s="21"/>
      <c r="Q37" s="21"/>
      <c r="R37" s="21"/>
      <c r="S37" s="14">
        <v>56</v>
      </c>
      <c r="T37" s="21"/>
      <c r="U37" s="14">
        <v>61</v>
      </c>
      <c r="V37" s="21"/>
      <c r="W37" s="21"/>
      <c r="X37" s="21"/>
      <c r="Y37" s="21"/>
      <c r="Z37" s="21"/>
      <c r="AA37" s="21"/>
      <c r="AB37" s="21"/>
      <c r="AC37" s="21"/>
      <c r="AD37" s="15">
        <v>2</v>
      </c>
    </row>
    <row r="38" spans="1:32" s="44" customFormat="1" ht="46.5" customHeight="1" x14ac:dyDescent="0.4">
      <c r="A38" s="40"/>
      <c r="B38" s="41"/>
      <c r="C38" s="4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spans="1:32" ht="46.5" customHeight="1" x14ac:dyDescent="0.4">
      <c r="A39" s="6" t="s">
        <v>27</v>
      </c>
      <c r="B39" s="2" t="s">
        <v>113</v>
      </c>
      <c r="C39" s="10">
        <f>SUM(D39:AF39)</f>
        <v>22</v>
      </c>
      <c r="D39" s="11"/>
      <c r="E39" s="11">
        <v>7</v>
      </c>
      <c r="F39" s="11">
        <v>1</v>
      </c>
      <c r="G39" s="11">
        <v>0</v>
      </c>
      <c r="H39" s="11">
        <v>0</v>
      </c>
      <c r="I39" s="11">
        <v>3</v>
      </c>
      <c r="J39" s="11">
        <v>1</v>
      </c>
      <c r="K39" s="11">
        <v>0</v>
      </c>
      <c r="L39" s="11">
        <v>0</v>
      </c>
      <c r="M39" s="11">
        <v>1</v>
      </c>
      <c r="N39" s="11">
        <v>0</v>
      </c>
      <c r="O39" s="11">
        <v>0</v>
      </c>
      <c r="P39" s="11">
        <v>1</v>
      </c>
      <c r="Q39" s="11">
        <v>0</v>
      </c>
      <c r="R39" s="11">
        <v>0</v>
      </c>
      <c r="S39" s="11">
        <v>2</v>
      </c>
      <c r="T39" s="11">
        <v>0</v>
      </c>
      <c r="U39" s="11">
        <v>3</v>
      </c>
      <c r="V39" s="11">
        <v>0</v>
      </c>
      <c r="W39" s="11">
        <v>0</v>
      </c>
      <c r="X39" s="11">
        <v>1</v>
      </c>
      <c r="Y39" s="11">
        <v>1</v>
      </c>
      <c r="Z39" s="11">
        <v>0</v>
      </c>
      <c r="AA39" s="11">
        <v>0</v>
      </c>
      <c r="AB39" s="11">
        <v>0</v>
      </c>
      <c r="AC39" s="11">
        <v>0</v>
      </c>
      <c r="AD39" s="9">
        <v>1</v>
      </c>
    </row>
    <row r="40" spans="1:32" s="15" customFormat="1" ht="46.5" customHeight="1" x14ac:dyDescent="0.4">
      <c r="A40" s="13"/>
      <c r="B40" s="17" t="s">
        <v>114</v>
      </c>
      <c r="C40" s="10">
        <f>SUM(D40:AF40)</f>
        <v>1960</v>
      </c>
      <c r="D40" s="14">
        <v>17</v>
      </c>
      <c r="E40" s="14">
        <v>428</v>
      </c>
      <c r="F40" s="14">
        <v>81</v>
      </c>
      <c r="G40" s="14">
        <v>4</v>
      </c>
      <c r="H40" s="14">
        <v>0</v>
      </c>
      <c r="I40" s="14">
        <v>104</v>
      </c>
      <c r="J40" s="14">
        <v>67</v>
      </c>
      <c r="K40" s="14">
        <v>0</v>
      </c>
      <c r="L40" s="14">
        <v>30</v>
      </c>
      <c r="M40" s="14">
        <v>67</v>
      </c>
      <c r="N40" s="14">
        <v>55</v>
      </c>
      <c r="O40" s="14">
        <v>84</v>
      </c>
      <c r="P40" s="14">
        <v>77</v>
      </c>
      <c r="Q40" s="14">
        <v>85</v>
      </c>
      <c r="R40" s="14">
        <v>1</v>
      </c>
      <c r="S40" s="14">
        <v>133</v>
      </c>
      <c r="T40" s="14">
        <v>53</v>
      </c>
      <c r="U40" s="14">
        <v>269</v>
      </c>
      <c r="V40" s="14">
        <v>79</v>
      </c>
      <c r="W40" s="14">
        <v>18</v>
      </c>
      <c r="X40" s="14">
        <v>66</v>
      </c>
      <c r="Y40" s="14">
        <v>123</v>
      </c>
      <c r="Z40" s="14">
        <v>47</v>
      </c>
      <c r="AA40" s="14">
        <v>10</v>
      </c>
      <c r="AB40" s="14">
        <v>9</v>
      </c>
      <c r="AC40" s="14">
        <v>45</v>
      </c>
      <c r="AD40" s="15">
        <v>5</v>
      </c>
      <c r="AE40" s="15">
        <v>2</v>
      </c>
      <c r="AF40" s="15">
        <v>1</v>
      </c>
    </row>
    <row r="41" spans="1:32" s="44" customFormat="1" ht="46.5" customHeight="1" x14ac:dyDescent="0.4">
      <c r="A41" s="40"/>
      <c r="B41" s="41"/>
      <c r="C41" s="42"/>
      <c r="D41" s="43"/>
      <c r="E41" s="45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 spans="1:32" ht="46.5" customHeight="1" x14ac:dyDescent="0.4">
      <c r="A42" s="6" t="s">
        <v>29</v>
      </c>
      <c r="B42" s="2" t="s">
        <v>113</v>
      </c>
      <c r="C42" s="10">
        <f>SUM(D42:AF42)</f>
        <v>27</v>
      </c>
      <c r="D42" s="11"/>
      <c r="E42" s="11">
        <v>8</v>
      </c>
      <c r="F42" s="11">
        <v>2</v>
      </c>
      <c r="G42" s="11">
        <v>0</v>
      </c>
      <c r="H42" s="11">
        <v>0</v>
      </c>
      <c r="I42" s="11">
        <v>3</v>
      </c>
      <c r="J42" s="11">
        <v>1</v>
      </c>
      <c r="K42" s="11">
        <v>0</v>
      </c>
      <c r="L42" s="11">
        <v>0</v>
      </c>
      <c r="M42" s="11">
        <v>1</v>
      </c>
      <c r="N42" s="11">
        <v>0</v>
      </c>
      <c r="O42" s="11">
        <v>1</v>
      </c>
      <c r="P42" s="11">
        <v>1</v>
      </c>
      <c r="Q42" s="11">
        <v>0</v>
      </c>
      <c r="R42" s="11">
        <v>1</v>
      </c>
      <c r="S42" s="11">
        <v>2</v>
      </c>
      <c r="T42" s="11">
        <v>1</v>
      </c>
      <c r="U42" s="11">
        <v>3</v>
      </c>
      <c r="V42" s="11">
        <v>1</v>
      </c>
      <c r="W42" s="11">
        <v>0</v>
      </c>
      <c r="X42" s="11">
        <v>0</v>
      </c>
      <c r="Y42" s="11">
        <v>0</v>
      </c>
      <c r="Z42" s="11">
        <v>1</v>
      </c>
      <c r="AA42" s="11">
        <v>0</v>
      </c>
      <c r="AB42" s="11">
        <v>0</v>
      </c>
      <c r="AC42" s="11">
        <v>0</v>
      </c>
      <c r="AD42" s="9">
        <v>1</v>
      </c>
    </row>
    <row r="43" spans="1:32" s="15" customFormat="1" ht="46.5" customHeight="1" x14ac:dyDescent="0.4">
      <c r="A43" s="13"/>
      <c r="B43" s="17" t="s">
        <v>115</v>
      </c>
      <c r="C43" s="10">
        <f>SUM(D43:AF43)</f>
        <v>1964</v>
      </c>
      <c r="D43" s="14">
        <v>17</v>
      </c>
      <c r="E43" s="14">
        <v>429</v>
      </c>
      <c r="F43" s="14">
        <v>83</v>
      </c>
      <c r="G43" s="14">
        <v>4</v>
      </c>
      <c r="H43" s="14">
        <v>0</v>
      </c>
      <c r="I43" s="14">
        <v>102</v>
      </c>
      <c r="J43" s="14">
        <v>66</v>
      </c>
      <c r="K43" s="14">
        <v>0</v>
      </c>
      <c r="L43" s="14">
        <v>33</v>
      </c>
      <c r="M43" s="14">
        <v>68</v>
      </c>
      <c r="N43" s="14">
        <v>56</v>
      </c>
      <c r="O43" s="14">
        <v>86</v>
      </c>
      <c r="P43" s="14">
        <v>78</v>
      </c>
      <c r="Q43" s="14">
        <v>81</v>
      </c>
      <c r="R43" s="14">
        <v>1</v>
      </c>
      <c r="S43" s="14">
        <v>132</v>
      </c>
      <c r="T43" s="14">
        <v>54</v>
      </c>
      <c r="U43" s="14">
        <v>271</v>
      </c>
      <c r="V43" s="14">
        <v>79</v>
      </c>
      <c r="W43" s="14">
        <v>19</v>
      </c>
      <c r="X43" s="14">
        <v>65</v>
      </c>
      <c r="Y43" s="14">
        <v>122</v>
      </c>
      <c r="Z43" s="14">
        <v>46</v>
      </c>
      <c r="AA43" s="14">
        <v>10</v>
      </c>
      <c r="AB43" s="14">
        <v>9</v>
      </c>
      <c r="AC43" s="14">
        <v>45</v>
      </c>
      <c r="AD43" s="15">
        <v>5</v>
      </c>
      <c r="AE43" s="15">
        <v>2</v>
      </c>
      <c r="AF43" s="15">
        <v>1</v>
      </c>
    </row>
    <row r="44" spans="1:32" s="44" customFormat="1" ht="46.5" customHeight="1" x14ac:dyDescent="0.4">
      <c r="A44" s="40"/>
      <c r="B44" s="40"/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 spans="1:32" ht="46.5" customHeight="1" x14ac:dyDescent="0.4">
      <c r="A45" s="6" t="s">
        <v>30</v>
      </c>
      <c r="B45" s="2" t="s">
        <v>116</v>
      </c>
      <c r="C45" s="10">
        <f>SUM(D45:AF45)</f>
        <v>334</v>
      </c>
      <c r="D45" s="11">
        <v>4</v>
      </c>
      <c r="E45" s="11">
        <v>88</v>
      </c>
      <c r="F45" s="11">
        <v>12</v>
      </c>
      <c r="G45" s="11">
        <v>0</v>
      </c>
      <c r="H45" s="11">
        <v>1</v>
      </c>
      <c r="I45" s="11">
        <v>25</v>
      </c>
      <c r="J45" s="11">
        <v>15</v>
      </c>
      <c r="K45" s="11">
        <v>0</v>
      </c>
      <c r="L45" s="11">
        <v>2</v>
      </c>
      <c r="M45" s="11">
        <v>8</v>
      </c>
      <c r="N45" s="11">
        <v>7</v>
      </c>
      <c r="O45" s="11">
        <v>11</v>
      </c>
      <c r="P45" s="11">
        <v>14</v>
      </c>
      <c r="Q45" s="11">
        <v>13</v>
      </c>
      <c r="R45" s="11">
        <v>1</v>
      </c>
      <c r="S45" s="11">
        <v>16</v>
      </c>
      <c r="T45" s="11">
        <v>19</v>
      </c>
      <c r="U45" s="11">
        <v>42</v>
      </c>
      <c r="V45" s="11">
        <v>18</v>
      </c>
      <c r="W45" s="11">
        <v>2</v>
      </c>
      <c r="X45" s="11">
        <v>6</v>
      </c>
      <c r="Y45" s="11">
        <v>12</v>
      </c>
      <c r="Z45" s="11">
        <v>8</v>
      </c>
      <c r="AA45" s="11">
        <v>1</v>
      </c>
      <c r="AB45" s="11">
        <v>0</v>
      </c>
      <c r="AC45" s="11">
        <v>7</v>
      </c>
      <c r="AD45" s="9">
        <v>2</v>
      </c>
    </row>
    <row r="46" spans="1:32" s="15" customFormat="1" ht="46.5" customHeight="1" x14ac:dyDescent="0.4">
      <c r="A46" s="13"/>
      <c r="B46" s="12" t="s">
        <v>117</v>
      </c>
      <c r="C46" s="10">
        <f>SUM(D46:AF46)</f>
        <v>1820</v>
      </c>
      <c r="D46" s="14">
        <v>17</v>
      </c>
      <c r="E46" s="14">
        <v>367</v>
      </c>
      <c r="F46" s="14">
        <v>79</v>
      </c>
      <c r="G46" s="14">
        <v>4</v>
      </c>
      <c r="H46" s="14">
        <v>0</v>
      </c>
      <c r="I46" s="14">
        <v>100</v>
      </c>
      <c r="J46" s="14">
        <v>63</v>
      </c>
      <c r="K46" s="14">
        <v>0</v>
      </c>
      <c r="L46" s="14">
        <v>30</v>
      </c>
      <c r="M46" s="14">
        <v>67</v>
      </c>
      <c r="N46" s="14">
        <v>51</v>
      </c>
      <c r="O46" s="14">
        <v>80</v>
      </c>
      <c r="P46" s="14">
        <v>73</v>
      </c>
      <c r="Q46" s="14">
        <v>76</v>
      </c>
      <c r="R46" s="14">
        <v>1</v>
      </c>
      <c r="S46" s="14">
        <v>128</v>
      </c>
      <c r="T46" s="14">
        <v>54</v>
      </c>
      <c r="U46" s="14">
        <v>267</v>
      </c>
      <c r="V46" s="14">
        <v>71</v>
      </c>
      <c r="W46" s="14">
        <v>15</v>
      </c>
      <c r="X46" s="14">
        <v>56</v>
      </c>
      <c r="Y46" s="14">
        <v>107</v>
      </c>
      <c r="Z46" s="14">
        <v>45</v>
      </c>
      <c r="AA46" s="14">
        <v>10</v>
      </c>
      <c r="AB46" s="14">
        <v>10</v>
      </c>
      <c r="AC46" s="14">
        <v>41</v>
      </c>
      <c r="AD46" s="15">
        <v>5</v>
      </c>
      <c r="AE46" s="15">
        <v>2</v>
      </c>
      <c r="AF46" s="15">
        <v>1</v>
      </c>
    </row>
    <row r="47" spans="1:32" s="44" customFormat="1" ht="46.5" customHeight="1" x14ac:dyDescent="0.4">
      <c r="A47" s="40"/>
      <c r="B47" s="41"/>
      <c r="C47" s="4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 spans="1:32" ht="46.5" customHeight="1" x14ac:dyDescent="0.4">
      <c r="A48" s="6" t="s">
        <v>41</v>
      </c>
      <c r="B48" s="2" t="s">
        <v>101</v>
      </c>
      <c r="C48" s="10">
        <f>SUM(D48:AF48)</f>
        <v>33</v>
      </c>
      <c r="D48" s="11">
        <v>1</v>
      </c>
      <c r="E48" s="11">
        <v>8</v>
      </c>
      <c r="F48" s="11">
        <v>0</v>
      </c>
      <c r="G48" s="11">
        <v>0</v>
      </c>
      <c r="H48" s="11">
        <v>1</v>
      </c>
      <c r="I48" s="11">
        <v>3</v>
      </c>
      <c r="J48" s="11">
        <v>2</v>
      </c>
      <c r="K48" s="11">
        <v>0</v>
      </c>
      <c r="L48" s="11">
        <v>0</v>
      </c>
      <c r="M48" s="11">
        <v>3</v>
      </c>
      <c r="N48" s="11">
        <v>0</v>
      </c>
      <c r="O48" s="11">
        <v>4</v>
      </c>
      <c r="P48" s="11">
        <v>2</v>
      </c>
      <c r="Q48" s="11">
        <v>1</v>
      </c>
      <c r="R48" s="11">
        <v>1</v>
      </c>
      <c r="S48" s="11">
        <v>2</v>
      </c>
      <c r="T48" s="11">
        <v>0</v>
      </c>
      <c r="U48" s="11">
        <v>2</v>
      </c>
      <c r="V48" s="11">
        <v>1</v>
      </c>
      <c r="W48" s="11">
        <v>0</v>
      </c>
      <c r="X48" s="11">
        <v>0</v>
      </c>
      <c r="Y48" s="11">
        <v>0</v>
      </c>
      <c r="Z48" s="11">
        <v>1</v>
      </c>
      <c r="AA48" s="11">
        <v>0</v>
      </c>
      <c r="AB48" s="11">
        <v>0</v>
      </c>
      <c r="AC48" s="11">
        <v>0</v>
      </c>
      <c r="AD48" s="9">
        <v>1</v>
      </c>
    </row>
    <row r="49" spans="1:32" s="15" customFormat="1" ht="46.5" customHeight="1" x14ac:dyDescent="0.4">
      <c r="A49" s="13"/>
      <c r="B49" s="12" t="s">
        <v>118</v>
      </c>
      <c r="C49" s="10">
        <f t="shared" ref="C49" si="5">SUM(D49:AF49)</f>
        <v>1851</v>
      </c>
      <c r="D49" s="14">
        <v>15</v>
      </c>
      <c r="E49" s="14">
        <v>397</v>
      </c>
      <c r="F49" s="14">
        <v>79</v>
      </c>
      <c r="G49" s="14">
        <v>4</v>
      </c>
      <c r="H49" s="14">
        <v>0</v>
      </c>
      <c r="I49" s="14">
        <v>94</v>
      </c>
      <c r="J49" s="14">
        <v>60</v>
      </c>
      <c r="K49" s="14">
        <v>0</v>
      </c>
      <c r="L49" s="14">
        <v>35</v>
      </c>
      <c r="M49" s="14">
        <v>76</v>
      </c>
      <c r="N49" s="14">
        <v>53</v>
      </c>
      <c r="O49" s="14">
        <v>84</v>
      </c>
      <c r="P49" s="14">
        <v>85</v>
      </c>
      <c r="Q49" s="14">
        <v>77</v>
      </c>
      <c r="R49" s="14">
        <v>1</v>
      </c>
      <c r="S49" s="14">
        <v>126</v>
      </c>
      <c r="T49" s="14">
        <v>48</v>
      </c>
      <c r="U49" s="14">
        <v>254</v>
      </c>
      <c r="V49" s="14">
        <v>65</v>
      </c>
      <c r="W49" s="14">
        <v>18</v>
      </c>
      <c r="X49" s="14">
        <v>61</v>
      </c>
      <c r="Y49" s="14">
        <v>111</v>
      </c>
      <c r="Z49" s="14">
        <v>45</v>
      </c>
      <c r="AA49" s="14">
        <v>7</v>
      </c>
      <c r="AB49" s="14">
        <v>4</v>
      </c>
      <c r="AC49" s="14">
        <v>44</v>
      </c>
      <c r="AD49" s="15">
        <v>5</v>
      </c>
      <c r="AE49" s="15">
        <v>2</v>
      </c>
      <c r="AF49" s="15">
        <v>1</v>
      </c>
    </row>
    <row r="50" spans="1:32" s="15" customFormat="1" ht="46.5" customHeight="1" x14ac:dyDescent="0.4">
      <c r="A50" s="13"/>
      <c r="B50" s="12" t="s">
        <v>119</v>
      </c>
      <c r="C50" s="10">
        <f>SUM(D50:AF50)</f>
        <v>308</v>
      </c>
      <c r="D50" s="14">
        <v>3</v>
      </c>
      <c r="E50" s="14">
        <v>64</v>
      </c>
      <c r="F50" s="14">
        <v>14</v>
      </c>
      <c r="G50" s="14">
        <v>0</v>
      </c>
      <c r="H50" s="14">
        <v>0</v>
      </c>
      <c r="I50" s="14">
        <v>15</v>
      </c>
      <c r="J50" s="14">
        <v>10</v>
      </c>
      <c r="K50" s="14">
        <v>0</v>
      </c>
      <c r="L50" s="14">
        <v>5</v>
      </c>
      <c r="M50" s="14">
        <v>14</v>
      </c>
      <c r="N50" s="14">
        <v>7</v>
      </c>
      <c r="O50" s="14">
        <v>7</v>
      </c>
      <c r="P50" s="14">
        <v>4</v>
      </c>
      <c r="Q50" s="14">
        <v>14</v>
      </c>
      <c r="R50" s="14">
        <v>0</v>
      </c>
      <c r="S50" s="14">
        <v>23</v>
      </c>
      <c r="T50" s="14">
        <v>16</v>
      </c>
      <c r="U50" s="14">
        <v>44</v>
      </c>
      <c r="V50" s="14">
        <v>18</v>
      </c>
      <c r="W50" s="14">
        <v>1</v>
      </c>
      <c r="X50" s="14">
        <v>10</v>
      </c>
      <c r="Y50" s="14">
        <v>17</v>
      </c>
      <c r="Z50" s="14">
        <v>7</v>
      </c>
      <c r="AA50" s="14">
        <v>4</v>
      </c>
      <c r="AB50" s="14">
        <v>5</v>
      </c>
      <c r="AC50" s="14">
        <v>5</v>
      </c>
      <c r="AD50" s="15">
        <v>1</v>
      </c>
    </row>
    <row r="51" spans="1:32" s="44" customFormat="1" ht="46.5" customHeight="1" x14ac:dyDescent="0.4">
      <c r="A51" s="40"/>
      <c r="B51" s="41"/>
      <c r="C51" s="4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 spans="1:32" ht="46.5" customHeight="1" x14ac:dyDescent="0.4">
      <c r="A52" s="6" t="s">
        <v>28</v>
      </c>
      <c r="B52" s="2" t="s">
        <v>101</v>
      </c>
      <c r="C52" s="10">
        <f>SUM(D52:AF52)</f>
        <v>32</v>
      </c>
      <c r="D52" s="11">
        <v>1</v>
      </c>
      <c r="E52" s="11">
        <v>8</v>
      </c>
      <c r="F52" s="11">
        <v>0</v>
      </c>
      <c r="G52" s="11">
        <v>0</v>
      </c>
      <c r="H52" s="11">
        <v>1</v>
      </c>
      <c r="I52" s="11">
        <v>2</v>
      </c>
      <c r="J52" s="11">
        <v>1</v>
      </c>
      <c r="K52" s="11">
        <v>0</v>
      </c>
      <c r="L52" s="11">
        <v>0</v>
      </c>
      <c r="M52" s="11">
        <v>3</v>
      </c>
      <c r="N52" s="11">
        <v>0</v>
      </c>
      <c r="O52" s="11">
        <v>2</v>
      </c>
      <c r="P52" s="11">
        <v>3</v>
      </c>
      <c r="Q52" s="11">
        <v>1</v>
      </c>
      <c r="R52" s="11">
        <v>1</v>
      </c>
      <c r="S52" s="11">
        <v>2</v>
      </c>
      <c r="T52" s="11">
        <v>0</v>
      </c>
      <c r="U52" s="11">
        <v>4</v>
      </c>
      <c r="V52" s="11">
        <v>1</v>
      </c>
      <c r="W52" s="11">
        <v>0</v>
      </c>
      <c r="X52" s="11">
        <v>0</v>
      </c>
      <c r="Y52" s="11">
        <v>0</v>
      </c>
      <c r="Z52" s="11">
        <v>1</v>
      </c>
      <c r="AA52" s="11">
        <v>0</v>
      </c>
      <c r="AB52" s="11">
        <v>0</v>
      </c>
      <c r="AC52" s="11">
        <v>0</v>
      </c>
      <c r="AD52" s="9">
        <v>1</v>
      </c>
    </row>
    <row r="53" spans="1:32" s="15" customFormat="1" ht="46.5" customHeight="1" x14ac:dyDescent="0.4">
      <c r="A53" s="13"/>
      <c r="B53" s="12" t="s">
        <v>120</v>
      </c>
      <c r="C53" s="10">
        <f>SUM(D53:AF53)</f>
        <v>1974</v>
      </c>
      <c r="D53" s="14">
        <v>15</v>
      </c>
      <c r="E53" s="14">
        <v>423</v>
      </c>
      <c r="F53" s="14">
        <v>82</v>
      </c>
      <c r="G53" s="14">
        <v>4</v>
      </c>
      <c r="H53" s="14">
        <v>0</v>
      </c>
      <c r="I53" s="14">
        <v>108</v>
      </c>
      <c r="J53" s="14">
        <v>63</v>
      </c>
      <c r="K53" s="14">
        <v>0</v>
      </c>
      <c r="L53" s="14">
        <v>32</v>
      </c>
      <c r="M53" s="14">
        <v>77</v>
      </c>
      <c r="N53" s="14">
        <v>55</v>
      </c>
      <c r="O53" s="14">
        <v>85</v>
      </c>
      <c r="P53" s="14">
        <v>77</v>
      </c>
      <c r="Q53" s="14">
        <v>81</v>
      </c>
      <c r="R53" s="14">
        <v>1</v>
      </c>
      <c r="S53" s="14">
        <v>132</v>
      </c>
      <c r="T53" s="14">
        <v>54</v>
      </c>
      <c r="U53" s="14">
        <v>273</v>
      </c>
      <c r="V53" s="14">
        <v>78</v>
      </c>
      <c r="W53" s="14">
        <v>17</v>
      </c>
      <c r="X53" s="14">
        <v>68</v>
      </c>
      <c r="Y53" s="14">
        <v>124</v>
      </c>
      <c r="Z53" s="14">
        <v>49</v>
      </c>
      <c r="AA53" s="14">
        <v>10</v>
      </c>
      <c r="AB53" s="14">
        <v>10</v>
      </c>
      <c r="AC53" s="14">
        <v>47</v>
      </c>
      <c r="AD53" s="15">
        <v>6</v>
      </c>
      <c r="AE53" s="15">
        <v>2</v>
      </c>
      <c r="AF53" s="15">
        <v>1</v>
      </c>
    </row>
    <row r="54" spans="1:32" s="44" customFormat="1" ht="46.5" customHeight="1" x14ac:dyDescent="0.4">
      <c r="A54" s="40"/>
      <c r="B54" s="41"/>
      <c r="C54" s="42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 spans="1:32" ht="39" customHeight="1" x14ac:dyDescent="0.4">
      <c r="A55" s="22" t="s">
        <v>33</v>
      </c>
      <c r="C55" s="10">
        <f>SUM(D55:AF55)</f>
        <v>1723</v>
      </c>
      <c r="D55" s="11"/>
      <c r="E55" s="11"/>
      <c r="F55" s="11">
        <v>149</v>
      </c>
      <c r="G55" s="11">
        <v>0</v>
      </c>
      <c r="H55" s="11">
        <v>1</v>
      </c>
      <c r="I55" s="11">
        <v>176</v>
      </c>
      <c r="J55" s="11">
        <v>120</v>
      </c>
      <c r="K55" s="11">
        <v>4</v>
      </c>
      <c r="L55" s="11">
        <v>17</v>
      </c>
      <c r="M55" s="11">
        <v>51</v>
      </c>
      <c r="N55" s="11">
        <v>41</v>
      </c>
      <c r="O55" s="11">
        <v>76</v>
      </c>
      <c r="P55" s="11">
        <v>43</v>
      </c>
      <c r="Q55" s="11">
        <v>64</v>
      </c>
      <c r="R55" s="11">
        <v>1</v>
      </c>
      <c r="S55" s="11">
        <v>173</v>
      </c>
      <c r="T55" s="11">
        <v>262</v>
      </c>
      <c r="U55" s="11">
        <v>304</v>
      </c>
      <c r="V55" s="11">
        <v>65</v>
      </c>
      <c r="W55" s="11">
        <v>16</v>
      </c>
      <c r="X55" s="11">
        <v>29</v>
      </c>
      <c r="Y55" s="11">
        <v>46</v>
      </c>
      <c r="Z55" s="11">
        <v>37</v>
      </c>
      <c r="AA55" s="11">
        <v>11</v>
      </c>
      <c r="AB55" s="11">
        <v>1</v>
      </c>
      <c r="AC55" s="11">
        <v>36</v>
      </c>
    </row>
    <row r="56" spans="1:32" ht="39" customHeight="1" x14ac:dyDescent="0.4">
      <c r="A56" s="22" t="s">
        <v>34</v>
      </c>
      <c r="B56" s="9"/>
      <c r="C56" s="11">
        <f>SUM(D56:AF56)</f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32" ht="39" customHeight="1" x14ac:dyDescent="0.4">
      <c r="A57" s="22"/>
      <c r="B57" s="23" t="s">
        <v>42</v>
      </c>
      <c r="C57" s="24">
        <f>C56/C55</f>
        <v>0</v>
      </c>
      <c r="F57" s="25">
        <f>F56/F55</f>
        <v>0</v>
      </c>
      <c r="G57" s="25" t="e">
        <f>G56/G55</f>
        <v>#DIV/0!</v>
      </c>
      <c r="H57" s="25">
        <f>H56/H55</f>
        <v>0</v>
      </c>
      <c r="I57" s="25">
        <f t="shared" ref="I57:AC57" si="6">I56/I55</f>
        <v>0</v>
      </c>
      <c r="J57" s="25">
        <f t="shared" si="6"/>
        <v>0</v>
      </c>
      <c r="K57" s="25">
        <f t="shared" si="6"/>
        <v>0</v>
      </c>
      <c r="L57" s="25">
        <f t="shared" si="6"/>
        <v>0</v>
      </c>
      <c r="M57" s="25">
        <f t="shared" si="6"/>
        <v>0</v>
      </c>
      <c r="N57" s="25">
        <f t="shared" si="6"/>
        <v>0</v>
      </c>
      <c r="O57" s="25">
        <f t="shared" si="6"/>
        <v>0</v>
      </c>
      <c r="P57" s="25">
        <f t="shared" si="6"/>
        <v>0</v>
      </c>
      <c r="Q57" s="25">
        <f t="shared" si="6"/>
        <v>0</v>
      </c>
      <c r="R57" s="25">
        <f t="shared" si="6"/>
        <v>0</v>
      </c>
      <c r="S57" s="25">
        <f t="shared" si="6"/>
        <v>0</v>
      </c>
      <c r="T57" s="25">
        <f t="shared" si="6"/>
        <v>0</v>
      </c>
      <c r="U57" s="25">
        <f t="shared" si="6"/>
        <v>0</v>
      </c>
      <c r="V57" s="25">
        <f t="shared" si="6"/>
        <v>0</v>
      </c>
      <c r="W57" s="25">
        <f t="shared" si="6"/>
        <v>0</v>
      </c>
      <c r="X57" s="25">
        <f t="shared" si="6"/>
        <v>0</v>
      </c>
      <c r="Y57" s="25">
        <f t="shared" si="6"/>
        <v>0</v>
      </c>
      <c r="Z57" s="25">
        <f t="shared" si="6"/>
        <v>0</v>
      </c>
      <c r="AA57" s="25">
        <f t="shared" si="6"/>
        <v>0</v>
      </c>
      <c r="AB57" s="25">
        <f t="shared" si="6"/>
        <v>0</v>
      </c>
      <c r="AC57" s="25">
        <f t="shared" si="6"/>
        <v>0</v>
      </c>
    </row>
    <row r="58" spans="1:32" s="15" customFormat="1" ht="39" customHeight="1" x14ac:dyDescent="0.4">
      <c r="A58" s="26" t="s">
        <v>31</v>
      </c>
      <c r="C58" s="14">
        <f>SUM(D58:AF58)</f>
        <v>4903</v>
      </c>
      <c r="D58" s="27"/>
      <c r="E58" s="27"/>
      <c r="F58" s="14">
        <v>305</v>
      </c>
      <c r="G58" s="14">
        <v>12</v>
      </c>
      <c r="H58" s="14">
        <v>1</v>
      </c>
      <c r="I58" s="14">
        <v>381</v>
      </c>
      <c r="J58" s="14">
        <v>275</v>
      </c>
      <c r="K58" s="14">
        <v>2</v>
      </c>
      <c r="L58" s="14">
        <v>80</v>
      </c>
      <c r="M58" s="14">
        <v>238</v>
      </c>
      <c r="N58" s="14">
        <v>180</v>
      </c>
      <c r="O58" s="14">
        <v>263</v>
      </c>
      <c r="P58" s="14">
        <v>221</v>
      </c>
      <c r="Q58" s="14">
        <v>258</v>
      </c>
      <c r="R58" s="14">
        <v>1</v>
      </c>
      <c r="S58" s="14">
        <v>475</v>
      </c>
      <c r="T58" s="14">
        <v>216</v>
      </c>
      <c r="U58" s="14">
        <v>896</v>
      </c>
      <c r="V58" s="14">
        <v>253</v>
      </c>
      <c r="W58" s="14">
        <v>70</v>
      </c>
      <c r="X58" s="14">
        <v>172</v>
      </c>
      <c r="Y58" s="14">
        <f>74+176</f>
        <v>250</v>
      </c>
      <c r="Z58" s="14">
        <v>148</v>
      </c>
      <c r="AA58" s="14">
        <v>54</v>
      </c>
      <c r="AB58" s="14">
        <v>18</v>
      </c>
      <c r="AC58" s="14">
        <v>134</v>
      </c>
    </row>
    <row r="59" spans="1:32" s="15" customFormat="1" ht="39" customHeight="1" x14ac:dyDescent="0.4">
      <c r="A59" s="26" t="s">
        <v>32</v>
      </c>
      <c r="C59" s="14">
        <f>SUM(D59:AF59)</f>
        <v>0</v>
      </c>
      <c r="D59" s="14"/>
      <c r="E59" s="27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32" s="15" customFormat="1" ht="39" customHeight="1" x14ac:dyDescent="0.4">
      <c r="A60" s="13"/>
      <c r="B60" s="28" t="s">
        <v>43</v>
      </c>
      <c r="C60" s="29">
        <f>C59/C58</f>
        <v>0</v>
      </c>
      <c r="D60" s="27"/>
      <c r="E60" s="27"/>
      <c r="F60" s="30">
        <f>F59/F58</f>
        <v>0</v>
      </c>
      <c r="G60" s="30">
        <f>G59/G58</f>
        <v>0</v>
      </c>
      <c r="H60" s="30">
        <f>H59/H58</f>
        <v>0</v>
      </c>
      <c r="I60" s="30">
        <f t="shared" ref="I60:AC60" si="7">I59/I58</f>
        <v>0</v>
      </c>
      <c r="J60" s="30">
        <f t="shared" si="7"/>
        <v>0</v>
      </c>
      <c r="K60" s="30">
        <f t="shared" si="7"/>
        <v>0</v>
      </c>
      <c r="L60" s="30">
        <f t="shared" si="7"/>
        <v>0</v>
      </c>
      <c r="M60" s="30">
        <f t="shared" si="7"/>
        <v>0</v>
      </c>
      <c r="N60" s="30">
        <f t="shared" si="7"/>
        <v>0</v>
      </c>
      <c r="O60" s="30">
        <f t="shared" si="7"/>
        <v>0</v>
      </c>
      <c r="P60" s="30">
        <f t="shared" si="7"/>
        <v>0</v>
      </c>
      <c r="Q60" s="30">
        <f t="shared" si="7"/>
        <v>0</v>
      </c>
      <c r="R60" s="30">
        <f t="shared" si="7"/>
        <v>0</v>
      </c>
      <c r="S60" s="30">
        <f t="shared" si="7"/>
        <v>0</v>
      </c>
      <c r="T60" s="30">
        <f t="shared" si="7"/>
        <v>0</v>
      </c>
      <c r="U60" s="30">
        <f t="shared" si="7"/>
        <v>0</v>
      </c>
      <c r="V60" s="30">
        <f t="shared" si="7"/>
        <v>0</v>
      </c>
      <c r="W60" s="30">
        <f t="shared" si="7"/>
        <v>0</v>
      </c>
      <c r="X60" s="30">
        <f t="shared" si="7"/>
        <v>0</v>
      </c>
      <c r="Y60" s="30">
        <f t="shared" si="7"/>
        <v>0</v>
      </c>
      <c r="Z60" s="30">
        <f t="shared" si="7"/>
        <v>0</v>
      </c>
      <c r="AA60" s="30">
        <f t="shared" si="7"/>
        <v>0</v>
      </c>
      <c r="AB60" s="30">
        <f t="shared" si="7"/>
        <v>0</v>
      </c>
      <c r="AC60" s="30">
        <f t="shared" si="7"/>
        <v>0</v>
      </c>
    </row>
    <row r="61" spans="1:32" s="35" customFormat="1" ht="39" customHeight="1" x14ac:dyDescent="0.4">
      <c r="A61" s="31" t="s">
        <v>35</v>
      </c>
      <c r="B61" s="32" t="s">
        <v>138</v>
      </c>
      <c r="C61" s="33">
        <f>SUM(F61:AC61)</f>
        <v>9180</v>
      </c>
      <c r="D61" s="34"/>
      <c r="E61" s="34"/>
      <c r="F61" s="34">
        <f>717-7</f>
        <v>710</v>
      </c>
      <c r="G61" s="34">
        <v>16</v>
      </c>
      <c r="H61" s="34">
        <v>2</v>
      </c>
      <c r="I61" s="34">
        <f>826-12</f>
        <v>814</v>
      </c>
      <c r="J61" s="34">
        <f>543-6</f>
        <v>537</v>
      </c>
      <c r="K61" s="34">
        <v>6</v>
      </c>
      <c r="L61" s="34">
        <v>114</v>
      </c>
      <c r="M61" s="34">
        <f>394-4</f>
        <v>390</v>
      </c>
      <c r="N61" s="34">
        <f>256-1</f>
        <v>255</v>
      </c>
      <c r="O61" s="34">
        <f>406-3</f>
        <v>403</v>
      </c>
      <c r="P61" s="34">
        <f>328-1</f>
        <v>327</v>
      </c>
      <c r="Q61" s="34">
        <v>379</v>
      </c>
      <c r="R61" s="34">
        <v>2</v>
      </c>
      <c r="S61" s="34">
        <f>953-10</f>
        <v>943</v>
      </c>
      <c r="T61" s="34">
        <f>803-12</f>
        <v>791</v>
      </c>
      <c r="U61" s="34">
        <f>1694-11</f>
        <v>1683</v>
      </c>
      <c r="V61" s="34">
        <f>439-6</f>
        <v>433</v>
      </c>
      <c r="W61" s="34">
        <f>121-1</f>
        <v>120</v>
      </c>
      <c r="X61" s="34">
        <f>267-4</f>
        <v>263</v>
      </c>
      <c r="Y61" s="34">
        <f>109+271-2</f>
        <v>378</v>
      </c>
      <c r="Z61" s="34">
        <f>254-3</f>
        <v>251</v>
      </c>
      <c r="AA61" s="34">
        <v>92</v>
      </c>
      <c r="AB61" s="34">
        <v>29</v>
      </c>
      <c r="AC61" s="34">
        <f>245-3</f>
        <v>242</v>
      </c>
    </row>
    <row r="62" spans="1:32" s="35" customFormat="1" ht="39" customHeight="1" x14ac:dyDescent="0.4">
      <c r="A62" s="31" t="s">
        <v>36</v>
      </c>
      <c r="C62" s="34">
        <f>SUM(D62:AF62)</f>
        <v>2613</v>
      </c>
      <c r="D62" s="34">
        <v>22</v>
      </c>
      <c r="E62" s="34">
        <v>570</v>
      </c>
      <c r="F62" s="36">
        <v>340</v>
      </c>
      <c r="G62" s="36"/>
      <c r="H62" s="36"/>
      <c r="I62" s="36"/>
      <c r="J62" s="36"/>
      <c r="K62" s="36"/>
      <c r="L62" s="36"/>
      <c r="M62" s="36">
        <v>162</v>
      </c>
      <c r="N62" s="36"/>
      <c r="O62" s="36">
        <v>391</v>
      </c>
      <c r="P62" s="36"/>
      <c r="Q62" s="36"/>
      <c r="R62" s="36"/>
      <c r="S62" s="36">
        <v>260</v>
      </c>
      <c r="T62" s="36"/>
      <c r="U62" s="36">
        <v>358</v>
      </c>
      <c r="V62" s="36">
        <v>109</v>
      </c>
      <c r="W62" s="36"/>
      <c r="X62" s="36">
        <v>102</v>
      </c>
      <c r="Y62" s="36">
        <v>142</v>
      </c>
      <c r="Z62" s="36">
        <v>62</v>
      </c>
      <c r="AA62" s="36"/>
      <c r="AB62" s="36"/>
      <c r="AC62" s="36">
        <v>84</v>
      </c>
      <c r="AD62" s="35">
        <v>8</v>
      </c>
      <c r="AE62" s="35">
        <v>2</v>
      </c>
      <c r="AF62" s="35">
        <v>1</v>
      </c>
    </row>
    <row r="63" spans="1:32" s="39" customFormat="1" ht="39" customHeight="1" x14ac:dyDescent="0.4">
      <c r="B63" s="32" t="s">
        <v>37</v>
      </c>
      <c r="C63" s="37">
        <f>C62/C61</f>
        <v>0.28464052287581698</v>
      </c>
      <c r="D63" s="33"/>
      <c r="E63" s="33"/>
      <c r="F63" s="38">
        <f>F62/F61</f>
        <v>0.47887323943661969</v>
      </c>
      <c r="G63" s="38">
        <f>G62/G61</f>
        <v>0</v>
      </c>
      <c r="H63" s="38">
        <f>H62/H61</f>
        <v>0</v>
      </c>
      <c r="I63" s="38">
        <f t="shared" ref="I63:AC63" si="8">I62/I61</f>
        <v>0</v>
      </c>
      <c r="J63" s="38">
        <f t="shared" si="8"/>
        <v>0</v>
      </c>
      <c r="K63" s="38">
        <f t="shared" si="8"/>
        <v>0</v>
      </c>
      <c r="L63" s="38">
        <f>L62/L61</f>
        <v>0</v>
      </c>
      <c r="M63" s="38">
        <f t="shared" si="8"/>
        <v>0.41538461538461541</v>
      </c>
      <c r="N63" s="38">
        <f t="shared" si="8"/>
        <v>0</v>
      </c>
      <c r="O63" s="38">
        <f t="shared" si="8"/>
        <v>0.97022332506203479</v>
      </c>
      <c r="P63" s="38">
        <f t="shared" si="8"/>
        <v>0</v>
      </c>
      <c r="Q63" s="38">
        <f t="shared" si="8"/>
        <v>0</v>
      </c>
      <c r="R63" s="38">
        <f t="shared" si="8"/>
        <v>0</v>
      </c>
      <c r="S63" s="38">
        <f t="shared" si="8"/>
        <v>0.27571580063626722</v>
      </c>
      <c r="T63" s="38">
        <f t="shared" si="8"/>
        <v>0</v>
      </c>
      <c r="U63" s="38">
        <f t="shared" si="8"/>
        <v>0.21271538918597743</v>
      </c>
      <c r="V63" s="38">
        <f t="shared" si="8"/>
        <v>0.25173210161662818</v>
      </c>
      <c r="W63" s="38">
        <f t="shared" si="8"/>
        <v>0</v>
      </c>
      <c r="X63" s="38">
        <f t="shared" si="8"/>
        <v>0.38783269961977185</v>
      </c>
      <c r="Y63" s="38">
        <f t="shared" si="8"/>
        <v>0.37566137566137564</v>
      </c>
      <c r="Z63" s="38">
        <f t="shared" si="8"/>
        <v>0.24701195219123506</v>
      </c>
      <c r="AA63" s="38">
        <f t="shared" si="8"/>
        <v>0</v>
      </c>
      <c r="AB63" s="38">
        <f t="shared" si="8"/>
        <v>0</v>
      </c>
      <c r="AC63" s="38">
        <f t="shared" si="8"/>
        <v>0.34710743801652894</v>
      </c>
    </row>
  </sheetData>
  <printOptions gridLines="1"/>
  <pageMargins left="0.7" right="0.7" top="0.75" bottom="0.75" header="0.3" footer="0.3"/>
  <pageSetup paperSize="5" scale="21" fitToHeight="0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63"/>
  <sheetViews>
    <sheetView zoomScale="40" zoomScaleNormal="40" workbookViewId="0">
      <pane xSplit="9" ySplit="12" topLeftCell="J56" activePane="bottomRight" state="frozen"/>
      <selection pane="topRight" activeCell="J1" sqref="J1"/>
      <selection pane="bottomLeft" activeCell="A13" sqref="A13"/>
      <selection pane="bottomRight" activeCell="D24" sqref="D24"/>
    </sheetView>
  </sheetViews>
  <sheetFormatPr defaultRowHeight="36.75" customHeight="1" x14ac:dyDescent="0.4"/>
  <cols>
    <col min="1" max="1" width="48.42578125" style="6" bestFit="1" customWidth="1"/>
    <col min="2" max="2" width="76.28515625" style="2" customWidth="1"/>
    <col min="3" max="3" width="19.140625" style="3" bestFit="1" customWidth="1"/>
    <col min="4" max="27" width="20.85546875" style="7" customWidth="1"/>
    <col min="28" max="28" width="27" style="7" bestFit="1" customWidth="1"/>
    <col min="29" max="29" width="20.85546875" style="7" customWidth="1"/>
    <col min="30" max="32" width="20.85546875" style="9" customWidth="1"/>
    <col min="33" max="261" width="9.140625" style="9"/>
    <col min="262" max="262" width="48.42578125" style="9" bestFit="1" customWidth="1"/>
    <col min="263" max="263" width="71.7109375" style="9" customWidth="1"/>
    <col min="264" max="264" width="19.140625" style="9" bestFit="1" customWidth="1"/>
    <col min="265" max="288" width="20.85546875" style="9" customWidth="1"/>
    <col min="289" max="517" width="9.140625" style="9"/>
    <col min="518" max="518" width="48.42578125" style="9" bestFit="1" customWidth="1"/>
    <col min="519" max="519" width="71.7109375" style="9" customWidth="1"/>
    <col min="520" max="520" width="19.140625" style="9" bestFit="1" customWidth="1"/>
    <col min="521" max="544" width="20.85546875" style="9" customWidth="1"/>
    <col min="545" max="773" width="9.140625" style="9"/>
    <col min="774" max="774" width="48.42578125" style="9" bestFit="1" customWidth="1"/>
    <col min="775" max="775" width="71.7109375" style="9" customWidth="1"/>
    <col min="776" max="776" width="19.140625" style="9" bestFit="1" customWidth="1"/>
    <col min="777" max="800" width="20.85546875" style="9" customWidth="1"/>
    <col min="801" max="1029" width="9.140625" style="9"/>
    <col min="1030" max="1030" width="48.42578125" style="9" bestFit="1" customWidth="1"/>
    <col min="1031" max="1031" width="71.7109375" style="9" customWidth="1"/>
    <col min="1032" max="1032" width="19.140625" style="9" bestFit="1" customWidth="1"/>
    <col min="1033" max="1056" width="20.85546875" style="9" customWidth="1"/>
    <col min="1057" max="1285" width="9.140625" style="9"/>
    <col min="1286" max="1286" width="48.42578125" style="9" bestFit="1" customWidth="1"/>
    <col min="1287" max="1287" width="71.7109375" style="9" customWidth="1"/>
    <col min="1288" max="1288" width="19.140625" style="9" bestFit="1" customWidth="1"/>
    <col min="1289" max="1312" width="20.85546875" style="9" customWidth="1"/>
    <col min="1313" max="1541" width="9.140625" style="9"/>
    <col min="1542" max="1542" width="48.42578125" style="9" bestFit="1" customWidth="1"/>
    <col min="1543" max="1543" width="71.7109375" style="9" customWidth="1"/>
    <col min="1544" max="1544" width="19.140625" style="9" bestFit="1" customWidth="1"/>
    <col min="1545" max="1568" width="20.85546875" style="9" customWidth="1"/>
    <col min="1569" max="1797" width="9.140625" style="9"/>
    <col min="1798" max="1798" width="48.42578125" style="9" bestFit="1" customWidth="1"/>
    <col min="1799" max="1799" width="71.7109375" style="9" customWidth="1"/>
    <col min="1800" max="1800" width="19.140625" style="9" bestFit="1" customWidth="1"/>
    <col min="1801" max="1824" width="20.85546875" style="9" customWidth="1"/>
    <col min="1825" max="2053" width="9.140625" style="9"/>
    <col min="2054" max="2054" width="48.42578125" style="9" bestFit="1" customWidth="1"/>
    <col min="2055" max="2055" width="71.7109375" style="9" customWidth="1"/>
    <col min="2056" max="2056" width="19.140625" style="9" bestFit="1" customWidth="1"/>
    <col min="2057" max="2080" width="20.85546875" style="9" customWidth="1"/>
    <col min="2081" max="2309" width="9.140625" style="9"/>
    <col min="2310" max="2310" width="48.42578125" style="9" bestFit="1" customWidth="1"/>
    <col min="2311" max="2311" width="71.7109375" style="9" customWidth="1"/>
    <col min="2312" max="2312" width="19.140625" style="9" bestFit="1" customWidth="1"/>
    <col min="2313" max="2336" width="20.85546875" style="9" customWidth="1"/>
    <col min="2337" max="2565" width="9.140625" style="9"/>
    <col min="2566" max="2566" width="48.42578125" style="9" bestFit="1" customWidth="1"/>
    <col min="2567" max="2567" width="71.7109375" style="9" customWidth="1"/>
    <col min="2568" max="2568" width="19.140625" style="9" bestFit="1" customWidth="1"/>
    <col min="2569" max="2592" width="20.85546875" style="9" customWidth="1"/>
    <col min="2593" max="2821" width="9.140625" style="9"/>
    <col min="2822" max="2822" width="48.42578125" style="9" bestFit="1" customWidth="1"/>
    <col min="2823" max="2823" width="71.7109375" style="9" customWidth="1"/>
    <col min="2824" max="2824" width="19.140625" style="9" bestFit="1" customWidth="1"/>
    <col min="2825" max="2848" width="20.85546875" style="9" customWidth="1"/>
    <col min="2849" max="3077" width="9.140625" style="9"/>
    <col min="3078" max="3078" width="48.42578125" style="9" bestFit="1" customWidth="1"/>
    <col min="3079" max="3079" width="71.7109375" style="9" customWidth="1"/>
    <col min="3080" max="3080" width="19.140625" style="9" bestFit="1" customWidth="1"/>
    <col min="3081" max="3104" width="20.85546875" style="9" customWidth="1"/>
    <col min="3105" max="3333" width="9.140625" style="9"/>
    <col min="3334" max="3334" width="48.42578125" style="9" bestFit="1" customWidth="1"/>
    <col min="3335" max="3335" width="71.7109375" style="9" customWidth="1"/>
    <col min="3336" max="3336" width="19.140625" style="9" bestFit="1" customWidth="1"/>
    <col min="3337" max="3360" width="20.85546875" style="9" customWidth="1"/>
    <col min="3361" max="3589" width="9.140625" style="9"/>
    <col min="3590" max="3590" width="48.42578125" style="9" bestFit="1" customWidth="1"/>
    <col min="3591" max="3591" width="71.7109375" style="9" customWidth="1"/>
    <col min="3592" max="3592" width="19.140625" style="9" bestFit="1" customWidth="1"/>
    <col min="3593" max="3616" width="20.85546875" style="9" customWidth="1"/>
    <col min="3617" max="3845" width="9.140625" style="9"/>
    <col min="3846" max="3846" width="48.42578125" style="9" bestFit="1" customWidth="1"/>
    <col min="3847" max="3847" width="71.7109375" style="9" customWidth="1"/>
    <col min="3848" max="3848" width="19.140625" style="9" bestFit="1" customWidth="1"/>
    <col min="3849" max="3872" width="20.85546875" style="9" customWidth="1"/>
    <col min="3873" max="4101" width="9.140625" style="9"/>
    <col min="4102" max="4102" width="48.42578125" style="9" bestFit="1" customWidth="1"/>
    <col min="4103" max="4103" width="71.7109375" style="9" customWidth="1"/>
    <col min="4104" max="4104" width="19.140625" style="9" bestFit="1" customWidth="1"/>
    <col min="4105" max="4128" width="20.85546875" style="9" customWidth="1"/>
    <col min="4129" max="4357" width="9.140625" style="9"/>
    <col min="4358" max="4358" width="48.42578125" style="9" bestFit="1" customWidth="1"/>
    <col min="4359" max="4359" width="71.7109375" style="9" customWidth="1"/>
    <col min="4360" max="4360" width="19.140625" style="9" bestFit="1" customWidth="1"/>
    <col min="4361" max="4384" width="20.85546875" style="9" customWidth="1"/>
    <col min="4385" max="4613" width="9.140625" style="9"/>
    <col min="4614" max="4614" width="48.42578125" style="9" bestFit="1" customWidth="1"/>
    <col min="4615" max="4615" width="71.7109375" style="9" customWidth="1"/>
    <col min="4616" max="4616" width="19.140625" style="9" bestFit="1" customWidth="1"/>
    <col min="4617" max="4640" width="20.85546875" style="9" customWidth="1"/>
    <col min="4641" max="4869" width="9.140625" style="9"/>
    <col min="4870" max="4870" width="48.42578125" style="9" bestFit="1" customWidth="1"/>
    <col min="4871" max="4871" width="71.7109375" style="9" customWidth="1"/>
    <col min="4872" max="4872" width="19.140625" style="9" bestFit="1" customWidth="1"/>
    <col min="4873" max="4896" width="20.85546875" style="9" customWidth="1"/>
    <col min="4897" max="5125" width="9.140625" style="9"/>
    <col min="5126" max="5126" width="48.42578125" style="9" bestFit="1" customWidth="1"/>
    <col min="5127" max="5127" width="71.7109375" style="9" customWidth="1"/>
    <col min="5128" max="5128" width="19.140625" style="9" bestFit="1" customWidth="1"/>
    <col min="5129" max="5152" width="20.85546875" style="9" customWidth="1"/>
    <col min="5153" max="5381" width="9.140625" style="9"/>
    <col min="5382" max="5382" width="48.42578125" style="9" bestFit="1" customWidth="1"/>
    <col min="5383" max="5383" width="71.7109375" style="9" customWidth="1"/>
    <col min="5384" max="5384" width="19.140625" style="9" bestFit="1" customWidth="1"/>
    <col min="5385" max="5408" width="20.85546875" style="9" customWidth="1"/>
    <col min="5409" max="5637" width="9.140625" style="9"/>
    <col min="5638" max="5638" width="48.42578125" style="9" bestFit="1" customWidth="1"/>
    <col min="5639" max="5639" width="71.7109375" style="9" customWidth="1"/>
    <col min="5640" max="5640" width="19.140625" style="9" bestFit="1" customWidth="1"/>
    <col min="5641" max="5664" width="20.85546875" style="9" customWidth="1"/>
    <col min="5665" max="5893" width="9.140625" style="9"/>
    <col min="5894" max="5894" width="48.42578125" style="9" bestFit="1" customWidth="1"/>
    <col min="5895" max="5895" width="71.7109375" style="9" customWidth="1"/>
    <col min="5896" max="5896" width="19.140625" style="9" bestFit="1" customWidth="1"/>
    <col min="5897" max="5920" width="20.85546875" style="9" customWidth="1"/>
    <col min="5921" max="6149" width="9.140625" style="9"/>
    <col min="6150" max="6150" width="48.42578125" style="9" bestFit="1" customWidth="1"/>
    <col min="6151" max="6151" width="71.7109375" style="9" customWidth="1"/>
    <col min="6152" max="6152" width="19.140625" style="9" bestFit="1" customWidth="1"/>
    <col min="6153" max="6176" width="20.85546875" style="9" customWidth="1"/>
    <col min="6177" max="6405" width="9.140625" style="9"/>
    <col min="6406" max="6406" width="48.42578125" style="9" bestFit="1" customWidth="1"/>
    <col min="6407" max="6407" width="71.7109375" style="9" customWidth="1"/>
    <col min="6408" max="6408" width="19.140625" style="9" bestFit="1" customWidth="1"/>
    <col min="6409" max="6432" width="20.85546875" style="9" customWidth="1"/>
    <col min="6433" max="6661" width="9.140625" style="9"/>
    <col min="6662" max="6662" width="48.42578125" style="9" bestFit="1" customWidth="1"/>
    <col min="6663" max="6663" width="71.7109375" style="9" customWidth="1"/>
    <col min="6664" max="6664" width="19.140625" style="9" bestFit="1" customWidth="1"/>
    <col min="6665" max="6688" width="20.85546875" style="9" customWidth="1"/>
    <col min="6689" max="6917" width="9.140625" style="9"/>
    <col min="6918" max="6918" width="48.42578125" style="9" bestFit="1" customWidth="1"/>
    <col min="6919" max="6919" width="71.7109375" style="9" customWidth="1"/>
    <col min="6920" max="6920" width="19.140625" style="9" bestFit="1" customWidth="1"/>
    <col min="6921" max="6944" width="20.85546875" style="9" customWidth="1"/>
    <col min="6945" max="7173" width="9.140625" style="9"/>
    <col min="7174" max="7174" width="48.42578125" style="9" bestFit="1" customWidth="1"/>
    <col min="7175" max="7175" width="71.7109375" style="9" customWidth="1"/>
    <col min="7176" max="7176" width="19.140625" style="9" bestFit="1" customWidth="1"/>
    <col min="7177" max="7200" width="20.85546875" style="9" customWidth="1"/>
    <col min="7201" max="7429" width="9.140625" style="9"/>
    <col min="7430" max="7430" width="48.42578125" style="9" bestFit="1" customWidth="1"/>
    <col min="7431" max="7431" width="71.7109375" style="9" customWidth="1"/>
    <col min="7432" max="7432" width="19.140625" style="9" bestFit="1" customWidth="1"/>
    <col min="7433" max="7456" width="20.85546875" style="9" customWidth="1"/>
    <col min="7457" max="7685" width="9.140625" style="9"/>
    <col min="7686" max="7686" width="48.42578125" style="9" bestFit="1" customWidth="1"/>
    <col min="7687" max="7687" width="71.7109375" style="9" customWidth="1"/>
    <col min="7688" max="7688" width="19.140625" style="9" bestFit="1" customWidth="1"/>
    <col min="7689" max="7712" width="20.85546875" style="9" customWidth="1"/>
    <col min="7713" max="7941" width="9.140625" style="9"/>
    <col min="7942" max="7942" width="48.42578125" style="9" bestFit="1" customWidth="1"/>
    <col min="7943" max="7943" width="71.7109375" style="9" customWidth="1"/>
    <col min="7944" max="7944" width="19.140625" style="9" bestFit="1" customWidth="1"/>
    <col min="7945" max="7968" width="20.85546875" style="9" customWidth="1"/>
    <col min="7969" max="8197" width="9.140625" style="9"/>
    <col min="8198" max="8198" width="48.42578125" style="9" bestFit="1" customWidth="1"/>
    <col min="8199" max="8199" width="71.7109375" style="9" customWidth="1"/>
    <col min="8200" max="8200" width="19.140625" style="9" bestFit="1" customWidth="1"/>
    <col min="8201" max="8224" width="20.85546875" style="9" customWidth="1"/>
    <col min="8225" max="8453" width="9.140625" style="9"/>
    <col min="8454" max="8454" width="48.42578125" style="9" bestFit="1" customWidth="1"/>
    <col min="8455" max="8455" width="71.7109375" style="9" customWidth="1"/>
    <col min="8456" max="8456" width="19.140625" style="9" bestFit="1" customWidth="1"/>
    <col min="8457" max="8480" width="20.85546875" style="9" customWidth="1"/>
    <col min="8481" max="8709" width="9.140625" style="9"/>
    <col min="8710" max="8710" width="48.42578125" style="9" bestFit="1" customWidth="1"/>
    <col min="8711" max="8711" width="71.7109375" style="9" customWidth="1"/>
    <col min="8712" max="8712" width="19.140625" style="9" bestFit="1" customWidth="1"/>
    <col min="8713" max="8736" width="20.85546875" style="9" customWidth="1"/>
    <col min="8737" max="8965" width="9.140625" style="9"/>
    <col min="8966" max="8966" width="48.42578125" style="9" bestFit="1" customWidth="1"/>
    <col min="8967" max="8967" width="71.7109375" style="9" customWidth="1"/>
    <col min="8968" max="8968" width="19.140625" style="9" bestFit="1" customWidth="1"/>
    <col min="8969" max="8992" width="20.85546875" style="9" customWidth="1"/>
    <col min="8993" max="9221" width="9.140625" style="9"/>
    <col min="9222" max="9222" width="48.42578125" style="9" bestFit="1" customWidth="1"/>
    <col min="9223" max="9223" width="71.7109375" style="9" customWidth="1"/>
    <col min="9224" max="9224" width="19.140625" style="9" bestFit="1" customWidth="1"/>
    <col min="9225" max="9248" width="20.85546875" style="9" customWidth="1"/>
    <col min="9249" max="9477" width="9.140625" style="9"/>
    <col min="9478" max="9478" width="48.42578125" style="9" bestFit="1" customWidth="1"/>
    <col min="9479" max="9479" width="71.7109375" style="9" customWidth="1"/>
    <col min="9480" max="9480" width="19.140625" style="9" bestFit="1" customWidth="1"/>
    <col min="9481" max="9504" width="20.85546875" style="9" customWidth="1"/>
    <col min="9505" max="9733" width="9.140625" style="9"/>
    <col min="9734" max="9734" width="48.42578125" style="9" bestFit="1" customWidth="1"/>
    <col min="9735" max="9735" width="71.7109375" style="9" customWidth="1"/>
    <col min="9736" max="9736" width="19.140625" style="9" bestFit="1" customWidth="1"/>
    <col min="9737" max="9760" width="20.85546875" style="9" customWidth="1"/>
    <col min="9761" max="9989" width="9.140625" style="9"/>
    <col min="9990" max="9990" width="48.42578125" style="9" bestFit="1" customWidth="1"/>
    <col min="9991" max="9991" width="71.7109375" style="9" customWidth="1"/>
    <col min="9992" max="9992" width="19.140625" style="9" bestFit="1" customWidth="1"/>
    <col min="9993" max="10016" width="20.85546875" style="9" customWidth="1"/>
    <col min="10017" max="10245" width="9.140625" style="9"/>
    <col min="10246" max="10246" width="48.42578125" style="9" bestFit="1" customWidth="1"/>
    <col min="10247" max="10247" width="71.7109375" style="9" customWidth="1"/>
    <col min="10248" max="10248" width="19.140625" style="9" bestFit="1" customWidth="1"/>
    <col min="10249" max="10272" width="20.85546875" style="9" customWidth="1"/>
    <col min="10273" max="10501" width="9.140625" style="9"/>
    <col min="10502" max="10502" width="48.42578125" style="9" bestFit="1" customWidth="1"/>
    <col min="10503" max="10503" width="71.7109375" style="9" customWidth="1"/>
    <col min="10504" max="10504" width="19.140625" style="9" bestFit="1" customWidth="1"/>
    <col min="10505" max="10528" width="20.85546875" style="9" customWidth="1"/>
    <col min="10529" max="10757" width="9.140625" style="9"/>
    <col min="10758" max="10758" width="48.42578125" style="9" bestFit="1" customWidth="1"/>
    <col min="10759" max="10759" width="71.7109375" style="9" customWidth="1"/>
    <col min="10760" max="10760" width="19.140625" style="9" bestFit="1" customWidth="1"/>
    <col min="10761" max="10784" width="20.85546875" style="9" customWidth="1"/>
    <col min="10785" max="11013" width="9.140625" style="9"/>
    <col min="11014" max="11014" width="48.42578125" style="9" bestFit="1" customWidth="1"/>
    <col min="11015" max="11015" width="71.7109375" style="9" customWidth="1"/>
    <col min="11016" max="11016" width="19.140625" style="9" bestFit="1" customWidth="1"/>
    <col min="11017" max="11040" width="20.85546875" style="9" customWidth="1"/>
    <col min="11041" max="11269" width="9.140625" style="9"/>
    <col min="11270" max="11270" width="48.42578125" style="9" bestFit="1" customWidth="1"/>
    <col min="11271" max="11271" width="71.7109375" style="9" customWidth="1"/>
    <col min="11272" max="11272" width="19.140625" style="9" bestFit="1" customWidth="1"/>
    <col min="11273" max="11296" width="20.85546875" style="9" customWidth="1"/>
    <col min="11297" max="11525" width="9.140625" style="9"/>
    <col min="11526" max="11526" width="48.42578125" style="9" bestFit="1" customWidth="1"/>
    <col min="11527" max="11527" width="71.7109375" style="9" customWidth="1"/>
    <col min="11528" max="11528" width="19.140625" style="9" bestFit="1" customWidth="1"/>
    <col min="11529" max="11552" width="20.85546875" style="9" customWidth="1"/>
    <col min="11553" max="11781" width="9.140625" style="9"/>
    <col min="11782" max="11782" width="48.42578125" style="9" bestFit="1" customWidth="1"/>
    <col min="11783" max="11783" width="71.7109375" style="9" customWidth="1"/>
    <col min="11784" max="11784" width="19.140625" style="9" bestFit="1" customWidth="1"/>
    <col min="11785" max="11808" width="20.85546875" style="9" customWidth="1"/>
    <col min="11809" max="12037" width="9.140625" style="9"/>
    <col min="12038" max="12038" width="48.42578125" style="9" bestFit="1" customWidth="1"/>
    <col min="12039" max="12039" width="71.7109375" style="9" customWidth="1"/>
    <col min="12040" max="12040" width="19.140625" style="9" bestFit="1" customWidth="1"/>
    <col min="12041" max="12064" width="20.85546875" style="9" customWidth="1"/>
    <col min="12065" max="12293" width="9.140625" style="9"/>
    <col min="12294" max="12294" width="48.42578125" style="9" bestFit="1" customWidth="1"/>
    <col min="12295" max="12295" width="71.7109375" style="9" customWidth="1"/>
    <col min="12296" max="12296" width="19.140625" style="9" bestFit="1" customWidth="1"/>
    <col min="12297" max="12320" width="20.85546875" style="9" customWidth="1"/>
    <col min="12321" max="12549" width="9.140625" style="9"/>
    <col min="12550" max="12550" width="48.42578125" style="9" bestFit="1" customWidth="1"/>
    <col min="12551" max="12551" width="71.7109375" style="9" customWidth="1"/>
    <col min="12552" max="12552" width="19.140625" style="9" bestFit="1" customWidth="1"/>
    <col min="12553" max="12576" width="20.85546875" style="9" customWidth="1"/>
    <col min="12577" max="12805" width="9.140625" style="9"/>
    <col min="12806" max="12806" width="48.42578125" style="9" bestFit="1" customWidth="1"/>
    <col min="12807" max="12807" width="71.7109375" style="9" customWidth="1"/>
    <col min="12808" max="12808" width="19.140625" style="9" bestFit="1" customWidth="1"/>
    <col min="12809" max="12832" width="20.85546875" style="9" customWidth="1"/>
    <col min="12833" max="13061" width="9.140625" style="9"/>
    <col min="13062" max="13062" width="48.42578125" style="9" bestFit="1" customWidth="1"/>
    <col min="13063" max="13063" width="71.7109375" style="9" customWidth="1"/>
    <col min="13064" max="13064" width="19.140625" style="9" bestFit="1" customWidth="1"/>
    <col min="13065" max="13088" width="20.85546875" style="9" customWidth="1"/>
    <col min="13089" max="13317" width="9.140625" style="9"/>
    <col min="13318" max="13318" width="48.42578125" style="9" bestFit="1" customWidth="1"/>
    <col min="13319" max="13319" width="71.7109375" style="9" customWidth="1"/>
    <col min="13320" max="13320" width="19.140625" style="9" bestFit="1" customWidth="1"/>
    <col min="13321" max="13344" width="20.85546875" style="9" customWidth="1"/>
    <col min="13345" max="13573" width="9.140625" style="9"/>
    <col min="13574" max="13574" width="48.42578125" style="9" bestFit="1" customWidth="1"/>
    <col min="13575" max="13575" width="71.7109375" style="9" customWidth="1"/>
    <col min="13576" max="13576" width="19.140625" style="9" bestFit="1" customWidth="1"/>
    <col min="13577" max="13600" width="20.85546875" style="9" customWidth="1"/>
    <col min="13601" max="13829" width="9.140625" style="9"/>
    <col min="13830" max="13830" width="48.42578125" style="9" bestFit="1" customWidth="1"/>
    <col min="13831" max="13831" width="71.7109375" style="9" customWidth="1"/>
    <col min="13832" max="13832" width="19.140625" style="9" bestFit="1" customWidth="1"/>
    <col min="13833" max="13856" width="20.85546875" style="9" customWidth="1"/>
    <col min="13857" max="14085" width="9.140625" style="9"/>
    <col min="14086" max="14086" width="48.42578125" style="9" bestFit="1" customWidth="1"/>
    <col min="14087" max="14087" width="71.7109375" style="9" customWidth="1"/>
    <col min="14088" max="14088" width="19.140625" style="9" bestFit="1" customWidth="1"/>
    <col min="14089" max="14112" width="20.85546875" style="9" customWidth="1"/>
    <col min="14113" max="14341" width="9.140625" style="9"/>
    <col min="14342" max="14342" width="48.42578125" style="9" bestFit="1" customWidth="1"/>
    <col min="14343" max="14343" width="71.7109375" style="9" customWidth="1"/>
    <col min="14344" max="14344" width="19.140625" style="9" bestFit="1" customWidth="1"/>
    <col min="14345" max="14368" width="20.85546875" style="9" customWidth="1"/>
    <col min="14369" max="14597" width="9.140625" style="9"/>
    <col min="14598" max="14598" width="48.42578125" style="9" bestFit="1" customWidth="1"/>
    <col min="14599" max="14599" width="71.7109375" style="9" customWidth="1"/>
    <col min="14600" max="14600" width="19.140625" style="9" bestFit="1" customWidth="1"/>
    <col min="14601" max="14624" width="20.85546875" style="9" customWidth="1"/>
    <col min="14625" max="14853" width="9.140625" style="9"/>
    <col min="14854" max="14854" width="48.42578125" style="9" bestFit="1" customWidth="1"/>
    <col min="14855" max="14855" width="71.7109375" style="9" customWidth="1"/>
    <col min="14856" max="14856" width="19.140625" style="9" bestFit="1" customWidth="1"/>
    <col min="14857" max="14880" width="20.85546875" style="9" customWidth="1"/>
    <col min="14881" max="15109" width="9.140625" style="9"/>
    <col min="15110" max="15110" width="48.42578125" style="9" bestFit="1" customWidth="1"/>
    <col min="15111" max="15111" width="71.7109375" style="9" customWidth="1"/>
    <col min="15112" max="15112" width="19.140625" style="9" bestFit="1" customWidth="1"/>
    <col min="15113" max="15136" width="20.85546875" style="9" customWidth="1"/>
    <col min="15137" max="15365" width="9.140625" style="9"/>
    <col min="15366" max="15366" width="48.42578125" style="9" bestFit="1" customWidth="1"/>
    <col min="15367" max="15367" width="71.7109375" style="9" customWidth="1"/>
    <col min="15368" max="15368" width="19.140625" style="9" bestFit="1" customWidth="1"/>
    <col min="15369" max="15392" width="20.85546875" style="9" customWidth="1"/>
    <col min="15393" max="15621" width="9.140625" style="9"/>
    <col min="15622" max="15622" width="48.42578125" style="9" bestFit="1" customWidth="1"/>
    <col min="15623" max="15623" width="71.7109375" style="9" customWidth="1"/>
    <col min="15624" max="15624" width="19.140625" style="9" bestFit="1" customWidth="1"/>
    <col min="15625" max="15648" width="20.85546875" style="9" customWidth="1"/>
    <col min="15649" max="15877" width="9.140625" style="9"/>
    <col min="15878" max="15878" width="48.42578125" style="9" bestFit="1" customWidth="1"/>
    <col min="15879" max="15879" width="71.7109375" style="9" customWidth="1"/>
    <col min="15880" max="15880" width="19.140625" style="9" bestFit="1" customWidth="1"/>
    <col min="15881" max="15904" width="20.85546875" style="9" customWidth="1"/>
    <col min="15905" max="16133" width="9.140625" style="9"/>
    <col min="16134" max="16134" width="48.42578125" style="9" bestFit="1" customWidth="1"/>
    <col min="16135" max="16135" width="71.7109375" style="9" customWidth="1"/>
    <col min="16136" max="16136" width="19.140625" style="9" bestFit="1" customWidth="1"/>
    <col min="16137" max="16160" width="20.85546875" style="9" customWidth="1"/>
    <col min="16161" max="16384" width="9.140625" style="9"/>
  </cols>
  <sheetData>
    <row r="1" spans="1:32" s="5" customFormat="1" ht="110.25" customHeight="1" x14ac:dyDescent="0.5">
      <c r="A1" s="1" t="s">
        <v>89</v>
      </c>
      <c r="B1" s="2" t="s">
        <v>76</v>
      </c>
      <c r="C1" s="3" t="s">
        <v>3</v>
      </c>
      <c r="D1" s="4" t="s">
        <v>4</v>
      </c>
      <c r="E1" s="4" t="s">
        <v>5</v>
      </c>
      <c r="F1" s="58" t="s">
        <v>6</v>
      </c>
      <c r="G1" s="59" t="s">
        <v>135</v>
      </c>
      <c r="H1" s="59" t="s">
        <v>136</v>
      </c>
      <c r="I1" s="58" t="s">
        <v>7</v>
      </c>
      <c r="J1" s="58" t="s">
        <v>8</v>
      </c>
      <c r="K1" s="59" t="s">
        <v>137</v>
      </c>
      <c r="L1" s="58" t="s">
        <v>9</v>
      </c>
      <c r="M1" s="58" t="s">
        <v>10</v>
      </c>
      <c r="N1" s="58" t="s">
        <v>11</v>
      </c>
      <c r="O1" s="58" t="s">
        <v>12</v>
      </c>
      <c r="P1" s="59" t="s">
        <v>132</v>
      </c>
      <c r="Q1" s="58" t="s">
        <v>13</v>
      </c>
      <c r="R1" s="59" t="s">
        <v>133</v>
      </c>
      <c r="S1" s="58" t="s">
        <v>14</v>
      </c>
      <c r="T1" s="58" t="s">
        <v>15</v>
      </c>
      <c r="U1" s="58" t="s">
        <v>16</v>
      </c>
      <c r="V1" s="58" t="s">
        <v>17</v>
      </c>
      <c r="W1" s="58" t="s">
        <v>18</v>
      </c>
      <c r="X1" s="58" t="s">
        <v>1</v>
      </c>
      <c r="Y1" s="58" t="s">
        <v>19</v>
      </c>
      <c r="Z1" s="58" t="s">
        <v>0</v>
      </c>
      <c r="AA1" s="58" t="s">
        <v>20</v>
      </c>
      <c r="AB1" s="59" t="s">
        <v>134</v>
      </c>
      <c r="AC1" s="58" t="s">
        <v>2</v>
      </c>
      <c r="AD1" s="5" t="s">
        <v>77</v>
      </c>
      <c r="AE1" s="5" t="s">
        <v>78</v>
      </c>
      <c r="AF1" s="5" t="s">
        <v>79</v>
      </c>
    </row>
    <row r="2" spans="1:32" ht="15" customHeight="1" x14ac:dyDescent="0.4"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2" ht="39" customHeight="1" x14ac:dyDescent="0.4">
      <c r="A3" s="6" t="s">
        <v>90</v>
      </c>
      <c r="B3" s="2" t="s">
        <v>92</v>
      </c>
      <c r="C3" s="10">
        <f>SUM(D3:AF3)</f>
        <v>310</v>
      </c>
      <c r="D3" s="11">
        <v>4</v>
      </c>
      <c r="E3" s="11">
        <v>90</v>
      </c>
      <c r="F3" s="11">
        <v>11</v>
      </c>
      <c r="G3" s="11">
        <v>0</v>
      </c>
      <c r="H3" s="11">
        <v>1</v>
      </c>
      <c r="I3" s="11">
        <v>25</v>
      </c>
      <c r="J3" s="11">
        <v>15</v>
      </c>
      <c r="K3" s="11">
        <v>0</v>
      </c>
      <c r="L3" s="11">
        <v>2</v>
      </c>
      <c r="M3" s="11">
        <v>7</v>
      </c>
      <c r="N3" s="11">
        <v>8</v>
      </c>
      <c r="O3" s="11">
        <v>13</v>
      </c>
      <c r="P3" s="11">
        <v>10</v>
      </c>
      <c r="Q3" s="11">
        <v>10</v>
      </c>
      <c r="R3" s="20"/>
      <c r="S3" s="11">
        <v>20</v>
      </c>
      <c r="T3" s="11">
        <v>18</v>
      </c>
      <c r="U3" s="11">
        <v>41</v>
      </c>
      <c r="V3" s="11">
        <v>15</v>
      </c>
      <c r="W3" s="11">
        <v>1</v>
      </c>
      <c r="X3" s="11">
        <v>5</v>
      </c>
      <c r="Y3" s="11">
        <v>11</v>
      </c>
      <c r="Z3" s="20"/>
      <c r="AA3" s="11">
        <v>1</v>
      </c>
      <c r="AB3" s="20"/>
      <c r="AC3" s="20"/>
      <c r="AD3" s="9">
        <v>2</v>
      </c>
    </row>
    <row r="4" spans="1:32" ht="39" customHeight="1" x14ac:dyDescent="0.4">
      <c r="B4" s="12" t="s">
        <v>93</v>
      </c>
      <c r="C4" s="10">
        <f>SUM(D4:AF4)</f>
        <v>1459</v>
      </c>
      <c r="D4" s="11">
        <v>11</v>
      </c>
      <c r="E4" s="11">
        <v>313</v>
      </c>
      <c r="F4" s="11">
        <v>50</v>
      </c>
      <c r="G4" s="11">
        <v>4</v>
      </c>
      <c r="H4" s="11">
        <v>0</v>
      </c>
      <c r="I4" s="11">
        <v>72</v>
      </c>
      <c r="J4" s="11">
        <v>49</v>
      </c>
      <c r="K4" s="11">
        <v>0</v>
      </c>
      <c r="L4" s="11">
        <v>37</v>
      </c>
      <c r="M4" s="11">
        <v>84</v>
      </c>
      <c r="N4" s="11">
        <v>37</v>
      </c>
      <c r="O4" s="11">
        <v>70</v>
      </c>
      <c r="P4" s="11">
        <v>64</v>
      </c>
      <c r="Q4" s="11">
        <v>61</v>
      </c>
      <c r="R4" s="20"/>
      <c r="S4" s="11">
        <v>99</v>
      </c>
      <c r="T4" s="11">
        <v>54</v>
      </c>
      <c r="U4" s="11">
        <v>216</v>
      </c>
      <c r="V4" s="11">
        <v>61</v>
      </c>
      <c r="W4" s="11">
        <v>15</v>
      </c>
      <c r="X4" s="11">
        <v>54</v>
      </c>
      <c r="Y4" s="11">
        <v>94</v>
      </c>
      <c r="Z4" s="20"/>
      <c r="AA4" s="11">
        <v>9</v>
      </c>
      <c r="AB4" s="20"/>
      <c r="AC4" s="20"/>
      <c r="AD4" s="9">
        <v>4</v>
      </c>
      <c r="AE4" s="9">
        <v>1</v>
      </c>
    </row>
    <row r="5" spans="1:32" ht="39" customHeight="1" x14ac:dyDescent="0.4">
      <c r="B5" s="12" t="s">
        <v>94</v>
      </c>
      <c r="C5" s="10">
        <f>SUM(D5:AF5)</f>
        <v>501</v>
      </c>
      <c r="D5" s="11">
        <v>7</v>
      </c>
      <c r="E5" s="11">
        <v>112</v>
      </c>
      <c r="F5" s="11">
        <v>38</v>
      </c>
      <c r="G5" s="11">
        <v>0</v>
      </c>
      <c r="H5" s="11">
        <v>0</v>
      </c>
      <c r="I5" s="11">
        <v>31</v>
      </c>
      <c r="J5" s="11">
        <v>18</v>
      </c>
      <c r="K5" s="11">
        <v>0</v>
      </c>
      <c r="L5" s="11">
        <v>2</v>
      </c>
      <c r="M5" s="11">
        <v>7</v>
      </c>
      <c r="N5" s="11">
        <v>18</v>
      </c>
      <c r="O5" s="11">
        <v>19</v>
      </c>
      <c r="P5" s="11">
        <v>18</v>
      </c>
      <c r="Q5" s="11">
        <v>26</v>
      </c>
      <c r="R5" s="20"/>
      <c r="S5" s="11">
        <v>43</v>
      </c>
      <c r="T5" s="11">
        <v>9</v>
      </c>
      <c r="U5" s="11">
        <v>79</v>
      </c>
      <c r="V5" s="11">
        <v>22</v>
      </c>
      <c r="W5" s="11">
        <v>4</v>
      </c>
      <c r="X5" s="11">
        <v>16</v>
      </c>
      <c r="Y5" s="11">
        <v>27</v>
      </c>
      <c r="Z5" s="20"/>
      <c r="AA5" s="11">
        <v>2</v>
      </c>
      <c r="AB5" s="20"/>
      <c r="AC5" s="20"/>
      <c r="AD5" s="9">
        <v>2</v>
      </c>
      <c r="AF5" s="9">
        <v>1</v>
      </c>
    </row>
    <row r="6" spans="1:32" s="44" customFormat="1" ht="27" customHeight="1" x14ac:dyDescent="0.4">
      <c r="A6" s="40"/>
      <c r="B6" s="41"/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spans="1:32" ht="46.5" customHeight="1" x14ac:dyDescent="0.4">
      <c r="A7" s="6" t="s">
        <v>21</v>
      </c>
      <c r="B7" s="2" t="s">
        <v>91</v>
      </c>
      <c r="C7" s="10">
        <f>SUM(D7:AF7)</f>
        <v>13</v>
      </c>
      <c r="D7" s="11"/>
      <c r="E7" s="11">
        <v>1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11">
        <v>0</v>
      </c>
      <c r="S7" s="20"/>
      <c r="T7" s="20"/>
      <c r="U7" s="20"/>
      <c r="V7" s="20"/>
      <c r="W7" s="20"/>
      <c r="X7" s="20"/>
      <c r="Y7" s="20"/>
      <c r="Z7" s="11">
        <v>7</v>
      </c>
      <c r="AA7" s="20"/>
      <c r="AB7" s="11">
        <v>0</v>
      </c>
      <c r="AC7" s="11">
        <v>5</v>
      </c>
    </row>
    <row r="8" spans="1:32" ht="46.5" customHeight="1" x14ac:dyDescent="0.4">
      <c r="B8" s="2" t="s">
        <v>95</v>
      </c>
      <c r="C8" s="10">
        <f>SUM(D8:AF8)</f>
        <v>4</v>
      </c>
      <c r="D8" s="11"/>
      <c r="E8" s="11">
        <v>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11">
        <v>0</v>
      </c>
      <c r="S8" s="20"/>
      <c r="T8" s="20"/>
      <c r="U8" s="20"/>
      <c r="V8" s="20"/>
      <c r="W8" s="20"/>
      <c r="X8" s="20"/>
      <c r="Y8" s="20"/>
      <c r="Z8" s="11">
        <v>1</v>
      </c>
      <c r="AA8" s="20"/>
      <c r="AB8" s="11">
        <v>0</v>
      </c>
      <c r="AC8" s="11">
        <v>3</v>
      </c>
    </row>
    <row r="9" spans="1:32" s="19" customFormat="1" ht="46.5" customHeight="1" x14ac:dyDescent="0.4">
      <c r="A9" s="16"/>
      <c r="B9" s="17" t="s">
        <v>96</v>
      </c>
      <c r="C9" s="10">
        <f>SUM(D9:AF9)</f>
        <v>12</v>
      </c>
      <c r="D9" s="18"/>
      <c r="E9" s="18"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8">
        <v>0</v>
      </c>
      <c r="S9" s="20"/>
      <c r="T9" s="20"/>
      <c r="U9" s="20"/>
      <c r="V9" s="20"/>
      <c r="W9" s="20"/>
      <c r="X9" s="20"/>
      <c r="Y9" s="20"/>
      <c r="Z9" s="18">
        <v>6</v>
      </c>
      <c r="AA9" s="20"/>
      <c r="AB9" s="18">
        <v>3</v>
      </c>
      <c r="AC9" s="18">
        <v>3</v>
      </c>
    </row>
    <row r="10" spans="1:32" s="19" customFormat="1" ht="46.5" customHeight="1" x14ac:dyDescent="0.4">
      <c r="A10" s="16"/>
      <c r="B10" s="17" t="s">
        <v>97</v>
      </c>
      <c r="C10" s="10">
        <f t="shared" ref="C10:C11" si="0">SUM(D10:AF10)</f>
        <v>5</v>
      </c>
      <c r="D10" s="18"/>
      <c r="E10" s="18">
        <v>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18">
        <v>0</v>
      </c>
      <c r="S10" s="20"/>
      <c r="T10" s="20"/>
      <c r="U10" s="20"/>
      <c r="V10" s="20"/>
      <c r="W10" s="20"/>
      <c r="X10" s="20"/>
      <c r="Y10" s="20"/>
      <c r="Z10" s="18">
        <v>3</v>
      </c>
      <c r="AA10" s="20"/>
      <c r="AB10" s="18">
        <v>0</v>
      </c>
      <c r="AC10" s="18">
        <v>1</v>
      </c>
    </row>
    <row r="11" spans="1:32" s="15" customFormat="1" ht="46.5" customHeight="1" x14ac:dyDescent="0.4">
      <c r="A11" s="13"/>
      <c r="B11" s="12" t="s">
        <v>98</v>
      </c>
      <c r="C11" s="10">
        <f t="shared" si="0"/>
        <v>86</v>
      </c>
      <c r="D11" s="14"/>
      <c r="E11" s="14">
        <v>5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14">
        <v>1</v>
      </c>
      <c r="S11" s="20"/>
      <c r="T11" s="20"/>
      <c r="U11" s="20"/>
      <c r="V11" s="20"/>
      <c r="W11" s="20"/>
      <c r="X11" s="20"/>
      <c r="Y11" s="20"/>
      <c r="Z11" s="14">
        <v>34</v>
      </c>
      <c r="AA11" s="20"/>
      <c r="AB11" s="14">
        <v>7</v>
      </c>
      <c r="AC11" s="14">
        <v>39</v>
      </c>
    </row>
    <row r="12" spans="1:32" s="19" customFormat="1" ht="46.5" customHeight="1" x14ac:dyDescent="0.4">
      <c r="A12" s="16"/>
      <c r="B12" s="17" t="s">
        <v>99</v>
      </c>
      <c r="C12" s="10">
        <f>SUM(D12:AF12)</f>
        <v>18</v>
      </c>
      <c r="D12" s="18"/>
      <c r="E12" s="18">
        <v>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18">
        <v>0</v>
      </c>
      <c r="S12" s="20"/>
      <c r="T12" s="20"/>
      <c r="U12" s="20"/>
      <c r="V12" s="20"/>
      <c r="W12" s="20"/>
      <c r="X12" s="20"/>
      <c r="Y12" s="20"/>
      <c r="Z12" s="18">
        <v>9</v>
      </c>
      <c r="AA12" s="20"/>
      <c r="AB12" s="18">
        <v>0</v>
      </c>
      <c r="AC12" s="18">
        <v>7</v>
      </c>
    </row>
    <row r="13" spans="1:32" s="15" customFormat="1" ht="46.5" customHeight="1" x14ac:dyDescent="0.4">
      <c r="A13" s="13"/>
      <c r="B13" s="12" t="s">
        <v>100</v>
      </c>
      <c r="C13" s="10">
        <f>SUM(D13:AF13)</f>
        <v>2</v>
      </c>
      <c r="D13" s="14"/>
      <c r="E13" s="14"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14">
        <v>0</v>
      </c>
      <c r="S13" s="20"/>
      <c r="T13" s="20"/>
      <c r="U13" s="20"/>
      <c r="V13" s="20"/>
      <c r="W13" s="20"/>
      <c r="X13" s="20"/>
      <c r="Y13" s="20"/>
      <c r="Z13" s="14">
        <v>0</v>
      </c>
      <c r="AA13" s="20"/>
      <c r="AB13" s="14">
        <v>0</v>
      </c>
      <c r="AC13" s="14">
        <v>2</v>
      </c>
    </row>
    <row r="14" spans="1:32" s="44" customFormat="1" ht="46.5" customHeight="1" x14ac:dyDescent="0.4">
      <c r="A14" s="40"/>
      <c r="B14" s="41"/>
      <c r="C14" s="42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spans="1:32" ht="46.5" customHeight="1" x14ac:dyDescent="0.4">
      <c r="A15" s="6" t="s">
        <v>22</v>
      </c>
      <c r="B15" s="2" t="s">
        <v>101</v>
      </c>
      <c r="C15" s="10">
        <f>SUM(D15:AF15)</f>
        <v>31</v>
      </c>
      <c r="D15" s="11"/>
      <c r="E15" s="11">
        <v>10</v>
      </c>
      <c r="F15" s="11">
        <v>1</v>
      </c>
      <c r="G15" s="11">
        <v>0</v>
      </c>
      <c r="H15" s="11">
        <v>0</v>
      </c>
      <c r="I15" s="11">
        <v>2</v>
      </c>
      <c r="J15" s="11">
        <v>1</v>
      </c>
      <c r="K15" s="11">
        <v>0</v>
      </c>
      <c r="L15" s="11">
        <v>0</v>
      </c>
      <c r="M15" s="11">
        <v>2</v>
      </c>
      <c r="N15" s="11">
        <v>1</v>
      </c>
      <c r="O15" s="11">
        <v>1</v>
      </c>
      <c r="P15" s="11">
        <v>2</v>
      </c>
      <c r="Q15" s="11">
        <v>0</v>
      </c>
      <c r="R15" s="11">
        <v>0</v>
      </c>
      <c r="S15" s="11">
        <v>2</v>
      </c>
      <c r="T15" s="11">
        <v>1</v>
      </c>
      <c r="U15" s="11">
        <v>4</v>
      </c>
      <c r="V15" s="11">
        <v>1</v>
      </c>
      <c r="W15" s="11">
        <v>0</v>
      </c>
      <c r="X15" s="11">
        <v>0</v>
      </c>
      <c r="Y15" s="11">
        <v>0</v>
      </c>
      <c r="Z15" s="11">
        <v>1</v>
      </c>
      <c r="AA15" s="11">
        <v>0</v>
      </c>
      <c r="AB15" s="11">
        <v>0</v>
      </c>
      <c r="AC15" s="11">
        <v>1</v>
      </c>
      <c r="AD15" s="9">
        <v>1</v>
      </c>
    </row>
    <row r="16" spans="1:32" s="15" customFormat="1" ht="46.5" customHeight="1" x14ac:dyDescent="0.4">
      <c r="A16" s="13"/>
      <c r="B16" s="12" t="s">
        <v>102</v>
      </c>
      <c r="C16" s="10">
        <f t="shared" ref="C16:C17" si="1">SUM(D16:AF16)</f>
        <v>1480</v>
      </c>
      <c r="D16" s="14">
        <v>11</v>
      </c>
      <c r="E16" s="14">
        <v>310</v>
      </c>
      <c r="F16" s="14">
        <v>65</v>
      </c>
      <c r="G16" s="14">
        <v>4</v>
      </c>
      <c r="H16" s="14">
        <v>0</v>
      </c>
      <c r="I16" s="14">
        <v>76</v>
      </c>
      <c r="J16" s="14">
        <v>56</v>
      </c>
      <c r="K16" s="14">
        <v>0</v>
      </c>
      <c r="L16" s="14">
        <v>23</v>
      </c>
      <c r="M16" s="14">
        <v>59</v>
      </c>
      <c r="N16" s="14">
        <v>47</v>
      </c>
      <c r="O16" s="14">
        <v>80</v>
      </c>
      <c r="P16" s="14">
        <v>69</v>
      </c>
      <c r="Q16" s="14">
        <v>65</v>
      </c>
      <c r="R16" s="14">
        <v>1</v>
      </c>
      <c r="S16" s="14">
        <v>98</v>
      </c>
      <c r="T16" s="14">
        <v>40</v>
      </c>
      <c r="U16" s="14">
        <v>171</v>
      </c>
      <c r="V16" s="14">
        <v>48</v>
      </c>
      <c r="W16" s="14">
        <v>17</v>
      </c>
      <c r="X16" s="14">
        <v>52</v>
      </c>
      <c r="Y16" s="14">
        <v>93</v>
      </c>
      <c r="Z16" s="14">
        <v>36</v>
      </c>
      <c r="AA16" s="14">
        <v>7</v>
      </c>
      <c r="AB16" s="14">
        <v>7</v>
      </c>
      <c r="AC16" s="14">
        <v>37</v>
      </c>
      <c r="AD16" s="15">
        <v>5</v>
      </c>
      <c r="AE16" s="15">
        <v>2</v>
      </c>
      <c r="AF16" s="15">
        <v>1</v>
      </c>
    </row>
    <row r="17" spans="1:32" s="15" customFormat="1" ht="46.5" customHeight="1" x14ac:dyDescent="0.4">
      <c r="A17" s="13"/>
      <c r="B17" s="12" t="s">
        <v>103</v>
      </c>
      <c r="C17" s="10">
        <f t="shared" si="1"/>
        <v>257</v>
      </c>
      <c r="D17" s="14">
        <v>1</v>
      </c>
      <c r="E17" s="14">
        <v>55</v>
      </c>
      <c r="F17" s="14">
        <v>10</v>
      </c>
      <c r="G17" s="14">
        <v>0</v>
      </c>
      <c r="H17" s="14">
        <v>0</v>
      </c>
      <c r="I17" s="14">
        <v>21</v>
      </c>
      <c r="J17" s="14">
        <v>4</v>
      </c>
      <c r="K17" s="14">
        <v>0</v>
      </c>
      <c r="L17" s="14">
        <v>1</v>
      </c>
      <c r="M17" s="14">
        <v>11</v>
      </c>
      <c r="N17" s="14">
        <v>5</v>
      </c>
      <c r="O17" s="14">
        <v>2</v>
      </c>
      <c r="P17" s="14">
        <v>10</v>
      </c>
      <c r="Q17" s="14">
        <v>20</v>
      </c>
      <c r="R17" s="14">
        <v>0</v>
      </c>
      <c r="S17" s="14">
        <v>16</v>
      </c>
      <c r="T17" s="14">
        <v>8</v>
      </c>
      <c r="U17" s="14">
        <v>49</v>
      </c>
      <c r="V17" s="14">
        <v>9</v>
      </c>
      <c r="W17" s="14">
        <v>2</v>
      </c>
      <c r="X17" s="14">
        <v>6</v>
      </c>
      <c r="Y17" s="14">
        <v>10</v>
      </c>
      <c r="Z17" s="14">
        <v>7</v>
      </c>
      <c r="AA17" s="14">
        <v>2</v>
      </c>
      <c r="AB17" s="14">
        <v>1</v>
      </c>
      <c r="AC17" s="14">
        <v>7</v>
      </c>
      <c r="AD17" s="15">
        <v>0</v>
      </c>
    </row>
    <row r="18" spans="1:32" s="15" customFormat="1" ht="46.5" customHeight="1" x14ac:dyDescent="0.4">
      <c r="A18" s="13"/>
      <c r="B18" s="12" t="s">
        <v>38</v>
      </c>
      <c r="C18" s="10">
        <f>SUM(D18:AF18)</f>
        <v>462</v>
      </c>
      <c r="D18" s="14">
        <v>6</v>
      </c>
      <c r="E18" s="14">
        <v>99</v>
      </c>
      <c r="F18" s="14">
        <v>18</v>
      </c>
      <c r="G18" s="14">
        <v>0</v>
      </c>
      <c r="H18" s="14">
        <v>0</v>
      </c>
      <c r="I18" s="14">
        <v>15</v>
      </c>
      <c r="J18" s="14">
        <v>9</v>
      </c>
      <c r="K18" s="14">
        <v>0</v>
      </c>
      <c r="L18" s="14">
        <v>19</v>
      </c>
      <c r="M18" s="14">
        <v>25</v>
      </c>
      <c r="N18" s="14">
        <v>9</v>
      </c>
      <c r="O18" s="14">
        <v>9</v>
      </c>
      <c r="P18" s="14">
        <v>12</v>
      </c>
      <c r="Q18" s="14">
        <v>6</v>
      </c>
      <c r="R18" s="14">
        <v>0</v>
      </c>
      <c r="S18" s="14">
        <v>34</v>
      </c>
      <c r="T18" s="14">
        <v>14</v>
      </c>
      <c r="U18" s="14">
        <v>88</v>
      </c>
      <c r="V18" s="14">
        <v>32</v>
      </c>
      <c r="W18" s="14">
        <v>1</v>
      </c>
      <c r="X18" s="14">
        <v>16</v>
      </c>
      <c r="Y18" s="14">
        <v>26</v>
      </c>
      <c r="Z18" s="14">
        <v>10</v>
      </c>
      <c r="AA18" s="14">
        <v>2</v>
      </c>
      <c r="AB18" s="14">
        <v>2</v>
      </c>
      <c r="AC18" s="14">
        <v>9</v>
      </c>
      <c r="AD18" s="15">
        <v>1</v>
      </c>
    </row>
    <row r="19" spans="1:32" s="44" customFormat="1" ht="46.5" customHeight="1" x14ac:dyDescent="0.4">
      <c r="A19" s="40"/>
      <c r="B19" s="41"/>
      <c r="C19" s="42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1:32" ht="46.5" customHeight="1" x14ac:dyDescent="0.4">
      <c r="A20" s="6" t="s">
        <v>104</v>
      </c>
      <c r="B20" s="2" t="s">
        <v>105</v>
      </c>
      <c r="C20" s="10">
        <f t="shared" ref="C20:C21" si="2">SUM(D20:AF20)</f>
        <v>72</v>
      </c>
      <c r="D20" s="11">
        <v>1</v>
      </c>
      <c r="E20" s="11">
        <v>9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11">
        <v>19</v>
      </c>
      <c r="T20" s="20"/>
      <c r="U20" s="11">
        <v>43</v>
      </c>
      <c r="V20" s="20"/>
      <c r="W20" s="20"/>
      <c r="X20" s="20"/>
      <c r="Y20" s="20"/>
      <c r="Z20" s="20"/>
      <c r="AA20" s="20"/>
      <c r="AB20" s="20"/>
      <c r="AC20" s="20"/>
    </row>
    <row r="21" spans="1:32" s="15" customFormat="1" ht="46.5" customHeight="1" x14ac:dyDescent="0.4">
      <c r="A21" s="13"/>
      <c r="B21" s="12" t="s">
        <v>106</v>
      </c>
      <c r="C21" s="10">
        <f t="shared" si="2"/>
        <v>439</v>
      </c>
      <c r="D21" s="14">
        <v>3</v>
      </c>
      <c r="E21" s="14">
        <v>53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14">
        <v>122</v>
      </c>
      <c r="T21" s="20"/>
      <c r="U21" s="14">
        <v>257</v>
      </c>
      <c r="V21" s="20"/>
      <c r="W21" s="20"/>
      <c r="X21" s="21"/>
      <c r="Y21" s="21"/>
      <c r="Z21" s="21"/>
      <c r="AA21" s="21"/>
      <c r="AB21" s="21"/>
      <c r="AC21" s="21"/>
      <c r="AD21" s="15">
        <v>3</v>
      </c>
      <c r="AF21" s="15">
        <v>1</v>
      </c>
    </row>
    <row r="22" spans="1:32" s="44" customFormat="1" ht="46.5" customHeight="1" x14ac:dyDescent="0.4">
      <c r="A22" s="40"/>
      <c r="B22" s="41"/>
      <c r="C22" s="42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spans="1:32" ht="46.5" customHeight="1" x14ac:dyDescent="0.4">
      <c r="A23" s="6" t="s">
        <v>23</v>
      </c>
      <c r="B23" s="2" t="s">
        <v>101</v>
      </c>
      <c r="C23" s="10">
        <f>SUM(D23:AF23)</f>
        <v>18</v>
      </c>
      <c r="D23" s="11"/>
      <c r="E23" s="11">
        <v>10</v>
      </c>
      <c r="F23" s="11">
        <v>1</v>
      </c>
      <c r="G23" s="20"/>
      <c r="H23" s="20"/>
      <c r="I23" s="11">
        <v>2</v>
      </c>
      <c r="J23" s="11">
        <v>1</v>
      </c>
      <c r="K23" s="20"/>
      <c r="L23" s="11">
        <v>0</v>
      </c>
      <c r="M23" s="11">
        <v>2</v>
      </c>
      <c r="N23" s="11">
        <v>1</v>
      </c>
      <c r="O23" s="11">
        <v>0</v>
      </c>
      <c r="P23" s="20"/>
      <c r="Q23" s="20"/>
      <c r="R23" s="20"/>
      <c r="S23" s="20"/>
      <c r="T23" s="11">
        <v>0</v>
      </c>
      <c r="U23" s="20"/>
      <c r="V23" s="20"/>
      <c r="W23" s="11">
        <v>0</v>
      </c>
      <c r="X23" s="20"/>
      <c r="Y23" s="20"/>
      <c r="Z23" s="20"/>
      <c r="AA23" s="20"/>
      <c r="AB23" s="20"/>
      <c r="AC23" s="20"/>
      <c r="AD23" s="9">
        <v>1</v>
      </c>
    </row>
    <row r="24" spans="1:32" s="15" customFormat="1" ht="46.5" customHeight="1" x14ac:dyDescent="0.4">
      <c r="A24" s="13"/>
      <c r="B24" s="12" t="s">
        <v>39</v>
      </c>
      <c r="C24" s="10">
        <f>SUM(D24:AF24)</f>
        <v>720</v>
      </c>
      <c r="D24" s="14">
        <v>7</v>
      </c>
      <c r="E24" s="14">
        <v>191</v>
      </c>
      <c r="F24" s="14">
        <v>72</v>
      </c>
      <c r="G24" s="20"/>
      <c r="H24" s="20"/>
      <c r="I24" s="14">
        <v>90</v>
      </c>
      <c r="J24" s="14">
        <v>54</v>
      </c>
      <c r="K24" s="20"/>
      <c r="L24" s="14">
        <v>31</v>
      </c>
      <c r="M24" s="14">
        <v>85</v>
      </c>
      <c r="N24" s="14">
        <v>44</v>
      </c>
      <c r="O24" s="14">
        <v>72</v>
      </c>
      <c r="P24" s="20"/>
      <c r="Q24" s="20"/>
      <c r="R24" s="20"/>
      <c r="S24" s="20"/>
      <c r="T24" s="14">
        <v>55</v>
      </c>
      <c r="U24" s="20"/>
      <c r="V24" s="20"/>
      <c r="W24" s="14">
        <v>16</v>
      </c>
      <c r="X24" s="21"/>
      <c r="Y24" s="21"/>
      <c r="Z24" s="21"/>
      <c r="AA24" s="21"/>
      <c r="AB24" s="21"/>
      <c r="AC24" s="21"/>
      <c r="AD24" s="15">
        <v>2</v>
      </c>
      <c r="AE24" s="15">
        <v>1</v>
      </c>
    </row>
    <row r="25" spans="1:32" s="44" customFormat="1" ht="46.5" customHeight="1" x14ac:dyDescent="0.4">
      <c r="A25" s="40"/>
      <c r="B25" s="41"/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spans="1:32" ht="46.5" customHeight="1" x14ac:dyDescent="0.4">
      <c r="A26" s="6" t="s">
        <v>24</v>
      </c>
      <c r="B26" s="2" t="s">
        <v>101</v>
      </c>
      <c r="C26" s="10">
        <f>SUM(D26:AF26)</f>
        <v>5</v>
      </c>
      <c r="D26" s="11"/>
      <c r="E26" s="11">
        <v>1</v>
      </c>
      <c r="F26" s="20"/>
      <c r="G26" s="11">
        <v>0</v>
      </c>
      <c r="H26" s="11">
        <v>0</v>
      </c>
      <c r="I26" s="20"/>
      <c r="J26" s="20"/>
      <c r="K26" s="11">
        <v>0</v>
      </c>
      <c r="L26" s="20"/>
      <c r="M26" s="20"/>
      <c r="N26" s="20"/>
      <c r="O26" s="20"/>
      <c r="P26" s="11">
        <v>2</v>
      </c>
      <c r="Q26" s="11">
        <v>0</v>
      </c>
      <c r="R26" s="11">
        <v>0</v>
      </c>
      <c r="S26" s="20"/>
      <c r="T26" s="20"/>
      <c r="U26" s="20"/>
      <c r="V26" s="11">
        <v>1</v>
      </c>
      <c r="W26" s="20"/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1</v>
      </c>
    </row>
    <row r="27" spans="1:32" s="15" customFormat="1" ht="46.5" customHeight="1" x14ac:dyDescent="0.4">
      <c r="A27" s="13"/>
      <c r="B27" s="12" t="s">
        <v>107</v>
      </c>
      <c r="C27" s="10">
        <f t="shared" ref="C27:C28" si="3">SUM(D27:AF27)</f>
        <v>71</v>
      </c>
      <c r="D27" s="14"/>
      <c r="E27" s="14">
        <v>14</v>
      </c>
      <c r="F27" s="21"/>
      <c r="G27" s="14">
        <v>0</v>
      </c>
      <c r="H27" s="14">
        <v>0</v>
      </c>
      <c r="I27" s="21"/>
      <c r="J27" s="21"/>
      <c r="K27" s="14">
        <v>0</v>
      </c>
      <c r="L27" s="21"/>
      <c r="M27" s="21"/>
      <c r="N27" s="21"/>
      <c r="O27" s="21"/>
      <c r="P27" s="14">
        <v>11</v>
      </c>
      <c r="Q27" s="14">
        <v>9</v>
      </c>
      <c r="R27" s="14">
        <v>0</v>
      </c>
      <c r="S27" s="21"/>
      <c r="T27" s="21"/>
      <c r="U27" s="21"/>
      <c r="V27" s="14">
        <v>10</v>
      </c>
      <c r="W27" s="21"/>
      <c r="X27" s="14">
        <v>13</v>
      </c>
      <c r="Y27" s="14">
        <v>6</v>
      </c>
      <c r="Z27" s="14">
        <v>3</v>
      </c>
      <c r="AA27" s="14">
        <v>1</v>
      </c>
      <c r="AB27" s="14">
        <v>1</v>
      </c>
      <c r="AC27" s="14">
        <v>3</v>
      </c>
    </row>
    <row r="28" spans="1:32" s="15" customFormat="1" ht="46.5" customHeight="1" x14ac:dyDescent="0.4">
      <c r="A28" s="13"/>
      <c r="B28" s="12" t="s">
        <v>108</v>
      </c>
      <c r="C28" s="10">
        <f t="shared" si="3"/>
        <v>119</v>
      </c>
      <c r="D28" s="14">
        <v>3</v>
      </c>
      <c r="E28" s="14">
        <v>20</v>
      </c>
      <c r="F28" s="21"/>
      <c r="G28" s="14">
        <v>0</v>
      </c>
      <c r="H28" s="14">
        <v>0</v>
      </c>
      <c r="I28" s="21"/>
      <c r="J28" s="21"/>
      <c r="K28" s="14">
        <v>0</v>
      </c>
      <c r="L28" s="21"/>
      <c r="M28" s="21"/>
      <c r="N28" s="21"/>
      <c r="O28" s="21"/>
      <c r="P28" s="14">
        <v>5</v>
      </c>
      <c r="Q28" s="14">
        <v>13</v>
      </c>
      <c r="R28" s="14">
        <v>0</v>
      </c>
      <c r="S28" s="21"/>
      <c r="T28" s="21"/>
      <c r="U28" s="21"/>
      <c r="V28" s="14">
        <v>21</v>
      </c>
      <c r="W28" s="21"/>
      <c r="X28" s="14">
        <v>6</v>
      </c>
      <c r="Y28" s="14">
        <v>27</v>
      </c>
      <c r="Z28" s="14">
        <v>12</v>
      </c>
      <c r="AA28" s="14">
        <v>1</v>
      </c>
      <c r="AB28" s="14">
        <v>1</v>
      </c>
      <c r="AC28" s="14">
        <v>10</v>
      </c>
    </row>
    <row r="29" spans="1:32" s="15" customFormat="1" ht="46.5" customHeight="1" x14ac:dyDescent="0.4">
      <c r="A29" s="13"/>
      <c r="B29" s="12" t="s">
        <v>109</v>
      </c>
      <c r="C29" s="10">
        <f>SUM(D29:AF29)</f>
        <v>551</v>
      </c>
      <c r="D29" s="14">
        <v>4</v>
      </c>
      <c r="E29" s="14">
        <v>106</v>
      </c>
      <c r="F29" s="21"/>
      <c r="G29" s="14">
        <v>3</v>
      </c>
      <c r="H29" s="14">
        <v>0</v>
      </c>
      <c r="I29" s="21"/>
      <c r="J29" s="21"/>
      <c r="K29" s="14">
        <v>0</v>
      </c>
      <c r="L29" s="21"/>
      <c r="M29" s="21"/>
      <c r="N29" s="21"/>
      <c r="O29" s="21"/>
      <c r="P29" s="14">
        <v>74</v>
      </c>
      <c r="Q29" s="14">
        <v>68</v>
      </c>
      <c r="R29" s="14">
        <v>1</v>
      </c>
      <c r="S29" s="21"/>
      <c r="T29" s="21"/>
      <c r="U29" s="21"/>
      <c r="V29" s="14">
        <v>55</v>
      </c>
      <c r="W29" s="21"/>
      <c r="X29" s="14">
        <v>53</v>
      </c>
      <c r="Y29" s="14">
        <v>94</v>
      </c>
      <c r="Z29" s="14">
        <v>38</v>
      </c>
      <c r="AA29" s="14">
        <v>9</v>
      </c>
      <c r="AB29" s="14">
        <v>7</v>
      </c>
      <c r="AC29" s="14">
        <v>38</v>
      </c>
      <c r="AE29" s="15">
        <v>1</v>
      </c>
    </row>
    <row r="30" spans="1:32" s="44" customFormat="1" ht="46.5" customHeight="1" x14ac:dyDescent="0.4">
      <c r="A30" s="40"/>
      <c r="B30" s="41"/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spans="1:32" ht="46.5" customHeight="1" x14ac:dyDescent="0.4">
      <c r="A31" s="6" t="s">
        <v>25</v>
      </c>
      <c r="B31" s="2" t="s">
        <v>101</v>
      </c>
      <c r="C31" s="10">
        <f>SUM(D31:AF31)</f>
        <v>23</v>
      </c>
      <c r="D31" s="11"/>
      <c r="E31" s="11">
        <v>13</v>
      </c>
      <c r="F31" s="11">
        <v>2</v>
      </c>
      <c r="G31" s="11">
        <v>0</v>
      </c>
      <c r="H31" s="20"/>
      <c r="I31" s="11">
        <v>2</v>
      </c>
      <c r="J31" s="20"/>
      <c r="K31" s="20"/>
      <c r="L31" s="20"/>
      <c r="M31" s="20"/>
      <c r="N31" s="20"/>
      <c r="O31" s="11">
        <v>1</v>
      </c>
      <c r="P31" s="11">
        <v>2</v>
      </c>
      <c r="Q31" s="20"/>
      <c r="R31" s="20"/>
      <c r="S31" s="20"/>
      <c r="T31" s="11">
        <v>3</v>
      </c>
      <c r="U31" s="20"/>
      <c r="V31" s="20"/>
      <c r="W31" s="20"/>
      <c r="X31" s="20"/>
      <c r="Y31" s="20"/>
      <c r="Z31" s="20"/>
      <c r="AA31" s="20"/>
      <c r="AB31" s="20"/>
      <c r="AC31" s="20"/>
    </row>
    <row r="32" spans="1:32" s="15" customFormat="1" ht="46.5" customHeight="1" x14ac:dyDescent="0.4">
      <c r="A32" s="13"/>
      <c r="B32" s="17" t="s">
        <v>110</v>
      </c>
      <c r="C32" s="10">
        <f t="shared" ref="C32" si="4">SUM(D32:AF32)</f>
        <v>383</v>
      </c>
      <c r="D32" s="14">
        <v>3</v>
      </c>
      <c r="E32" s="14">
        <v>137</v>
      </c>
      <c r="F32" s="14">
        <v>45</v>
      </c>
      <c r="G32" s="14">
        <v>2</v>
      </c>
      <c r="H32" s="21"/>
      <c r="I32" s="14">
        <v>57</v>
      </c>
      <c r="J32" s="21"/>
      <c r="K32" s="21"/>
      <c r="L32" s="21"/>
      <c r="M32" s="21"/>
      <c r="N32" s="21"/>
      <c r="O32" s="14">
        <v>66</v>
      </c>
      <c r="P32" s="14">
        <v>46</v>
      </c>
      <c r="Q32" s="21"/>
      <c r="R32" s="21"/>
      <c r="S32" s="21"/>
      <c r="T32" s="11">
        <v>25</v>
      </c>
      <c r="U32" s="21"/>
      <c r="V32" s="21"/>
      <c r="W32" s="21"/>
      <c r="X32" s="21"/>
      <c r="Y32" s="21"/>
      <c r="Z32" s="21"/>
      <c r="AA32" s="21"/>
      <c r="AB32" s="21"/>
      <c r="AC32" s="21"/>
      <c r="AE32" s="15">
        <v>2</v>
      </c>
    </row>
    <row r="33" spans="1:32" s="15" customFormat="1" ht="46.5" customHeight="1" x14ac:dyDescent="0.4">
      <c r="A33" s="13"/>
      <c r="B33" s="17" t="s">
        <v>111</v>
      </c>
      <c r="C33" s="10">
        <f>SUM(D33:AF33)</f>
        <v>297</v>
      </c>
      <c r="D33" s="14">
        <v>6</v>
      </c>
      <c r="E33" s="14">
        <v>80</v>
      </c>
      <c r="F33" s="14">
        <v>48</v>
      </c>
      <c r="G33" s="14">
        <v>2</v>
      </c>
      <c r="H33" s="21"/>
      <c r="I33" s="14">
        <v>53</v>
      </c>
      <c r="J33" s="21"/>
      <c r="K33" s="21"/>
      <c r="L33" s="21"/>
      <c r="M33" s="21"/>
      <c r="N33" s="21"/>
      <c r="O33" s="14">
        <v>24</v>
      </c>
      <c r="P33" s="14">
        <v>44</v>
      </c>
      <c r="Q33" s="21"/>
      <c r="R33" s="21"/>
      <c r="S33" s="21"/>
      <c r="T33" s="14">
        <v>38</v>
      </c>
      <c r="U33" s="21"/>
      <c r="V33" s="21"/>
      <c r="W33" s="21"/>
      <c r="X33" s="21"/>
      <c r="Y33" s="21"/>
      <c r="Z33" s="21"/>
      <c r="AA33" s="21"/>
      <c r="AB33" s="21"/>
      <c r="AC33" s="21"/>
      <c r="AD33" s="15">
        <v>2</v>
      </c>
    </row>
    <row r="34" spans="1:32" s="44" customFormat="1" ht="46.5" customHeight="1" x14ac:dyDescent="0.4">
      <c r="A34" s="40"/>
      <c r="B34" s="41"/>
      <c r="C34" s="42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spans="1:32" ht="46.5" customHeight="1" x14ac:dyDescent="0.4">
      <c r="A35" s="6" t="s">
        <v>26</v>
      </c>
      <c r="B35" s="2" t="s">
        <v>101</v>
      </c>
      <c r="C35" s="10">
        <f>SUM(D35:AF35)</f>
        <v>12</v>
      </c>
      <c r="D35" s="11"/>
      <c r="E35" s="11">
        <v>0</v>
      </c>
      <c r="F35" s="20"/>
      <c r="G35" s="20"/>
      <c r="H35" s="20"/>
      <c r="I35" s="20"/>
      <c r="J35" s="20"/>
      <c r="K35" s="20"/>
      <c r="L35" s="11">
        <v>1</v>
      </c>
      <c r="M35" s="11">
        <v>4</v>
      </c>
      <c r="N35" s="20"/>
      <c r="O35" s="20"/>
      <c r="P35" s="20"/>
      <c r="Q35" s="20"/>
      <c r="R35" s="20"/>
      <c r="S35" s="11">
        <v>3</v>
      </c>
      <c r="T35" s="20"/>
      <c r="U35" s="11">
        <v>4</v>
      </c>
      <c r="V35" s="20"/>
      <c r="W35" s="20"/>
      <c r="X35" s="20"/>
      <c r="Y35" s="20"/>
      <c r="Z35" s="20"/>
      <c r="AA35" s="20"/>
      <c r="AB35" s="20"/>
      <c r="AC35" s="20"/>
    </row>
    <row r="36" spans="1:32" ht="46.5" customHeight="1" x14ac:dyDescent="0.4">
      <c r="B36" s="12" t="s">
        <v>40</v>
      </c>
      <c r="C36" s="10">
        <f>SUM(D36:AF36)</f>
        <v>429</v>
      </c>
      <c r="D36" s="11">
        <v>2</v>
      </c>
      <c r="E36" s="11">
        <v>43</v>
      </c>
      <c r="F36" s="20"/>
      <c r="G36" s="20"/>
      <c r="H36" s="20"/>
      <c r="I36" s="20"/>
      <c r="J36" s="20"/>
      <c r="K36" s="20"/>
      <c r="L36" s="11">
        <v>13</v>
      </c>
      <c r="M36" s="11">
        <v>32</v>
      </c>
      <c r="N36" s="20"/>
      <c r="O36" s="20"/>
      <c r="P36" s="20"/>
      <c r="Q36" s="20"/>
      <c r="R36" s="20"/>
      <c r="S36" s="11">
        <v>92</v>
      </c>
      <c r="T36" s="21"/>
      <c r="U36" s="11">
        <v>244</v>
      </c>
      <c r="V36" s="20"/>
      <c r="W36" s="20"/>
      <c r="X36" s="20"/>
      <c r="Y36" s="20"/>
      <c r="Z36" s="20"/>
      <c r="AA36" s="20"/>
      <c r="AB36" s="20"/>
      <c r="AC36" s="20"/>
      <c r="AD36" s="9">
        <v>2</v>
      </c>
      <c r="AF36" s="9">
        <v>1</v>
      </c>
    </row>
    <row r="37" spans="1:32" s="15" customFormat="1" ht="46.5" customHeight="1" x14ac:dyDescent="0.4">
      <c r="A37" s="13"/>
      <c r="B37" s="12" t="s">
        <v>112</v>
      </c>
      <c r="C37" s="10">
        <f>SUM(D37:AF37)</f>
        <v>259</v>
      </c>
      <c r="D37" s="14">
        <v>2</v>
      </c>
      <c r="E37" s="14">
        <v>35</v>
      </c>
      <c r="F37" s="21"/>
      <c r="G37" s="21"/>
      <c r="H37" s="21"/>
      <c r="I37" s="21"/>
      <c r="J37" s="21"/>
      <c r="K37" s="21"/>
      <c r="L37" s="14">
        <v>35</v>
      </c>
      <c r="M37" s="14">
        <v>68</v>
      </c>
      <c r="N37" s="21"/>
      <c r="O37" s="21"/>
      <c r="P37" s="21"/>
      <c r="Q37" s="21"/>
      <c r="R37" s="21"/>
      <c r="S37" s="14">
        <v>56</v>
      </c>
      <c r="T37" s="21"/>
      <c r="U37" s="14">
        <v>61</v>
      </c>
      <c r="V37" s="21"/>
      <c r="W37" s="21"/>
      <c r="X37" s="21"/>
      <c r="Y37" s="21"/>
      <c r="Z37" s="21"/>
      <c r="AA37" s="21"/>
      <c r="AB37" s="21"/>
      <c r="AC37" s="21"/>
      <c r="AD37" s="15">
        <v>2</v>
      </c>
    </row>
    <row r="38" spans="1:32" s="44" customFormat="1" ht="46.5" customHeight="1" x14ac:dyDescent="0.4">
      <c r="A38" s="40"/>
      <c r="B38" s="41"/>
      <c r="C38" s="4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spans="1:32" ht="46.5" customHeight="1" x14ac:dyDescent="0.4">
      <c r="A39" s="6" t="s">
        <v>27</v>
      </c>
      <c r="B39" s="2" t="s">
        <v>113</v>
      </c>
      <c r="C39" s="10">
        <f>SUM(D39:AF39)</f>
        <v>22</v>
      </c>
      <c r="D39" s="11"/>
      <c r="E39" s="11">
        <v>7</v>
      </c>
      <c r="F39" s="11">
        <v>1</v>
      </c>
      <c r="G39" s="11">
        <v>0</v>
      </c>
      <c r="H39" s="11">
        <v>0</v>
      </c>
      <c r="I39" s="11">
        <v>3</v>
      </c>
      <c r="J39" s="11">
        <v>1</v>
      </c>
      <c r="K39" s="11">
        <v>0</v>
      </c>
      <c r="L39" s="11">
        <v>0</v>
      </c>
      <c r="M39" s="11">
        <v>1</v>
      </c>
      <c r="N39" s="11">
        <v>0</v>
      </c>
      <c r="O39" s="11">
        <v>0</v>
      </c>
      <c r="P39" s="11">
        <v>1</v>
      </c>
      <c r="Q39" s="11">
        <v>0</v>
      </c>
      <c r="R39" s="11">
        <v>0</v>
      </c>
      <c r="S39" s="11">
        <v>2</v>
      </c>
      <c r="T39" s="11">
        <v>0</v>
      </c>
      <c r="U39" s="11">
        <v>3</v>
      </c>
      <c r="V39" s="11">
        <v>0</v>
      </c>
      <c r="W39" s="11">
        <v>0</v>
      </c>
      <c r="X39" s="11">
        <v>1</v>
      </c>
      <c r="Y39" s="11">
        <v>1</v>
      </c>
      <c r="Z39" s="11">
        <v>0</v>
      </c>
      <c r="AA39" s="11">
        <v>0</v>
      </c>
      <c r="AB39" s="11">
        <v>0</v>
      </c>
      <c r="AC39" s="11">
        <v>0</v>
      </c>
      <c r="AD39" s="9">
        <v>1</v>
      </c>
    </row>
    <row r="40" spans="1:32" s="15" customFormat="1" ht="46.5" customHeight="1" x14ac:dyDescent="0.4">
      <c r="A40" s="13"/>
      <c r="B40" s="17" t="s">
        <v>114</v>
      </c>
      <c r="C40" s="10">
        <f>SUM(D40:AF40)</f>
        <v>1960</v>
      </c>
      <c r="D40" s="14">
        <v>17</v>
      </c>
      <c r="E40" s="14">
        <v>428</v>
      </c>
      <c r="F40" s="14">
        <v>81</v>
      </c>
      <c r="G40" s="14">
        <v>4</v>
      </c>
      <c r="H40" s="14">
        <v>0</v>
      </c>
      <c r="I40" s="14">
        <v>104</v>
      </c>
      <c r="J40" s="14">
        <v>67</v>
      </c>
      <c r="K40" s="14">
        <v>0</v>
      </c>
      <c r="L40" s="14">
        <v>30</v>
      </c>
      <c r="M40" s="14">
        <v>67</v>
      </c>
      <c r="N40" s="14">
        <v>55</v>
      </c>
      <c r="O40" s="14">
        <v>84</v>
      </c>
      <c r="P40" s="14">
        <v>77</v>
      </c>
      <c r="Q40" s="14">
        <v>85</v>
      </c>
      <c r="R40" s="14">
        <v>1</v>
      </c>
      <c r="S40" s="14">
        <v>133</v>
      </c>
      <c r="T40" s="14">
        <v>53</v>
      </c>
      <c r="U40" s="14">
        <v>269</v>
      </c>
      <c r="V40" s="14">
        <v>79</v>
      </c>
      <c r="W40" s="14">
        <v>18</v>
      </c>
      <c r="X40" s="14">
        <v>66</v>
      </c>
      <c r="Y40" s="14">
        <v>123</v>
      </c>
      <c r="Z40" s="14">
        <v>47</v>
      </c>
      <c r="AA40" s="14">
        <v>10</v>
      </c>
      <c r="AB40" s="14">
        <v>9</v>
      </c>
      <c r="AC40" s="14">
        <v>45</v>
      </c>
      <c r="AD40" s="15">
        <v>5</v>
      </c>
      <c r="AE40" s="15">
        <v>2</v>
      </c>
      <c r="AF40" s="15">
        <v>1</v>
      </c>
    </row>
    <row r="41" spans="1:32" s="44" customFormat="1" ht="46.5" customHeight="1" x14ac:dyDescent="0.4">
      <c r="A41" s="40"/>
      <c r="B41" s="41"/>
      <c r="C41" s="42"/>
      <c r="D41" s="43"/>
      <c r="E41" s="45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 spans="1:32" ht="46.5" customHeight="1" x14ac:dyDescent="0.4">
      <c r="A42" s="6" t="s">
        <v>29</v>
      </c>
      <c r="B42" s="2" t="s">
        <v>113</v>
      </c>
      <c r="C42" s="10">
        <f>SUM(D42:AF42)</f>
        <v>27</v>
      </c>
      <c r="D42" s="11"/>
      <c r="E42" s="11">
        <v>8</v>
      </c>
      <c r="F42" s="11">
        <v>2</v>
      </c>
      <c r="G42" s="11">
        <v>0</v>
      </c>
      <c r="H42" s="11">
        <v>0</v>
      </c>
      <c r="I42" s="11">
        <v>3</v>
      </c>
      <c r="J42" s="11">
        <v>1</v>
      </c>
      <c r="K42" s="11">
        <v>0</v>
      </c>
      <c r="L42" s="11">
        <v>0</v>
      </c>
      <c r="M42" s="11">
        <v>1</v>
      </c>
      <c r="N42" s="11">
        <v>0</v>
      </c>
      <c r="O42" s="11">
        <v>1</v>
      </c>
      <c r="P42" s="11">
        <v>1</v>
      </c>
      <c r="Q42" s="11">
        <v>0</v>
      </c>
      <c r="R42" s="11">
        <v>1</v>
      </c>
      <c r="S42" s="11">
        <v>2</v>
      </c>
      <c r="T42" s="11">
        <v>1</v>
      </c>
      <c r="U42" s="11">
        <v>3</v>
      </c>
      <c r="V42" s="11">
        <v>1</v>
      </c>
      <c r="W42" s="11">
        <v>0</v>
      </c>
      <c r="X42" s="11">
        <v>0</v>
      </c>
      <c r="Y42" s="11">
        <v>0</v>
      </c>
      <c r="Z42" s="11">
        <v>1</v>
      </c>
      <c r="AA42" s="11">
        <v>0</v>
      </c>
      <c r="AB42" s="11">
        <v>0</v>
      </c>
      <c r="AC42" s="11">
        <v>0</v>
      </c>
      <c r="AD42" s="9">
        <v>1</v>
      </c>
    </row>
    <row r="43" spans="1:32" s="15" customFormat="1" ht="46.5" customHeight="1" x14ac:dyDescent="0.4">
      <c r="A43" s="13"/>
      <c r="B43" s="17" t="s">
        <v>115</v>
      </c>
      <c r="C43" s="10">
        <f>SUM(D43:AF43)</f>
        <v>1964</v>
      </c>
      <c r="D43" s="14">
        <v>17</v>
      </c>
      <c r="E43" s="14">
        <v>429</v>
      </c>
      <c r="F43" s="14">
        <v>83</v>
      </c>
      <c r="G43" s="14">
        <v>4</v>
      </c>
      <c r="H43" s="14">
        <v>0</v>
      </c>
      <c r="I43" s="14">
        <v>102</v>
      </c>
      <c r="J43" s="14">
        <v>66</v>
      </c>
      <c r="K43" s="14">
        <v>0</v>
      </c>
      <c r="L43" s="14">
        <v>33</v>
      </c>
      <c r="M43" s="14">
        <v>68</v>
      </c>
      <c r="N43" s="14">
        <v>56</v>
      </c>
      <c r="O43" s="14">
        <v>86</v>
      </c>
      <c r="P43" s="14">
        <v>78</v>
      </c>
      <c r="Q43" s="14">
        <v>81</v>
      </c>
      <c r="R43" s="14">
        <v>1</v>
      </c>
      <c r="S43" s="14">
        <v>132</v>
      </c>
      <c r="T43" s="14">
        <v>54</v>
      </c>
      <c r="U43" s="14">
        <v>271</v>
      </c>
      <c r="V43" s="14">
        <v>79</v>
      </c>
      <c r="W43" s="14">
        <v>19</v>
      </c>
      <c r="X43" s="14">
        <v>65</v>
      </c>
      <c r="Y43" s="14">
        <v>122</v>
      </c>
      <c r="Z43" s="14">
        <v>46</v>
      </c>
      <c r="AA43" s="14">
        <v>10</v>
      </c>
      <c r="AB43" s="14">
        <v>9</v>
      </c>
      <c r="AC43" s="14">
        <v>45</v>
      </c>
      <c r="AD43" s="15">
        <v>5</v>
      </c>
      <c r="AE43" s="15">
        <v>2</v>
      </c>
      <c r="AF43" s="15">
        <v>1</v>
      </c>
    </row>
    <row r="44" spans="1:32" s="44" customFormat="1" ht="46.5" customHeight="1" x14ac:dyDescent="0.4">
      <c r="A44" s="40"/>
      <c r="B44" s="40"/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 spans="1:32" ht="46.5" customHeight="1" x14ac:dyDescent="0.4">
      <c r="A45" s="6" t="s">
        <v>30</v>
      </c>
      <c r="B45" s="2" t="s">
        <v>116</v>
      </c>
      <c r="C45" s="10">
        <f>SUM(D45:AF45)</f>
        <v>334</v>
      </c>
      <c r="D45" s="11">
        <v>4</v>
      </c>
      <c r="E45" s="11">
        <v>88</v>
      </c>
      <c r="F45" s="11">
        <v>12</v>
      </c>
      <c r="G45" s="11">
        <v>0</v>
      </c>
      <c r="H45" s="11">
        <v>1</v>
      </c>
      <c r="I45" s="11">
        <v>25</v>
      </c>
      <c r="J45" s="11">
        <v>15</v>
      </c>
      <c r="K45" s="11">
        <v>0</v>
      </c>
      <c r="L45" s="11">
        <v>2</v>
      </c>
      <c r="M45" s="11">
        <v>8</v>
      </c>
      <c r="N45" s="11">
        <v>7</v>
      </c>
      <c r="O45" s="11">
        <v>11</v>
      </c>
      <c r="P45" s="11">
        <v>14</v>
      </c>
      <c r="Q45" s="11">
        <v>13</v>
      </c>
      <c r="R45" s="11">
        <v>1</v>
      </c>
      <c r="S45" s="11">
        <v>16</v>
      </c>
      <c r="T45" s="11">
        <v>19</v>
      </c>
      <c r="U45" s="11">
        <v>42</v>
      </c>
      <c r="V45" s="11">
        <v>18</v>
      </c>
      <c r="W45" s="11">
        <v>2</v>
      </c>
      <c r="X45" s="11">
        <v>6</v>
      </c>
      <c r="Y45" s="11">
        <v>12</v>
      </c>
      <c r="Z45" s="11">
        <v>8</v>
      </c>
      <c r="AA45" s="11">
        <v>1</v>
      </c>
      <c r="AB45" s="11">
        <v>0</v>
      </c>
      <c r="AC45" s="11">
        <v>7</v>
      </c>
      <c r="AD45" s="9">
        <v>2</v>
      </c>
    </row>
    <row r="46" spans="1:32" s="15" customFormat="1" ht="46.5" customHeight="1" x14ac:dyDescent="0.4">
      <c r="A46" s="13"/>
      <c r="B46" s="12" t="s">
        <v>117</v>
      </c>
      <c r="C46" s="10">
        <f>SUM(D46:AF46)</f>
        <v>1820</v>
      </c>
      <c r="D46" s="14">
        <v>17</v>
      </c>
      <c r="E46" s="14">
        <v>367</v>
      </c>
      <c r="F46" s="14">
        <v>79</v>
      </c>
      <c r="G46" s="14">
        <v>4</v>
      </c>
      <c r="H46" s="14">
        <v>0</v>
      </c>
      <c r="I46" s="14">
        <v>100</v>
      </c>
      <c r="J46" s="14">
        <v>63</v>
      </c>
      <c r="K46" s="14">
        <v>0</v>
      </c>
      <c r="L46" s="14">
        <v>30</v>
      </c>
      <c r="M46" s="14">
        <v>67</v>
      </c>
      <c r="N46" s="14">
        <v>51</v>
      </c>
      <c r="O46" s="14">
        <v>80</v>
      </c>
      <c r="P46" s="14">
        <v>73</v>
      </c>
      <c r="Q46" s="14">
        <v>76</v>
      </c>
      <c r="R46" s="14">
        <v>1</v>
      </c>
      <c r="S46" s="14">
        <v>128</v>
      </c>
      <c r="T46" s="14">
        <v>54</v>
      </c>
      <c r="U46" s="14">
        <v>267</v>
      </c>
      <c r="V46" s="14">
        <v>71</v>
      </c>
      <c r="W46" s="14">
        <v>15</v>
      </c>
      <c r="X46" s="14">
        <v>56</v>
      </c>
      <c r="Y46" s="14">
        <v>107</v>
      </c>
      <c r="Z46" s="14">
        <v>45</v>
      </c>
      <c r="AA46" s="14">
        <v>10</v>
      </c>
      <c r="AB46" s="14">
        <v>10</v>
      </c>
      <c r="AC46" s="14">
        <v>41</v>
      </c>
      <c r="AD46" s="15">
        <v>5</v>
      </c>
      <c r="AE46" s="15">
        <v>2</v>
      </c>
      <c r="AF46" s="15">
        <v>1</v>
      </c>
    </row>
    <row r="47" spans="1:32" s="44" customFormat="1" ht="46.5" customHeight="1" x14ac:dyDescent="0.4">
      <c r="A47" s="40"/>
      <c r="B47" s="41"/>
      <c r="C47" s="4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 spans="1:32" ht="46.5" customHeight="1" x14ac:dyDescent="0.4">
      <c r="A48" s="6" t="s">
        <v>41</v>
      </c>
      <c r="B48" s="2" t="s">
        <v>101</v>
      </c>
      <c r="C48" s="10">
        <f>SUM(D48:AF48)</f>
        <v>33</v>
      </c>
      <c r="D48" s="11">
        <v>1</v>
      </c>
      <c r="E48" s="11">
        <v>8</v>
      </c>
      <c r="F48" s="11">
        <v>0</v>
      </c>
      <c r="G48" s="11">
        <v>0</v>
      </c>
      <c r="H48" s="11">
        <v>1</v>
      </c>
      <c r="I48" s="11">
        <v>3</v>
      </c>
      <c r="J48" s="11">
        <v>2</v>
      </c>
      <c r="K48" s="11">
        <v>0</v>
      </c>
      <c r="L48" s="11">
        <v>0</v>
      </c>
      <c r="M48" s="11">
        <v>3</v>
      </c>
      <c r="N48" s="11">
        <v>0</v>
      </c>
      <c r="O48" s="11">
        <v>4</v>
      </c>
      <c r="P48" s="11">
        <v>2</v>
      </c>
      <c r="Q48" s="11">
        <v>1</v>
      </c>
      <c r="R48" s="11">
        <v>1</v>
      </c>
      <c r="S48" s="11">
        <v>2</v>
      </c>
      <c r="T48" s="11">
        <v>0</v>
      </c>
      <c r="U48" s="11">
        <v>2</v>
      </c>
      <c r="V48" s="11">
        <v>1</v>
      </c>
      <c r="W48" s="11">
        <v>0</v>
      </c>
      <c r="X48" s="11">
        <v>0</v>
      </c>
      <c r="Y48" s="11">
        <v>0</v>
      </c>
      <c r="Z48" s="11">
        <v>1</v>
      </c>
      <c r="AA48" s="11">
        <v>0</v>
      </c>
      <c r="AB48" s="11">
        <v>0</v>
      </c>
      <c r="AC48" s="11">
        <v>0</v>
      </c>
      <c r="AD48" s="9">
        <v>1</v>
      </c>
    </row>
    <row r="49" spans="1:32" s="15" customFormat="1" ht="46.5" customHeight="1" x14ac:dyDescent="0.4">
      <c r="A49" s="13"/>
      <c r="B49" s="12" t="s">
        <v>118</v>
      </c>
      <c r="C49" s="10">
        <f t="shared" ref="C49" si="5">SUM(D49:AF49)</f>
        <v>1851</v>
      </c>
      <c r="D49" s="14">
        <v>15</v>
      </c>
      <c r="E49" s="14">
        <v>397</v>
      </c>
      <c r="F49" s="14">
        <v>79</v>
      </c>
      <c r="G49" s="14">
        <v>4</v>
      </c>
      <c r="H49" s="14">
        <v>0</v>
      </c>
      <c r="I49" s="14">
        <v>94</v>
      </c>
      <c r="J49" s="14">
        <v>60</v>
      </c>
      <c r="K49" s="14">
        <v>0</v>
      </c>
      <c r="L49" s="14">
        <v>35</v>
      </c>
      <c r="M49" s="14">
        <v>76</v>
      </c>
      <c r="N49" s="14">
        <v>53</v>
      </c>
      <c r="O49" s="14">
        <v>84</v>
      </c>
      <c r="P49" s="14">
        <v>85</v>
      </c>
      <c r="Q49" s="14">
        <v>77</v>
      </c>
      <c r="R49" s="14">
        <v>1</v>
      </c>
      <c r="S49" s="14">
        <v>126</v>
      </c>
      <c r="T49" s="14">
        <v>48</v>
      </c>
      <c r="U49" s="14">
        <v>254</v>
      </c>
      <c r="V49" s="14">
        <v>65</v>
      </c>
      <c r="W49" s="14">
        <v>18</v>
      </c>
      <c r="X49" s="14">
        <v>61</v>
      </c>
      <c r="Y49" s="14">
        <v>111</v>
      </c>
      <c r="Z49" s="14">
        <v>45</v>
      </c>
      <c r="AA49" s="14">
        <v>7</v>
      </c>
      <c r="AB49" s="14">
        <v>4</v>
      </c>
      <c r="AC49" s="14">
        <v>44</v>
      </c>
      <c r="AD49" s="15">
        <v>5</v>
      </c>
      <c r="AE49" s="15">
        <v>2</v>
      </c>
      <c r="AF49" s="15">
        <v>1</v>
      </c>
    </row>
    <row r="50" spans="1:32" s="15" customFormat="1" ht="46.5" customHeight="1" x14ac:dyDescent="0.4">
      <c r="A50" s="13"/>
      <c r="B50" s="12" t="s">
        <v>119</v>
      </c>
      <c r="C50" s="10">
        <f>SUM(D50:AF50)</f>
        <v>308</v>
      </c>
      <c r="D50" s="14">
        <v>3</v>
      </c>
      <c r="E50" s="14">
        <v>64</v>
      </c>
      <c r="F50" s="14">
        <v>14</v>
      </c>
      <c r="G50" s="14">
        <v>0</v>
      </c>
      <c r="H50" s="14">
        <v>0</v>
      </c>
      <c r="I50" s="14">
        <v>15</v>
      </c>
      <c r="J50" s="14">
        <v>10</v>
      </c>
      <c r="K50" s="14">
        <v>0</v>
      </c>
      <c r="L50" s="14">
        <v>5</v>
      </c>
      <c r="M50" s="14">
        <v>14</v>
      </c>
      <c r="N50" s="14">
        <v>7</v>
      </c>
      <c r="O50" s="14">
        <v>7</v>
      </c>
      <c r="P50" s="14">
        <v>4</v>
      </c>
      <c r="Q50" s="14">
        <v>14</v>
      </c>
      <c r="R50" s="14">
        <v>0</v>
      </c>
      <c r="S50" s="14">
        <v>23</v>
      </c>
      <c r="T50" s="14">
        <v>16</v>
      </c>
      <c r="U50" s="14">
        <v>44</v>
      </c>
      <c r="V50" s="14">
        <v>18</v>
      </c>
      <c r="W50" s="14">
        <v>1</v>
      </c>
      <c r="X50" s="14">
        <v>10</v>
      </c>
      <c r="Y50" s="14">
        <v>17</v>
      </c>
      <c r="Z50" s="14">
        <v>7</v>
      </c>
      <c r="AA50" s="14">
        <v>4</v>
      </c>
      <c r="AB50" s="14">
        <v>5</v>
      </c>
      <c r="AC50" s="14">
        <v>5</v>
      </c>
      <c r="AD50" s="15">
        <v>1</v>
      </c>
    </row>
    <row r="51" spans="1:32" s="44" customFormat="1" ht="46.5" customHeight="1" x14ac:dyDescent="0.4">
      <c r="A51" s="40"/>
      <c r="B51" s="41"/>
      <c r="C51" s="4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 spans="1:32" ht="46.5" customHeight="1" x14ac:dyDescent="0.4">
      <c r="A52" s="6" t="s">
        <v>28</v>
      </c>
      <c r="B52" s="2" t="s">
        <v>101</v>
      </c>
      <c r="C52" s="10">
        <f>SUM(D52:AF52)</f>
        <v>32</v>
      </c>
      <c r="D52" s="11">
        <v>1</v>
      </c>
      <c r="E52" s="11">
        <v>8</v>
      </c>
      <c r="F52" s="11">
        <v>0</v>
      </c>
      <c r="G52" s="11">
        <v>0</v>
      </c>
      <c r="H52" s="11">
        <v>1</v>
      </c>
      <c r="I52" s="11">
        <v>2</v>
      </c>
      <c r="J52" s="11">
        <v>1</v>
      </c>
      <c r="K52" s="11">
        <v>0</v>
      </c>
      <c r="L52" s="11">
        <v>0</v>
      </c>
      <c r="M52" s="11">
        <v>3</v>
      </c>
      <c r="N52" s="11">
        <v>0</v>
      </c>
      <c r="O52" s="11">
        <v>2</v>
      </c>
      <c r="P52" s="11">
        <v>3</v>
      </c>
      <c r="Q52" s="11">
        <v>1</v>
      </c>
      <c r="R52" s="11">
        <v>1</v>
      </c>
      <c r="S52" s="11">
        <v>2</v>
      </c>
      <c r="T52" s="11">
        <v>0</v>
      </c>
      <c r="U52" s="11">
        <v>4</v>
      </c>
      <c r="V52" s="11">
        <v>1</v>
      </c>
      <c r="W52" s="11">
        <v>0</v>
      </c>
      <c r="X52" s="11">
        <v>0</v>
      </c>
      <c r="Y52" s="11">
        <v>0</v>
      </c>
      <c r="Z52" s="11">
        <v>1</v>
      </c>
      <c r="AA52" s="11">
        <v>0</v>
      </c>
      <c r="AB52" s="11">
        <v>0</v>
      </c>
      <c r="AC52" s="11">
        <v>0</v>
      </c>
      <c r="AD52" s="9">
        <v>1</v>
      </c>
    </row>
    <row r="53" spans="1:32" s="15" customFormat="1" ht="46.5" customHeight="1" x14ac:dyDescent="0.4">
      <c r="A53" s="13"/>
      <c r="B53" s="12" t="s">
        <v>120</v>
      </c>
      <c r="C53" s="10">
        <f>SUM(D53:AF53)</f>
        <v>1974</v>
      </c>
      <c r="D53" s="14">
        <v>15</v>
      </c>
      <c r="E53" s="14">
        <v>423</v>
      </c>
      <c r="F53" s="14">
        <v>82</v>
      </c>
      <c r="G53" s="14">
        <v>4</v>
      </c>
      <c r="H53" s="14">
        <v>0</v>
      </c>
      <c r="I53" s="14">
        <v>108</v>
      </c>
      <c r="J53" s="14">
        <v>63</v>
      </c>
      <c r="K53" s="14">
        <v>0</v>
      </c>
      <c r="L53" s="14">
        <v>32</v>
      </c>
      <c r="M53" s="14">
        <v>77</v>
      </c>
      <c r="N53" s="14">
        <v>55</v>
      </c>
      <c r="O53" s="14">
        <v>85</v>
      </c>
      <c r="P53" s="14">
        <v>77</v>
      </c>
      <c r="Q53" s="14">
        <v>81</v>
      </c>
      <c r="R53" s="14">
        <v>1</v>
      </c>
      <c r="S53" s="14">
        <v>132</v>
      </c>
      <c r="T53" s="14">
        <v>54</v>
      </c>
      <c r="U53" s="14">
        <v>273</v>
      </c>
      <c r="V53" s="14">
        <v>78</v>
      </c>
      <c r="W53" s="14">
        <v>17</v>
      </c>
      <c r="X53" s="14">
        <v>68</v>
      </c>
      <c r="Y53" s="14">
        <v>124</v>
      </c>
      <c r="Z53" s="14">
        <v>49</v>
      </c>
      <c r="AA53" s="14">
        <v>10</v>
      </c>
      <c r="AB53" s="14">
        <v>10</v>
      </c>
      <c r="AC53" s="14">
        <v>47</v>
      </c>
      <c r="AD53" s="15">
        <v>6</v>
      </c>
      <c r="AE53" s="15">
        <v>2</v>
      </c>
      <c r="AF53" s="15">
        <v>1</v>
      </c>
    </row>
    <row r="54" spans="1:32" s="44" customFormat="1" ht="46.5" customHeight="1" x14ac:dyDescent="0.4">
      <c r="A54" s="40"/>
      <c r="B54" s="41"/>
      <c r="C54" s="42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 spans="1:32" ht="39" customHeight="1" x14ac:dyDescent="0.4">
      <c r="A55" s="22" t="s">
        <v>33</v>
      </c>
      <c r="C55" s="10">
        <f>SUM(D55:AF55)</f>
        <v>1723</v>
      </c>
      <c r="D55" s="11"/>
      <c r="E55" s="11"/>
      <c r="F55" s="11">
        <v>149</v>
      </c>
      <c r="G55" s="11">
        <v>0</v>
      </c>
      <c r="H55" s="11">
        <v>1</v>
      </c>
      <c r="I55" s="11">
        <v>176</v>
      </c>
      <c r="J55" s="11">
        <v>120</v>
      </c>
      <c r="K55" s="11">
        <v>4</v>
      </c>
      <c r="L55" s="11">
        <v>17</v>
      </c>
      <c r="M55" s="11">
        <v>51</v>
      </c>
      <c r="N55" s="11">
        <v>41</v>
      </c>
      <c r="O55" s="11">
        <v>76</v>
      </c>
      <c r="P55" s="11">
        <v>43</v>
      </c>
      <c r="Q55" s="11">
        <v>64</v>
      </c>
      <c r="R55" s="11">
        <v>1</v>
      </c>
      <c r="S55" s="11">
        <v>173</v>
      </c>
      <c r="T55" s="11">
        <v>262</v>
      </c>
      <c r="U55" s="11">
        <v>304</v>
      </c>
      <c r="V55" s="11">
        <v>65</v>
      </c>
      <c r="W55" s="11">
        <v>16</v>
      </c>
      <c r="X55" s="11">
        <v>29</v>
      </c>
      <c r="Y55" s="11">
        <v>46</v>
      </c>
      <c r="Z55" s="11">
        <v>37</v>
      </c>
      <c r="AA55" s="11">
        <v>11</v>
      </c>
      <c r="AB55" s="11">
        <v>1</v>
      </c>
      <c r="AC55" s="11">
        <v>36</v>
      </c>
    </row>
    <row r="56" spans="1:32" ht="39" customHeight="1" x14ac:dyDescent="0.4">
      <c r="A56" s="22" t="s">
        <v>34</v>
      </c>
      <c r="B56" s="9"/>
      <c r="C56" s="11">
        <f>SUM(D56:AF56)</f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32" ht="39" customHeight="1" x14ac:dyDescent="0.4">
      <c r="A57" s="22"/>
      <c r="B57" s="23" t="s">
        <v>42</v>
      </c>
      <c r="C57" s="24">
        <f>C56/C55</f>
        <v>0</v>
      </c>
      <c r="F57" s="25">
        <f>F56/F55</f>
        <v>0</v>
      </c>
      <c r="G57" s="25" t="e">
        <f>G56/G55</f>
        <v>#DIV/0!</v>
      </c>
      <c r="H57" s="25">
        <f>H56/H55</f>
        <v>0</v>
      </c>
      <c r="I57" s="25">
        <f t="shared" ref="I57:AC57" si="6">I56/I55</f>
        <v>0</v>
      </c>
      <c r="J57" s="25">
        <f t="shared" si="6"/>
        <v>0</v>
      </c>
      <c r="K57" s="25">
        <f t="shared" ref="K57" si="7">K56/K55</f>
        <v>0</v>
      </c>
      <c r="L57" s="25">
        <f t="shared" si="6"/>
        <v>0</v>
      </c>
      <c r="M57" s="25">
        <f t="shared" si="6"/>
        <v>0</v>
      </c>
      <c r="N57" s="25">
        <f t="shared" si="6"/>
        <v>0</v>
      </c>
      <c r="O57" s="25">
        <f t="shared" si="6"/>
        <v>0</v>
      </c>
      <c r="P57" s="25">
        <f t="shared" ref="P57" si="8">P56/P55</f>
        <v>0</v>
      </c>
      <c r="Q57" s="25">
        <f t="shared" si="6"/>
        <v>0</v>
      </c>
      <c r="R57" s="25">
        <f t="shared" ref="R57" si="9">R56/R55</f>
        <v>0</v>
      </c>
      <c r="S57" s="25">
        <f t="shared" si="6"/>
        <v>0</v>
      </c>
      <c r="T57" s="25">
        <f t="shared" si="6"/>
        <v>0</v>
      </c>
      <c r="U57" s="25">
        <f t="shared" si="6"/>
        <v>0</v>
      </c>
      <c r="V57" s="25">
        <f t="shared" si="6"/>
        <v>0</v>
      </c>
      <c r="W57" s="25">
        <f t="shared" si="6"/>
        <v>0</v>
      </c>
      <c r="X57" s="25">
        <f t="shared" si="6"/>
        <v>0</v>
      </c>
      <c r="Y57" s="25">
        <f t="shared" si="6"/>
        <v>0</v>
      </c>
      <c r="Z57" s="25">
        <f t="shared" si="6"/>
        <v>0</v>
      </c>
      <c r="AA57" s="25">
        <f t="shared" si="6"/>
        <v>0</v>
      </c>
      <c r="AB57" s="25">
        <f t="shared" ref="AB57" si="10">AB56/AB55</f>
        <v>0</v>
      </c>
      <c r="AC57" s="25">
        <f t="shared" si="6"/>
        <v>0</v>
      </c>
    </row>
    <row r="58" spans="1:32" s="15" customFormat="1" ht="39" customHeight="1" x14ac:dyDescent="0.4">
      <c r="A58" s="26" t="s">
        <v>31</v>
      </c>
      <c r="C58" s="14">
        <f>SUM(D58:AF58)</f>
        <v>4903</v>
      </c>
      <c r="D58" s="27"/>
      <c r="E58" s="27"/>
      <c r="F58" s="14">
        <v>305</v>
      </c>
      <c r="G58" s="14">
        <v>12</v>
      </c>
      <c r="H58" s="14">
        <v>1</v>
      </c>
      <c r="I58" s="14">
        <v>381</v>
      </c>
      <c r="J58" s="14">
        <v>275</v>
      </c>
      <c r="K58" s="14">
        <v>2</v>
      </c>
      <c r="L58" s="14">
        <v>80</v>
      </c>
      <c r="M58" s="14">
        <v>238</v>
      </c>
      <c r="N58" s="14">
        <v>180</v>
      </c>
      <c r="O58" s="14">
        <v>263</v>
      </c>
      <c r="P58" s="14">
        <v>221</v>
      </c>
      <c r="Q58" s="14">
        <v>258</v>
      </c>
      <c r="R58" s="14">
        <v>1</v>
      </c>
      <c r="S58" s="14">
        <v>475</v>
      </c>
      <c r="T58" s="14">
        <v>216</v>
      </c>
      <c r="U58" s="14">
        <v>896</v>
      </c>
      <c r="V58" s="14">
        <v>253</v>
      </c>
      <c r="W58" s="14">
        <v>70</v>
      </c>
      <c r="X58" s="14">
        <v>172</v>
      </c>
      <c r="Y58" s="14">
        <f>74+176</f>
        <v>250</v>
      </c>
      <c r="Z58" s="14">
        <v>148</v>
      </c>
      <c r="AA58" s="14">
        <v>54</v>
      </c>
      <c r="AB58" s="14">
        <v>18</v>
      </c>
      <c r="AC58" s="14">
        <v>134</v>
      </c>
    </row>
    <row r="59" spans="1:32" s="15" customFormat="1" ht="39" customHeight="1" x14ac:dyDescent="0.4">
      <c r="A59" s="26" t="s">
        <v>32</v>
      </c>
      <c r="C59" s="14">
        <f>SUM(D59:AF59)</f>
        <v>0</v>
      </c>
      <c r="D59" s="14"/>
      <c r="E59" s="27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32" s="15" customFormat="1" ht="39" customHeight="1" x14ac:dyDescent="0.4">
      <c r="A60" s="13"/>
      <c r="B60" s="28" t="s">
        <v>43</v>
      </c>
      <c r="C60" s="29">
        <f>C59/C58</f>
        <v>0</v>
      </c>
      <c r="D60" s="27"/>
      <c r="E60" s="27"/>
      <c r="F60" s="30">
        <f>F59/F58</f>
        <v>0</v>
      </c>
      <c r="G60" s="30">
        <f>G59/G58</f>
        <v>0</v>
      </c>
      <c r="H60" s="30">
        <f>H59/H58</f>
        <v>0</v>
      </c>
      <c r="I60" s="30">
        <f t="shared" ref="I60:AC60" si="11">I59/I58</f>
        <v>0</v>
      </c>
      <c r="J60" s="30">
        <f t="shared" si="11"/>
        <v>0</v>
      </c>
      <c r="K60" s="30">
        <f t="shared" ref="K60" si="12">K59/K58</f>
        <v>0</v>
      </c>
      <c r="L60" s="30">
        <f t="shared" si="11"/>
        <v>0</v>
      </c>
      <c r="M60" s="30">
        <f t="shared" si="11"/>
        <v>0</v>
      </c>
      <c r="N60" s="30">
        <f t="shared" si="11"/>
        <v>0</v>
      </c>
      <c r="O60" s="30">
        <f t="shared" si="11"/>
        <v>0</v>
      </c>
      <c r="P60" s="30">
        <f t="shared" ref="P60" si="13">P59/P58</f>
        <v>0</v>
      </c>
      <c r="Q60" s="30">
        <f t="shared" si="11"/>
        <v>0</v>
      </c>
      <c r="R60" s="30">
        <f t="shared" ref="R60" si="14">R59/R58</f>
        <v>0</v>
      </c>
      <c r="S60" s="30">
        <f t="shared" si="11"/>
        <v>0</v>
      </c>
      <c r="T60" s="30">
        <f t="shared" si="11"/>
        <v>0</v>
      </c>
      <c r="U60" s="30">
        <f t="shared" si="11"/>
        <v>0</v>
      </c>
      <c r="V60" s="30">
        <f t="shared" si="11"/>
        <v>0</v>
      </c>
      <c r="W60" s="30">
        <f t="shared" si="11"/>
        <v>0</v>
      </c>
      <c r="X60" s="30">
        <f t="shared" si="11"/>
        <v>0</v>
      </c>
      <c r="Y60" s="30">
        <f t="shared" si="11"/>
        <v>0</v>
      </c>
      <c r="Z60" s="30">
        <f t="shared" si="11"/>
        <v>0</v>
      </c>
      <c r="AA60" s="30">
        <f t="shared" si="11"/>
        <v>0</v>
      </c>
      <c r="AB60" s="30">
        <f t="shared" ref="AB60" si="15">AB59/AB58</f>
        <v>0</v>
      </c>
      <c r="AC60" s="30">
        <f t="shared" si="11"/>
        <v>0</v>
      </c>
    </row>
    <row r="61" spans="1:32" s="35" customFormat="1" ht="39" customHeight="1" x14ac:dyDescent="0.4">
      <c r="A61" s="31" t="s">
        <v>35</v>
      </c>
      <c r="B61" s="32" t="s">
        <v>138</v>
      </c>
      <c r="C61" s="33">
        <f>SUM(F61:AC61)</f>
        <v>9180</v>
      </c>
      <c r="D61" s="34"/>
      <c r="E61" s="34"/>
      <c r="F61" s="34">
        <f>717-7</f>
        <v>710</v>
      </c>
      <c r="G61" s="34">
        <v>16</v>
      </c>
      <c r="H61" s="34">
        <v>2</v>
      </c>
      <c r="I61" s="34">
        <f>826-12</f>
        <v>814</v>
      </c>
      <c r="J61" s="34">
        <f>543-6</f>
        <v>537</v>
      </c>
      <c r="K61" s="34">
        <v>6</v>
      </c>
      <c r="L61" s="34">
        <v>114</v>
      </c>
      <c r="M61" s="34">
        <f>394-4</f>
        <v>390</v>
      </c>
      <c r="N61" s="34">
        <f>256-1</f>
        <v>255</v>
      </c>
      <c r="O61" s="34">
        <f>406-3</f>
        <v>403</v>
      </c>
      <c r="P61" s="34">
        <f>328-1</f>
        <v>327</v>
      </c>
      <c r="Q61" s="34">
        <v>379</v>
      </c>
      <c r="R61" s="34">
        <v>2</v>
      </c>
      <c r="S61" s="34">
        <f>953-10</f>
        <v>943</v>
      </c>
      <c r="T61" s="34">
        <f>803-12</f>
        <v>791</v>
      </c>
      <c r="U61" s="34">
        <f>1694-11</f>
        <v>1683</v>
      </c>
      <c r="V61" s="34">
        <f>439-6</f>
        <v>433</v>
      </c>
      <c r="W61" s="34">
        <f>121-1</f>
        <v>120</v>
      </c>
      <c r="X61" s="34">
        <f>267-4</f>
        <v>263</v>
      </c>
      <c r="Y61" s="34">
        <f>109+271-2</f>
        <v>378</v>
      </c>
      <c r="Z61" s="34">
        <f>254-3</f>
        <v>251</v>
      </c>
      <c r="AA61" s="34">
        <v>92</v>
      </c>
      <c r="AB61" s="34">
        <v>29</v>
      </c>
      <c r="AC61" s="34">
        <f>245-3</f>
        <v>242</v>
      </c>
    </row>
    <row r="62" spans="1:32" s="35" customFormat="1" ht="39" customHeight="1" x14ac:dyDescent="0.4">
      <c r="A62" s="31" t="s">
        <v>36</v>
      </c>
      <c r="C62" s="34">
        <f>SUM(D62:AF62)</f>
        <v>2613</v>
      </c>
      <c r="D62" s="34">
        <v>22</v>
      </c>
      <c r="E62" s="34">
        <v>570</v>
      </c>
      <c r="F62" s="36">
        <v>340</v>
      </c>
      <c r="G62" s="36"/>
      <c r="H62" s="36"/>
      <c r="I62" s="36"/>
      <c r="J62" s="36"/>
      <c r="K62" s="36"/>
      <c r="L62" s="36"/>
      <c r="M62" s="36">
        <v>162</v>
      </c>
      <c r="N62" s="36"/>
      <c r="O62" s="36">
        <v>391</v>
      </c>
      <c r="P62" s="36"/>
      <c r="Q62" s="36"/>
      <c r="R62" s="36"/>
      <c r="S62" s="36">
        <v>260</v>
      </c>
      <c r="T62" s="36"/>
      <c r="U62" s="36">
        <v>358</v>
      </c>
      <c r="V62" s="36">
        <v>109</v>
      </c>
      <c r="W62" s="36"/>
      <c r="X62" s="36">
        <v>102</v>
      </c>
      <c r="Y62" s="36">
        <v>142</v>
      </c>
      <c r="Z62" s="36">
        <v>62</v>
      </c>
      <c r="AA62" s="36"/>
      <c r="AB62" s="36"/>
      <c r="AC62" s="36">
        <v>84</v>
      </c>
      <c r="AD62" s="35">
        <v>8</v>
      </c>
      <c r="AE62" s="35">
        <v>2</v>
      </c>
      <c r="AF62" s="35">
        <v>1</v>
      </c>
    </row>
    <row r="63" spans="1:32" s="39" customFormat="1" ht="39" customHeight="1" x14ac:dyDescent="0.4">
      <c r="B63" s="32" t="s">
        <v>37</v>
      </c>
      <c r="C63" s="37">
        <f>C62/C61</f>
        <v>0.28464052287581698</v>
      </c>
      <c r="D63" s="33"/>
      <c r="E63" s="33"/>
      <c r="F63" s="38">
        <f>F62/F61</f>
        <v>0.47887323943661969</v>
      </c>
      <c r="G63" s="38">
        <f>G62/G61</f>
        <v>0</v>
      </c>
      <c r="H63" s="38">
        <f>H62/H61</f>
        <v>0</v>
      </c>
      <c r="I63" s="38">
        <f t="shared" ref="I63:AC63" si="16">I62/I61</f>
        <v>0</v>
      </c>
      <c r="J63" s="38">
        <f t="shared" si="16"/>
        <v>0</v>
      </c>
      <c r="K63" s="38">
        <f t="shared" ref="K63" si="17">K62/K61</f>
        <v>0</v>
      </c>
      <c r="L63" s="38">
        <f>L62/L61</f>
        <v>0</v>
      </c>
      <c r="M63" s="38">
        <f t="shared" si="16"/>
        <v>0.41538461538461541</v>
      </c>
      <c r="N63" s="38">
        <f t="shared" si="16"/>
        <v>0</v>
      </c>
      <c r="O63" s="38">
        <f t="shared" si="16"/>
        <v>0.97022332506203479</v>
      </c>
      <c r="P63" s="38">
        <f t="shared" ref="P63" si="18">P62/P61</f>
        <v>0</v>
      </c>
      <c r="Q63" s="38">
        <f t="shared" si="16"/>
        <v>0</v>
      </c>
      <c r="R63" s="38">
        <f t="shared" ref="R63" si="19">R62/R61</f>
        <v>0</v>
      </c>
      <c r="S63" s="38">
        <f t="shared" si="16"/>
        <v>0.27571580063626722</v>
      </c>
      <c r="T63" s="38">
        <f t="shared" si="16"/>
        <v>0</v>
      </c>
      <c r="U63" s="38">
        <f t="shared" si="16"/>
        <v>0.21271538918597743</v>
      </c>
      <c r="V63" s="38">
        <f t="shared" si="16"/>
        <v>0.25173210161662818</v>
      </c>
      <c r="W63" s="38">
        <f t="shared" si="16"/>
        <v>0</v>
      </c>
      <c r="X63" s="38">
        <f t="shared" si="16"/>
        <v>0.38783269961977185</v>
      </c>
      <c r="Y63" s="38">
        <f t="shared" si="16"/>
        <v>0.37566137566137564</v>
      </c>
      <c r="Z63" s="38">
        <f t="shared" si="16"/>
        <v>0.24701195219123506</v>
      </c>
      <c r="AA63" s="38">
        <f t="shared" si="16"/>
        <v>0</v>
      </c>
      <c r="AB63" s="38">
        <f t="shared" ref="AB63" si="20">AB62/AB61</f>
        <v>0</v>
      </c>
      <c r="AC63" s="38">
        <f t="shared" si="16"/>
        <v>0.34710743801652894</v>
      </c>
    </row>
  </sheetData>
  <printOptions gridLines="1"/>
  <pageMargins left="0.7" right="0.7" top="0.75" bottom="0.75" header="0.3" footer="0.3"/>
  <pageSetup paperSize="5" scale="21" fitToHeight="0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ABCB-2CCF-4993-8642-3416FEB043A3}">
  <sheetPr>
    <pageSetUpPr fitToPage="1"/>
  </sheetPr>
  <dimension ref="A1:AA63"/>
  <sheetViews>
    <sheetView zoomScale="50" zoomScaleNormal="50" workbookViewId="0">
      <pane xSplit="7" ySplit="12" topLeftCell="M13" activePane="bottomRight" state="frozen"/>
      <selection pane="topRight" activeCell="J1" sqref="J1"/>
      <selection pane="bottomLeft" activeCell="A13" sqref="A13"/>
      <selection pane="bottomRight" activeCell="D1" sqref="D1:D1048576"/>
    </sheetView>
  </sheetViews>
  <sheetFormatPr defaultRowHeight="36.75" customHeight="1" x14ac:dyDescent="0.4"/>
  <cols>
    <col min="1" max="1" width="48.42578125" style="6" bestFit="1" customWidth="1"/>
    <col min="2" max="2" width="76.28515625" style="2" customWidth="1"/>
    <col min="3" max="3" width="19.140625" style="3" bestFit="1" customWidth="1"/>
    <col min="4" max="25" width="20.85546875" style="7" customWidth="1"/>
    <col min="26" max="26" width="27" style="7" bestFit="1" customWidth="1"/>
    <col min="27" max="27" width="20.85546875" style="7" customWidth="1"/>
    <col min="28" max="256" width="9.140625" style="9"/>
    <col min="257" max="257" width="48.42578125" style="9" bestFit="1" customWidth="1"/>
    <col min="258" max="258" width="71.7109375" style="9" customWidth="1"/>
    <col min="259" max="259" width="19.140625" style="9" bestFit="1" customWidth="1"/>
    <col min="260" max="283" width="20.85546875" style="9" customWidth="1"/>
    <col min="284" max="512" width="9.140625" style="9"/>
    <col min="513" max="513" width="48.42578125" style="9" bestFit="1" customWidth="1"/>
    <col min="514" max="514" width="71.7109375" style="9" customWidth="1"/>
    <col min="515" max="515" width="19.140625" style="9" bestFit="1" customWidth="1"/>
    <col min="516" max="539" width="20.85546875" style="9" customWidth="1"/>
    <col min="540" max="768" width="9.140625" style="9"/>
    <col min="769" max="769" width="48.42578125" style="9" bestFit="1" customWidth="1"/>
    <col min="770" max="770" width="71.7109375" style="9" customWidth="1"/>
    <col min="771" max="771" width="19.140625" style="9" bestFit="1" customWidth="1"/>
    <col min="772" max="795" width="20.85546875" style="9" customWidth="1"/>
    <col min="796" max="1024" width="9.140625" style="9"/>
    <col min="1025" max="1025" width="48.42578125" style="9" bestFit="1" customWidth="1"/>
    <col min="1026" max="1026" width="71.7109375" style="9" customWidth="1"/>
    <col min="1027" max="1027" width="19.140625" style="9" bestFit="1" customWidth="1"/>
    <col min="1028" max="1051" width="20.85546875" style="9" customWidth="1"/>
    <col min="1052" max="1280" width="9.140625" style="9"/>
    <col min="1281" max="1281" width="48.42578125" style="9" bestFit="1" customWidth="1"/>
    <col min="1282" max="1282" width="71.7109375" style="9" customWidth="1"/>
    <col min="1283" max="1283" width="19.140625" style="9" bestFit="1" customWidth="1"/>
    <col min="1284" max="1307" width="20.85546875" style="9" customWidth="1"/>
    <col min="1308" max="1536" width="9.140625" style="9"/>
    <col min="1537" max="1537" width="48.42578125" style="9" bestFit="1" customWidth="1"/>
    <col min="1538" max="1538" width="71.7109375" style="9" customWidth="1"/>
    <col min="1539" max="1539" width="19.140625" style="9" bestFit="1" customWidth="1"/>
    <col min="1540" max="1563" width="20.85546875" style="9" customWidth="1"/>
    <col min="1564" max="1792" width="9.140625" style="9"/>
    <col min="1793" max="1793" width="48.42578125" style="9" bestFit="1" customWidth="1"/>
    <col min="1794" max="1794" width="71.7109375" style="9" customWidth="1"/>
    <col min="1795" max="1795" width="19.140625" style="9" bestFit="1" customWidth="1"/>
    <col min="1796" max="1819" width="20.85546875" style="9" customWidth="1"/>
    <col min="1820" max="2048" width="9.140625" style="9"/>
    <col min="2049" max="2049" width="48.42578125" style="9" bestFit="1" customWidth="1"/>
    <col min="2050" max="2050" width="71.7109375" style="9" customWidth="1"/>
    <col min="2051" max="2051" width="19.140625" style="9" bestFit="1" customWidth="1"/>
    <col min="2052" max="2075" width="20.85546875" style="9" customWidth="1"/>
    <col min="2076" max="2304" width="9.140625" style="9"/>
    <col min="2305" max="2305" width="48.42578125" style="9" bestFit="1" customWidth="1"/>
    <col min="2306" max="2306" width="71.7109375" style="9" customWidth="1"/>
    <col min="2307" max="2307" width="19.140625" style="9" bestFit="1" customWidth="1"/>
    <col min="2308" max="2331" width="20.85546875" style="9" customWidth="1"/>
    <col min="2332" max="2560" width="9.140625" style="9"/>
    <col min="2561" max="2561" width="48.42578125" style="9" bestFit="1" customWidth="1"/>
    <col min="2562" max="2562" width="71.7109375" style="9" customWidth="1"/>
    <col min="2563" max="2563" width="19.140625" style="9" bestFit="1" customWidth="1"/>
    <col min="2564" max="2587" width="20.85546875" style="9" customWidth="1"/>
    <col min="2588" max="2816" width="9.140625" style="9"/>
    <col min="2817" max="2817" width="48.42578125" style="9" bestFit="1" customWidth="1"/>
    <col min="2818" max="2818" width="71.7109375" style="9" customWidth="1"/>
    <col min="2819" max="2819" width="19.140625" style="9" bestFit="1" customWidth="1"/>
    <col min="2820" max="2843" width="20.85546875" style="9" customWidth="1"/>
    <col min="2844" max="3072" width="9.140625" style="9"/>
    <col min="3073" max="3073" width="48.42578125" style="9" bestFit="1" customWidth="1"/>
    <col min="3074" max="3074" width="71.7109375" style="9" customWidth="1"/>
    <col min="3075" max="3075" width="19.140625" style="9" bestFit="1" customWidth="1"/>
    <col min="3076" max="3099" width="20.85546875" style="9" customWidth="1"/>
    <col min="3100" max="3328" width="9.140625" style="9"/>
    <col min="3329" max="3329" width="48.42578125" style="9" bestFit="1" customWidth="1"/>
    <col min="3330" max="3330" width="71.7109375" style="9" customWidth="1"/>
    <col min="3331" max="3331" width="19.140625" style="9" bestFit="1" customWidth="1"/>
    <col min="3332" max="3355" width="20.85546875" style="9" customWidth="1"/>
    <col min="3356" max="3584" width="9.140625" style="9"/>
    <col min="3585" max="3585" width="48.42578125" style="9" bestFit="1" customWidth="1"/>
    <col min="3586" max="3586" width="71.7109375" style="9" customWidth="1"/>
    <col min="3587" max="3587" width="19.140625" style="9" bestFit="1" customWidth="1"/>
    <col min="3588" max="3611" width="20.85546875" style="9" customWidth="1"/>
    <col min="3612" max="3840" width="9.140625" style="9"/>
    <col min="3841" max="3841" width="48.42578125" style="9" bestFit="1" customWidth="1"/>
    <col min="3842" max="3842" width="71.7109375" style="9" customWidth="1"/>
    <col min="3843" max="3843" width="19.140625" style="9" bestFit="1" customWidth="1"/>
    <col min="3844" max="3867" width="20.85546875" style="9" customWidth="1"/>
    <col min="3868" max="4096" width="9.140625" style="9"/>
    <col min="4097" max="4097" width="48.42578125" style="9" bestFit="1" customWidth="1"/>
    <col min="4098" max="4098" width="71.7109375" style="9" customWidth="1"/>
    <col min="4099" max="4099" width="19.140625" style="9" bestFit="1" customWidth="1"/>
    <col min="4100" max="4123" width="20.85546875" style="9" customWidth="1"/>
    <col min="4124" max="4352" width="9.140625" style="9"/>
    <col min="4353" max="4353" width="48.42578125" style="9" bestFit="1" customWidth="1"/>
    <col min="4354" max="4354" width="71.7109375" style="9" customWidth="1"/>
    <col min="4355" max="4355" width="19.140625" style="9" bestFit="1" customWidth="1"/>
    <col min="4356" max="4379" width="20.85546875" style="9" customWidth="1"/>
    <col min="4380" max="4608" width="9.140625" style="9"/>
    <col min="4609" max="4609" width="48.42578125" style="9" bestFit="1" customWidth="1"/>
    <col min="4610" max="4610" width="71.7109375" style="9" customWidth="1"/>
    <col min="4611" max="4611" width="19.140625" style="9" bestFit="1" customWidth="1"/>
    <col min="4612" max="4635" width="20.85546875" style="9" customWidth="1"/>
    <col min="4636" max="4864" width="9.140625" style="9"/>
    <col min="4865" max="4865" width="48.42578125" style="9" bestFit="1" customWidth="1"/>
    <col min="4866" max="4866" width="71.7109375" style="9" customWidth="1"/>
    <col min="4867" max="4867" width="19.140625" style="9" bestFit="1" customWidth="1"/>
    <col min="4868" max="4891" width="20.85546875" style="9" customWidth="1"/>
    <col min="4892" max="5120" width="9.140625" style="9"/>
    <col min="5121" max="5121" width="48.42578125" style="9" bestFit="1" customWidth="1"/>
    <col min="5122" max="5122" width="71.7109375" style="9" customWidth="1"/>
    <col min="5123" max="5123" width="19.140625" style="9" bestFit="1" customWidth="1"/>
    <col min="5124" max="5147" width="20.85546875" style="9" customWidth="1"/>
    <col min="5148" max="5376" width="9.140625" style="9"/>
    <col min="5377" max="5377" width="48.42578125" style="9" bestFit="1" customWidth="1"/>
    <col min="5378" max="5378" width="71.7109375" style="9" customWidth="1"/>
    <col min="5379" max="5379" width="19.140625" style="9" bestFit="1" customWidth="1"/>
    <col min="5380" max="5403" width="20.85546875" style="9" customWidth="1"/>
    <col min="5404" max="5632" width="9.140625" style="9"/>
    <col min="5633" max="5633" width="48.42578125" style="9" bestFit="1" customWidth="1"/>
    <col min="5634" max="5634" width="71.7109375" style="9" customWidth="1"/>
    <col min="5635" max="5635" width="19.140625" style="9" bestFit="1" customWidth="1"/>
    <col min="5636" max="5659" width="20.85546875" style="9" customWidth="1"/>
    <col min="5660" max="5888" width="9.140625" style="9"/>
    <col min="5889" max="5889" width="48.42578125" style="9" bestFit="1" customWidth="1"/>
    <col min="5890" max="5890" width="71.7109375" style="9" customWidth="1"/>
    <col min="5891" max="5891" width="19.140625" style="9" bestFit="1" customWidth="1"/>
    <col min="5892" max="5915" width="20.85546875" style="9" customWidth="1"/>
    <col min="5916" max="6144" width="9.140625" style="9"/>
    <col min="6145" max="6145" width="48.42578125" style="9" bestFit="1" customWidth="1"/>
    <col min="6146" max="6146" width="71.7109375" style="9" customWidth="1"/>
    <col min="6147" max="6147" width="19.140625" style="9" bestFit="1" customWidth="1"/>
    <col min="6148" max="6171" width="20.85546875" style="9" customWidth="1"/>
    <col min="6172" max="6400" width="9.140625" style="9"/>
    <col min="6401" max="6401" width="48.42578125" style="9" bestFit="1" customWidth="1"/>
    <col min="6402" max="6402" width="71.7109375" style="9" customWidth="1"/>
    <col min="6403" max="6403" width="19.140625" style="9" bestFit="1" customWidth="1"/>
    <col min="6404" max="6427" width="20.85546875" style="9" customWidth="1"/>
    <col min="6428" max="6656" width="9.140625" style="9"/>
    <col min="6657" max="6657" width="48.42578125" style="9" bestFit="1" customWidth="1"/>
    <col min="6658" max="6658" width="71.7109375" style="9" customWidth="1"/>
    <col min="6659" max="6659" width="19.140625" style="9" bestFit="1" customWidth="1"/>
    <col min="6660" max="6683" width="20.85546875" style="9" customWidth="1"/>
    <col min="6684" max="6912" width="9.140625" style="9"/>
    <col min="6913" max="6913" width="48.42578125" style="9" bestFit="1" customWidth="1"/>
    <col min="6914" max="6914" width="71.7109375" style="9" customWidth="1"/>
    <col min="6915" max="6915" width="19.140625" style="9" bestFit="1" customWidth="1"/>
    <col min="6916" max="6939" width="20.85546875" style="9" customWidth="1"/>
    <col min="6940" max="7168" width="9.140625" style="9"/>
    <col min="7169" max="7169" width="48.42578125" style="9" bestFit="1" customWidth="1"/>
    <col min="7170" max="7170" width="71.7109375" style="9" customWidth="1"/>
    <col min="7171" max="7171" width="19.140625" style="9" bestFit="1" customWidth="1"/>
    <col min="7172" max="7195" width="20.85546875" style="9" customWidth="1"/>
    <col min="7196" max="7424" width="9.140625" style="9"/>
    <col min="7425" max="7425" width="48.42578125" style="9" bestFit="1" customWidth="1"/>
    <col min="7426" max="7426" width="71.7109375" style="9" customWidth="1"/>
    <col min="7427" max="7427" width="19.140625" style="9" bestFit="1" customWidth="1"/>
    <col min="7428" max="7451" width="20.85546875" style="9" customWidth="1"/>
    <col min="7452" max="7680" width="9.140625" style="9"/>
    <col min="7681" max="7681" width="48.42578125" style="9" bestFit="1" customWidth="1"/>
    <col min="7682" max="7682" width="71.7109375" style="9" customWidth="1"/>
    <col min="7683" max="7683" width="19.140625" style="9" bestFit="1" customWidth="1"/>
    <col min="7684" max="7707" width="20.85546875" style="9" customWidth="1"/>
    <col min="7708" max="7936" width="9.140625" style="9"/>
    <col min="7937" max="7937" width="48.42578125" style="9" bestFit="1" customWidth="1"/>
    <col min="7938" max="7938" width="71.7109375" style="9" customWidth="1"/>
    <col min="7939" max="7939" width="19.140625" style="9" bestFit="1" customWidth="1"/>
    <col min="7940" max="7963" width="20.85546875" style="9" customWidth="1"/>
    <col min="7964" max="8192" width="9.140625" style="9"/>
    <col min="8193" max="8193" width="48.42578125" style="9" bestFit="1" customWidth="1"/>
    <col min="8194" max="8194" width="71.7109375" style="9" customWidth="1"/>
    <col min="8195" max="8195" width="19.140625" style="9" bestFit="1" customWidth="1"/>
    <col min="8196" max="8219" width="20.85546875" style="9" customWidth="1"/>
    <col min="8220" max="8448" width="9.140625" style="9"/>
    <col min="8449" max="8449" width="48.42578125" style="9" bestFit="1" customWidth="1"/>
    <col min="8450" max="8450" width="71.7109375" style="9" customWidth="1"/>
    <col min="8451" max="8451" width="19.140625" style="9" bestFit="1" customWidth="1"/>
    <col min="8452" max="8475" width="20.85546875" style="9" customWidth="1"/>
    <col min="8476" max="8704" width="9.140625" style="9"/>
    <col min="8705" max="8705" width="48.42578125" style="9" bestFit="1" customWidth="1"/>
    <col min="8706" max="8706" width="71.7109375" style="9" customWidth="1"/>
    <col min="8707" max="8707" width="19.140625" style="9" bestFit="1" customWidth="1"/>
    <col min="8708" max="8731" width="20.85546875" style="9" customWidth="1"/>
    <col min="8732" max="8960" width="9.140625" style="9"/>
    <col min="8961" max="8961" width="48.42578125" style="9" bestFit="1" customWidth="1"/>
    <col min="8962" max="8962" width="71.7109375" style="9" customWidth="1"/>
    <col min="8963" max="8963" width="19.140625" style="9" bestFit="1" customWidth="1"/>
    <col min="8964" max="8987" width="20.85546875" style="9" customWidth="1"/>
    <col min="8988" max="9216" width="9.140625" style="9"/>
    <col min="9217" max="9217" width="48.42578125" style="9" bestFit="1" customWidth="1"/>
    <col min="9218" max="9218" width="71.7109375" style="9" customWidth="1"/>
    <col min="9219" max="9219" width="19.140625" style="9" bestFit="1" customWidth="1"/>
    <col min="9220" max="9243" width="20.85546875" style="9" customWidth="1"/>
    <col min="9244" max="9472" width="9.140625" style="9"/>
    <col min="9473" max="9473" width="48.42578125" style="9" bestFit="1" customWidth="1"/>
    <col min="9474" max="9474" width="71.7109375" style="9" customWidth="1"/>
    <col min="9475" max="9475" width="19.140625" style="9" bestFit="1" customWidth="1"/>
    <col min="9476" max="9499" width="20.85546875" style="9" customWidth="1"/>
    <col min="9500" max="9728" width="9.140625" style="9"/>
    <col min="9729" max="9729" width="48.42578125" style="9" bestFit="1" customWidth="1"/>
    <col min="9730" max="9730" width="71.7109375" style="9" customWidth="1"/>
    <col min="9731" max="9731" width="19.140625" style="9" bestFit="1" customWidth="1"/>
    <col min="9732" max="9755" width="20.85546875" style="9" customWidth="1"/>
    <col min="9756" max="9984" width="9.140625" style="9"/>
    <col min="9985" max="9985" width="48.42578125" style="9" bestFit="1" customWidth="1"/>
    <col min="9986" max="9986" width="71.7109375" style="9" customWidth="1"/>
    <col min="9987" max="9987" width="19.140625" style="9" bestFit="1" customWidth="1"/>
    <col min="9988" max="10011" width="20.85546875" style="9" customWidth="1"/>
    <col min="10012" max="10240" width="9.140625" style="9"/>
    <col min="10241" max="10241" width="48.42578125" style="9" bestFit="1" customWidth="1"/>
    <col min="10242" max="10242" width="71.7109375" style="9" customWidth="1"/>
    <col min="10243" max="10243" width="19.140625" style="9" bestFit="1" customWidth="1"/>
    <col min="10244" max="10267" width="20.85546875" style="9" customWidth="1"/>
    <col min="10268" max="10496" width="9.140625" style="9"/>
    <col min="10497" max="10497" width="48.42578125" style="9" bestFit="1" customWidth="1"/>
    <col min="10498" max="10498" width="71.7109375" style="9" customWidth="1"/>
    <col min="10499" max="10499" width="19.140625" style="9" bestFit="1" customWidth="1"/>
    <col min="10500" max="10523" width="20.85546875" style="9" customWidth="1"/>
    <col min="10524" max="10752" width="9.140625" style="9"/>
    <col min="10753" max="10753" width="48.42578125" style="9" bestFit="1" customWidth="1"/>
    <col min="10754" max="10754" width="71.7109375" style="9" customWidth="1"/>
    <col min="10755" max="10755" width="19.140625" style="9" bestFit="1" customWidth="1"/>
    <col min="10756" max="10779" width="20.85546875" style="9" customWidth="1"/>
    <col min="10780" max="11008" width="9.140625" style="9"/>
    <col min="11009" max="11009" width="48.42578125" style="9" bestFit="1" customWidth="1"/>
    <col min="11010" max="11010" width="71.7109375" style="9" customWidth="1"/>
    <col min="11011" max="11011" width="19.140625" style="9" bestFit="1" customWidth="1"/>
    <col min="11012" max="11035" width="20.85546875" style="9" customWidth="1"/>
    <col min="11036" max="11264" width="9.140625" style="9"/>
    <col min="11265" max="11265" width="48.42578125" style="9" bestFit="1" customWidth="1"/>
    <col min="11266" max="11266" width="71.7109375" style="9" customWidth="1"/>
    <col min="11267" max="11267" width="19.140625" style="9" bestFit="1" customWidth="1"/>
    <col min="11268" max="11291" width="20.85546875" style="9" customWidth="1"/>
    <col min="11292" max="11520" width="9.140625" style="9"/>
    <col min="11521" max="11521" width="48.42578125" style="9" bestFit="1" customWidth="1"/>
    <col min="11522" max="11522" width="71.7109375" style="9" customWidth="1"/>
    <col min="11523" max="11523" width="19.140625" style="9" bestFit="1" customWidth="1"/>
    <col min="11524" max="11547" width="20.85546875" style="9" customWidth="1"/>
    <col min="11548" max="11776" width="9.140625" style="9"/>
    <col min="11777" max="11777" width="48.42578125" style="9" bestFit="1" customWidth="1"/>
    <col min="11778" max="11778" width="71.7109375" style="9" customWidth="1"/>
    <col min="11779" max="11779" width="19.140625" style="9" bestFit="1" customWidth="1"/>
    <col min="11780" max="11803" width="20.85546875" style="9" customWidth="1"/>
    <col min="11804" max="12032" width="9.140625" style="9"/>
    <col min="12033" max="12033" width="48.42578125" style="9" bestFit="1" customWidth="1"/>
    <col min="12034" max="12034" width="71.7109375" style="9" customWidth="1"/>
    <col min="12035" max="12035" width="19.140625" style="9" bestFit="1" customWidth="1"/>
    <col min="12036" max="12059" width="20.85546875" style="9" customWidth="1"/>
    <col min="12060" max="12288" width="9.140625" style="9"/>
    <col min="12289" max="12289" width="48.42578125" style="9" bestFit="1" customWidth="1"/>
    <col min="12290" max="12290" width="71.7109375" style="9" customWidth="1"/>
    <col min="12291" max="12291" width="19.140625" style="9" bestFit="1" customWidth="1"/>
    <col min="12292" max="12315" width="20.85546875" style="9" customWidth="1"/>
    <col min="12316" max="12544" width="9.140625" style="9"/>
    <col min="12545" max="12545" width="48.42578125" style="9" bestFit="1" customWidth="1"/>
    <col min="12546" max="12546" width="71.7109375" style="9" customWidth="1"/>
    <col min="12547" max="12547" width="19.140625" style="9" bestFit="1" customWidth="1"/>
    <col min="12548" max="12571" width="20.85546875" style="9" customWidth="1"/>
    <col min="12572" max="12800" width="9.140625" style="9"/>
    <col min="12801" max="12801" width="48.42578125" style="9" bestFit="1" customWidth="1"/>
    <col min="12802" max="12802" width="71.7109375" style="9" customWidth="1"/>
    <col min="12803" max="12803" width="19.140625" style="9" bestFit="1" customWidth="1"/>
    <col min="12804" max="12827" width="20.85546875" style="9" customWidth="1"/>
    <col min="12828" max="13056" width="9.140625" style="9"/>
    <col min="13057" max="13057" width="48.42578125" style="9" bestFit="1" customWidth="1"/>
    <col min="13058" max="13058" width="71.7109375" style="9" customWidth="1"/>
    <col min="13059" max="13059" width="19.140625" style="9" bestFit="1" customWidth="1"/>
    <col min="13060" max="13083" width="20.85546875" style="9" customWidth="1"/>
    <col min="13084" max="13312" width="9.140625" style="9"/>
    <col min="13313" max="13313" width="48.42578125" style="9" bestFit="1" customWidth="1"/>
    <col min="13314" max="13314" width="71.7109375" style="9" customWidth="1"/>
    <col min="13315" max="13315" width="19.140625" style="9" bestFit="1" customWidth="1"/>
    <col min="13316" max="13339" width="20.85546875" style="9" customWidth="1"/>
    <col min="13340" max="13568" width="9.140625" style="9"/>
    <col min="13569" max="13569" width="48.42578125" style="9" bestFit="1" customWidth="1"/>
    <col min="13570" max="13570" width="71.7109375" style="9" customWidth="1"/>
    <col min="13571" max="13571" width="19.140625" style="9" bestFit="1" customWidth="1"/>
    <col min="13572" max="13595" width="20.85546875" style="9" customWidth="1"/>
    <col min="13596" max="13824" width="9.140625" style="9"/>
    <col min="13825" max="13825" width="48.42578125" style="9" bestFit="1" customWidth="1"/>
    <col min="13826" max="13826" width="71.7109375" style="9" customWidth="1"/>
    <col min="13827" max="13827" width="19.140625" style="9" bestFit="1" customWidth="1"/>
    <col min="13828" max="13851" width="20.85546875" style="9" customWidth="1"/>
    <col min="13852" max="14080" width="9.140625" style="9"/>
    <col min="14081" max="14081" width="48.42578125" style="9" bestFit="1" customWidth="1"/>
    <col min="14082" max="14082" width="71.7109375" style="9" customWidth="1"/>
    <col min="14083" max="14083" width="19.140625" style="9" bestFit="1" customWidth="1"/>
    <col min="14084" max="14107" width="20.85546875" style="9" customWidth="1"/>
    <col min="14108" max="14336" width="9.140625" style="9"/>
    <col min="14337" max="14337" width="48.42578125" style="9" bestFit="1" customWidth="1"/>
    <col min="14338" max="14338" width="71.7109375" style="9" customWidth="1"/>
    <col min="14339" max="14339" width="19.140625" style="9" bestFit="1" customWidth="1"/>
    <col min="14340" max="14363" width="20.85546875" style="9" customWidth="1"/>
    <col min="14364" max="14592" width="9.140625" style="9"/>
    <col min="14593" max="14593" width="48.42578125" style="9" bestFit="1" customWidth="1"/>
    <col min="14594" max="14594" width="71.7109375" style="9" customWidth="1"/>
    <col min="14595" max="14595" width="19.140625" style="9" bestFit="1" customWidth="1"/>
    <col min="14596" max="14619" width="20.85546875" style="9" customWidth="1"/>
    <col min="14620" max="14848" width="9.140625" style="9"/>
    <col min="14849" max="14849" width="48.42578125" style="9" bestFit="1" customWidth="1"/>
    <col min="14850" max="14850" width="71.7109375" style="9" customWidth="1"/>
    <col min="14851" max="14851" width="19.140625" style="9" bestFit="1" customWidth="1"/>
    <col min="14852" max="14875" width="20.85546875" style="9" customWidth="1"/>
    <col min="14876" max="15104" width="9.140625" style="9"/>
    <col min="15105" max="15105" width="48.42578125" style="9" bestFit="1" customWidth="1"/>
    <col min="15106" max="15106" width="71.7109375" style="9" customWidth="1"/>
    <col min="15107" max="15107" width="19.140625" style="9" bestFit="1" customWidth="1"/>
    <col min="15108" max="15131" width="20.85546875" style="9" customWidth="1"/>
    <col min="15132" max="15360" width="9.140625" style="9"/>
    <col min="15361" max="15361" width="48.42578125" style="9" bestFit="1" customWidth="1"/>
    <col min="15362" max="15362" width="71.7109375" style="9" customWidth="1"/>
    <col min="15363" max="15363" width="19.140625" style="9" bestFit="1" customWidth="1"/>
    <col min="15364" max="15387" width="20.85546875" style="9" customWidth="1"/>
    <col min="15388" max="15616" width="9.140625" style="9"/>
    <col min="15617" max="15617" width="48.42578125" style="9" bestFit="1" customWidth="1"/>
    <col min="15618" max="15618" width="71.7109375" style="9" customWidth="1"/>
    <col min="15619" max="15619" width="19.140625" style="9" bestFit="1" customWidth="1"/>
    <col min="15620" max="15643" width="20.85546875" style="9" customWidth="1"/>
    <col min="15644" max="15872" width="9.140625" style="9"/>
    <col min="15873" max="15873" width="48.42578125" style="9" bestFit="1" customWidth="1"/>
    <col min="15874" max="15874" width="71.7109375" style="9" customWidth="1"/>
    <col min="15875" max="15875" width="19.140625" style="9" bestFit="1" customWidth="1"/>
    <col min="15876" max="15899" width="20.85546875" style="9" customWidth="1"/>
    <col min="15900" max="16128" width="9.140625" style="9"/>
    <col min="16129" max="16129" width="48.42578125" style="9" bestFit="1" customWidth="1"/>
    <col min="16130" max="16130" width="71.7109375" style="9" customWidth="1"/>
    <col min="16131" max="16131" width="19.140625" style="9" bestFit="1" customWidth="1"/>
    <col min="16132" max="16155" width="20.85546875" style="9" customWidth="1"/>
    <col min="16156" max="16384" width="9.140625" style="9"/>
  </cols>
  <sheetData>
    <row r="1" spans="1:27" s="5" customFormat="1" ht="110.25" customHeight="1" x14ac:dyDescent="0.5">
      <c r="A1" s="1" t="s">
        <v>89</v>
      </c>
      <c r="B1" s="2" t="s">
        <v>76</v>
      </c>
      <c r="C1" s="3" t="s">
        <v>3</v>
      </c>
      <c r="D1" s="105" t="s">
        <v>6</v>
      </c>
      <c r="E1" s="106" t="s">
        <v>135</v>
      </c>
      <c r="F1" s="106" t="s">
        <v>136</v>
      </c>
      <c r="G1" s="105" t="s">
        <v>7</v>
      </c>
      <c r="H1" s="105" t="s">
        <v>8</v>
      </c>
      <c r="I1" s="106" t="s">
        <v>137</v>
      </c>
      <c r="J1" s="105" t="s">
        <v>9</v>
      </c>
      <c r="K1" s="105" t="s">
        <v>10</v>
      </c>
      <c r="L1" s="105" t="s">
        <v>11</v>
      </c>
      <c r="M1" s="105" t="s">
        <v>12</v>
      </c>
      <c r="N1" s="106" t="s">
        <v>132</v>
      </c>
      <c r="O1" s="105" t="s">
        <v>13</v>
      </c>
      <c r="P1" s="106" t="s">
        <v>133</v>
      </c>
      <c r="Q1" s="105" t="s">
        <v>14</v>
      </c>
      <c r="R1" s="105" t="s">
        <v>15</v>
      </c>
      <c r="S1" s="105" t="s">
        <v>16</v>
      </c>
      <c r="T1" s="105" t="s">
        <v>17</v>
      </c>
      <c r="U1" s="105" t="s">
        <v>18</v>
      </c>
      <c r="V1" s="105" t="s">
        <v>1</v>
      </c>
      <c r="W1" s="105" t="s">
        <v>19</v>
      </c>
      <c r="X1" s="105" t="s">
        <v>0</v>
      </c>
      <c r="Y1" s="105" t="s">
        <v>20</v>
      </c>
      <c r="Z1" s="106" t="s">
        <v>134</v>
      </c>
      <c r="AA1" s="105" t="s">
        <v>2</v>
      </c>
    </row>
    <row r="2" spans="1:27" ht="15" customHeight="1" x14ac:dyDescent="0.4"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39" customHeight="1" x14ac:dyDescent="0.4">
      <c r="A3" s="6" t="s">
        <v>90</v>
      </c>
      <c r="B3" s="2" t="s">
        <v>92</v>
      </c>
      <c r="C3" s="10">
        <f>SUM(D3:AA3)</f>
        <v>90</v>
      </c>
      <c r="D3" s="11">
        <v>17</v>
      </c>
      <c r="E3" s="11">
        <v>0</v>
      </c>
      <c r="F3" s="11">
        <v>0</v>
      </c>
      <c r="G3" s="11">
        <v>24</v>
      </c>
      <c r="H3" s="11">
        <v>10</v>
      </c>
      <c r="I3" s="11">
        <v>0</v>
      </c>
      <c r="J3" s="11">
        <v>0</v>
      </c>
      <c r="K3" s="11">
        <v>0</v>
      </c>
      <c r="L3" s="11">
        <v>4</v>
      </c>
      <c r="M3" s="11">
        <v>6</v>
      </c>
      <c r="N3" s="11">
        <v>1</v>
      </c>
      <c r="O3" s="11">
        <v>5</v>
      </c>
      <c r="P3" s="20"/>
      <c r="Q3" s="11">
        <v>4</v>
      </c>
      <c r="R3" s="11">
        <v>3</v>
      </c>
      <c r="S3" s="11">
        <v>5</v>
      </c>
      <c r="T3" s="11">
        <v>2</v>
      </c>
      <c r="U3" s="11">
        <v>1</v>
      </c>
      <c r="V3" s="11">
        <v>2</v>
      </c>
      <c r="W3" s="11">
        <v>4</v>
      </c>
      <c r="X3" s="20"/>
      <c r="Y3" s="11">
        <v>2</v>
      </c>
      <c r="Z3" s="20"/>
      <c r="AA3" s="20"/>
    </row>
    <row r="4" spans="1:27" ht="39" customHeight="1" x14ac:dyDescent="0.4">
      <c r="B4" s="12" t="s">
        <v>93</v>
      </c>
      <c r="C4" s="10">
        <f>SUM(D4:AA4)</f>
        <v>313</v>
      </c>
      <c r="D4" s="11">
        <v>32</v>
      </c>
      <c r="E4" s="11">
        <v>1</v>
      </c>
      <c r="F4" s="11">
        <v>0</v>
      </c>
      <c r="G4" s="11">
        <v>34</v>
      </c>
      <c r="H4" s="11">
        <v>22</v>
      </c>
      <c r="I4" s="11">
        <v>1</v>
      </c>
      <c r="J4" s="11">
        <v>8</v>
      </c>
      <c r="K4" s="11">
        <v>7</v>
      </c>
      <c r="L4" s="11">
        <v>16</v>
      </c>
      <c r="M4" s="11">
        <v>34</v>
      </c>
      <c r="N4" s="11">
        <v>26</v>
      </c>
      <c r="O4" s="11">
        <v>23</v>
      </c>
      <c r="P4" s="20"/>
      <c r="Q4" s="11">
        <v>26</v>
      </c>
      <c r="R4" s="11">
        <v>13</v>
      </c>
      <c r="S4" s="11">
        <v>19</v>
      </c>
      <c r="T4" s="11">
        <v>20</v>
      </c>
      <c r="U4" s="11">
        <v>5</v>
      </c>
      <c r="V4" s="11">
        <v>6</v>
      </c>
      <c r="W4" s="11">
        <v>6</v>
      </c>
      <c r="X4" s="20"/>
      <c r="Y4" s="11">
        <v>14</v>
      </c>
      <c r="Z4" s="20"/>
      <c r="AA4" s="20"/>
    </row>
    <row r="5" spans="1:27" ht="39" customHeight="1" x14ac:dyDescent="0.4">
      <c r="B5" s="12" t="s">
        <v>94</v>
      </c>
      <c r="C5" s="10">
        <f>SUM(D5:AA5)</f>
        <v>112</v>
      </c>
      <c r="D5" s="11">
        <v>18</v>
      </c>
      <c r="E5" s="11">
        <v>0</v>
      </c>
      <c r="F5" s="11">
        <v>0</v>
      </c>
      <c r="G5" s="11">
        <v>16</v>
      </c>
      <c r="H5" s="11">
        <v>9</v>
      </c>
      <c r="I5" s="11">
        <v>0</v>
      </c>
      <c r="J5" s="11">
        <v>1</v>
      </c>
      <c r="K5" s="11">
        <v>1</v>
      </c>
      <c r="L5" s="11">
        <v>6</v>
      </c>
      <c r="M5" s="11">
        <v>7</v>
      </c>
      <c r="N5" s="11">
        <v>11</v>
      </c>
      <c r="O5" s="11">
        <v>7</v>
      </c>
      <c r="P5" s="20"/>
      <c r="Q5" s="11">
        <v>4</v>
      </c>
      <c r="R5" s="11">
        <v>6</v>
      </c>
      <c r="S5" s="11">
        <v>10</v>
      </c>
      <c r="T5" s="11">
        <v>5</v>
      </c>
      <c r="U5" s="11">
        <v>0</v>
      </c>
      <c r="V5" s="11">
        <v>2</v>
      </c>
      <c r="W5" s="11">
        <v>7</v>
      </c>
      <c r="X5" s="20"/>
      <c r="Y5" s="11">
        <v>2</v>
      </c>
      <c r="Z5" s="20"/>
      <c r="AA5" s="20"/>
    </row>
    <row r="6" spans="1:27" s="44" customFormat="1" ht="27" customHeight="1" x14ac:dyDescent="0.4">
      <c r="A6" s="40"/>
      <c r="B6" s="41"/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46.5" customHeight="1" x14ac:dyDescent="0.4">
      <c r="A7" s="6" t="s">
        <v>21</v>
      </c>
      <c r="B7" s="2" t="s">
        <v>91</v>
      </c>
      <c r="C7" s="10">
        <f t="shared" ref="C7:C13" si="0">SUM(D7:AA7)</f>
        <v>1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1">
        <v>0</v>
      </c>
      <c r="Q7" s="20"/>
      <c r="R7" s="20"/>
      <c r="S7" s="20"/>
      <c r="T7" s="20"/>
      <c r="U7" s="20"/>
      <c r="V7" s="20"/>
      <c r="W7" s="20"/>
      <c r="X7" s="11">
        <v>1</v>
      </c>
      <c r="Y7" s="20"/>
      <c r="Z7" s="11">
        <v>0</v>
      </c>
      <c r="AA7" s="11">
        <v>0</v>
      </c>
    </row>
    <row r="8" spans="1:27" ht="46.5" customHeight="1" x14ac:dyDescent="0.4">
      <c r="B8" s="2" t="s">
        <v>95</v>
      </c>
      <c r="C8" s="10">
        <f t="shared" si="0"/>
        <v>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1">
        <v>0</v>
      </c>
      <c r="Q8" s="20"/>
      <c r="R8" s="20"/>
      <c r="S8" s="20"/>
      <c r="T8" s="20"/>
      <c r="U8" s="20"/>
      <c r="V8" s="20"/>
      <c r="W8" s="20"/>
      <c r="X8" s="11">
        <v>0</v>
      </c>
      <c r="Y8" s="20"/>
      <c r="Z8" s="11">
        <v>0</v>
      </c>
      <c r="AA8" s="11">
        <v>0</v>
      </c>
    </row>
    <row r="9" spans="1:27" s="19" customFormat="1" ht="46.5" customHeight="1" x14ac:dyDescent="0.4">
      <c r="A9" s="16"/>
      <c r="B9" s="17" t="s">
        <v>96</v>
      </c>
      <c r="C9" s="10">
        <f t="shared" si="0"/>
        <v>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8">
        <v>0</v>
      </c>
      <c r="Q9" s="20"/>
      <c r="R9" s="20"/>
      <c r="S9" s="20"/>
      <c r="T9" s="20"/>
      <c r="U9" s="20"/>
      <c r="V9" s="20"/>
      <c r="W9" s="20"/>
      <c r="X9" s="18">
        <v>0</v>
      </c>
      <c r="Y9" s="20"/>
      <c r="Z9" s="18">
        <v>0</v>
      </c>
      <c r="AA9" s="18">
        <v>0</v>
      </c>
    </row>
    <row r="10" spans="1:27" s="19" customFormat="1" ht="46.5" customHeight="1" x14ac:dyDescent="0.4">
      <c r="A10" s="16"/>
      <c r="B10" s="17" t="s">
        <v>97</v>
      </c>
      <c r="C10" s="10">
        <f t="shared" si="0"/>
        <v>1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18">
        <v>0</v>
      </c>
      <c r="Q10" s="20"/>
      <c r="R10" s="20"/>
      <c r="S10" s="20"/>
      <c r="T10" s="20"/>
      <c r="U10" s="20"/>
      <c r="V10" s="20"/>
      <c r="W10" s="20"/>
      <c r="X10" s="18">
        <v>1</v>
      </c>
      <c r="Y10" s="20"/>
      <c r="Z10" s="18">
        <v>0</v>
      </c>
      <c r="AA10" s="18">
        <v>0</v>
      </c>
    </row>
    <row r="11" spans="1:27" s="15" customFormat="1" ht="46.5" customHeight="1" x14ac:dyDescent="0.4">
      <c r="A11" s="13"/>
      <c r="B11" s="12" t="s">
        <v>98</v>
      </c>
      <c r="C11" s="10">
        <f t="shared" si="0"/>
        <v>5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4">
        <v>0</v>
      </c>
      <c r="Q11" s="20"/>
      <c r="R11" s="20"/>
      <c r="S11" s="20"/>
      <c r="T11" s="20"/>
      <c r="U11" s="20"/>
      <c r="V11" s="20"/>
      <c r="W11" s="20"/>
      <c r="X11" s="14">
        <v>3</v>
      </c>
      <c r="Y11" s="20"/>
      <c r="Z11" s="14">
        <v>0</v>
      </c>
      <c r="AA11" s="14">
        <v>2</v>
      </c>
    </row>
    <row r="12" spans="1:27" s="19" customFormat="1" ht="46.5" customHeight="1" x14ac:dyDescent="0.4">
      <c r="A12" s="16"/>
      <c r="B12" s="17" t="s">
        <v>99</v>
      </c>
      <c r="C12" s="10">
        <f t="shared" si="0"/>
        <v>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8">
        <v>0</v>
      </c>
      <c r="Q12" s="20"/>
      <c r="R12" s="20"/>
      <c r="S12" s="20"/>
      <c r="T12" s="20"/>
      <c r="U12" s="20"/>
      <c r="V12" s="20"/>
      <c r="W12" s="20"/>
      <c r="X12" s="18">
        <v>1</v>
      </c>
      <c r="Y12" s="20"/>
      <c r="Z12" s="18">
        <v>0</v>
      </c>
      <c r="AA12" s="18">
        <v>1</v>
      </c>
    </row>
    <row r="13" spans="1:27" s="15" customFormat="1" ht="46.5" customHeight="1" x14ac:dyDescent="0.4">
      <c r="A13" s="13"/>
      <c r="B13" s="12" t="s">
        <v>100</v>
      </c>
      <c r="C13" s="10">
        <f t="shared" si="0"/>
        <v>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14">
        <v>0</v>
      </c>
      <c r="Q13" s="20"/>
      <c r="R13" s="20"/>
      <c r="S13" s="20"/>
      <c r="T13" s="20"/>
      <c r="U13" s="20"/>
      <c r="V13" s="20"/>
      <c r="W13" s="20"/>
      <c r="X13" s="14">
        <v>0</v>
      </c>
      <c r="Y13" s="20"/>
      <c r="Z13" s="14">
        <v>0</v>
      </c>
      <c r="AA13" s="14">
        <v>0</v>
      </c>
    </row>
    <row r="14" spans="1:27" s="44" customFormat="1" ht="46.5" customHeight="1" x14ac:dyDescent="0.4">
      <c r="A14" s="40"/>
      <c r="B14" s="41"/>
      <c r="C14" s="42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46.5" customHeight="1" x14ac:dyDescent="0.4">
      <c r="A15" s="6" t="s">
        <v>22</v>
      </c>
      <c r="B15" s="2" t="s">
        <v>101</v>
      </c>
      <c r="C15" s="10">
        <f>SUM(D15:AA15)</f>
        <v>10</v>
      </c>
      <c r="D15" s="11">
        <v>2</v>
      </c>
      <c r="E15" s="11">
        <v>0</v>
      </c>
      <c r="F15" s="11">
        <v>0</v>
      </c>
      <c r="G15" s="11">
        <v>7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</row>
    <row r="16" spans="1:27" s="15" customFormat="1" ht="46.5" customHeight="1" x14ac:dyDescent="0.4">
      <c r="A16" s="13"/>
      <c r="B16" s="12" t="s">
        <v>102</v>
      </c>
      <c r="C16" s="10">
        <f>SUM(D16:AA16)</f>
        <v>310</v>
      </c>
      <c r="D16" s="14">
        <v>36</v>
      </c>
      <c r="E16" s="14">
        <v>1</v>
      </c>
      <c r="F16" s="14">
        <v>0</v>
      </c>
      <c r="G16" s="14">
        <v>40</v>
      </c>
      <c r="H16" s="14">
        <v>22</v>
      </c>
      <c r="I16" s="14">
        <v>0</v>
      </c>
      <c r="J16" s="14">
        <v>2</v>
      </c>
      <c r="K16" s="14">
        <v>4</v>
      </c>
      <c r="L16" s="14">
        <v>12</v>
      </c>
      <c r="M16" s="14">
        <v>35</v>
      </c>
      <c r="N16" s="14">
        <v>27</v>
      </c>
      <c r="O16" s="14">
        <v>20</v>
      </c>
      <c r="P16" s="14">
        <v>0</v>
      </c>
      <c r="Q16" s="14">
        <v>25</v>
      </c>
      <c r="R16" s="14">
        <v>10</v>
      </c>
      <c r="S16" s="14">
        <v>17</v>
      </c>
      <c r="T16" s="14">
        <v>19</v>
      </c>
      <c r="U16" s="14">
        <v>3</v>
      </c>
      <c r="V16" s="14">
        <v>7</v>
      </c>
      <c r="W16" s="14">
        <v>13</v>
      </c>
      <c r="X16" s="14">
        <v>3</v>
      </c>
      <c r="Y16" s="14">
        <v>13</v>
      </c>
      <c r="Z16" s="14">
        <v>0</v>
      </c>
      <c r="AA16" s="14">
        <v>1</v>
      </c>
    </row>
    <row r="17" spans="1:27" s="15" customFormat="1" ht="46.5" customHeight="1" x14ac:dyDescent="0.4">
      <c r="A17" s="13"/>
      <c r="B17" s="12" t="s">
        <v>103</v>
      </c>
      <c r="C17" s="10">
        <f>SUM(D17:AA17)</f>
        <v>55</v>
      </c>
      <c r="D17" s="14">
        <v>7</v>
      </c>
      <c r="E17" s="14">
        <v>0</v>
      </c>
      <c r="F17" s="14">
        <v>0</v>
      </c>
      <c r="G17" s="14">
        <v>9</v>
      </c>
      <c r="H17" s="14">
        <v>9</v>
      </c>
      <c r="I17" s="14">
        <v>1</v>
      </c>
      <c r="J17" s="14">
        <v>0</v>
      </c>
      <c r="K17" s="14">
        <v>2</v>
      </c>
      <c r="L17" s="14">
        <v>6</v>
      </c>
      <c r="M17" s="14">
        <v>2</v>
      </c>
      <c r="N17" s="14">
        <v>3</v>
      </c>
      <c r="O17" s="14">
        <v>7</v>
      </c>
      <c r="P17" s="14">
        <v>0</v>
      </c>
      <c r="Q17" s="14">
        <v>0</v>
      </c>
      <c r="R17" s="14">
        <v>1</v>
      </c>
      <c r="S17" s="14">
        <v>2</v>
      </c>
      <c r="T17" s="14">
        <v>3</v>
      </c>
      <c r="U17" s="14">
        <v>0</v>
      </c>
      <c r="V17" s="14">
        <v>0</v>
      </c>
      <c r="W17" s="14">
        <v>0</v>
      </c>
      <c r="X17" s="14">
        <v>2</v>
      </c>
      <c r="Y17" s="14">
        <v>0</v>
      </c>
      <c r="Z17" s="14">
        <v>0</v>
      </c>
      <c r="AA17" s="14">
        <v>1</v>
      </c>
    </row>
    <row r="18" spans="1:27" s="15" customFormat="1" ht="46.5" customHeight="1" x14ac:dyDescent="0.4">
      <c r="A18" s="13"/>
      <c r="B18" s="12" t="s">
        <v>38</v>
      </c>
      <c r="C18" s="10">
        <f>SUM(D18:AA18)</f>
        <v>99</v>
      </c>
      <c r="D18" s="14">
        <v>13</v>
      </c>
      <c r="E18" s="14">
        <v>0</v>
      </c>
      <c r="F18" s="14">
        <v>0</v>
      </c>
      <c r="G18" s="14">
        <v>10</v>
      </c>
      <c r="H18" s="14">
        <v>3</v>
      </c>
      <c r="I18" s="14">
        <v>0</v>
      </c>
      <c r="J18" s="14">
        <v>7</v>
      </c>
      <c r="K18" s="14">
        <v>3</v>
      </c>
      <c r="L18" s="14">
        <v>5</v>
      </c>
      <c r="M18" s="14">
        <v>9</v>
      </c>
      <c r="N18" s="14">
        <v>8</v>
      </c>
      <c r="O18" s="14">
        <v>4</v>
      </c>
      <c r="P18" s="14">
        <v>0</v>
      </c>
      <c r="Q18" s="14">
        <v>5</v>
      </c>
      <c r="R18" s="14">
        <v>8</v>
      </c>
      <c r="S18" s="14">
        <v>11</v>
      </c>
      <c r="T18" s="14">
        <v>3</v>
      </c>
      <c r="U18" s="14">
        <v>2</v>
      </c>
      <c r="V18" s="14">
        <v>1</v>
      </c>
      <c r="W18" s="14">
        <v>2</v>
      </c>
      <c r="X18" s="14">
        <v>0</v>
      </c>
      <c r="Y18" s="14">
        <v>4</v>
      </c>
      <c r="Z18" s="14">
        <v>0</v>
      </c>
      <c r="AA18" s="14">
        <v>1</v>
      </c>
    </row>
    <row r="19" spans="1:27" s="44" customFormat="1" ht="46.5" customHeight="1" x14ac:dyDescent="0.4">
      <c r="A19" s="40"/>
      <c r="B19" s="41"/>
      <c r="C19" s="42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ht="46.5" customHeight="1" x14ac:dyDescent="0.4">
      <c r="A20" s="6" t="s">
        <v>104</v>
      </c>
      <c r="B20" s="2" t="s">
        <v>105</v>
      </c>
      <c r="C20" s="10">
        <f>SUM(D20:AA20)</f>
        <v>9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1">
        <v>3</v>
      </c>
      <c r="R20" s="20"/>
      <c r="S20" s="11">
        <v>6</v>
      </c>
      <c r="T20" s="20"/>
      <c r="U20" s="20"/>
      <c r="V20" s="20"/>
      <c r="W20" s="20"/>
      <c r="X20" s="20"/>
      <c r="Y20" s="20"/>
      <c r="Z20" s="20"/>
      <c r="AA20" s="20"/>
    </row>
    <row r="21" spans="1:27" s="15" customFormat="1" ht="46.5" customHeight="1" x14ac:dyDescent="0.4">
      <c r="A21" s="13"/>
      <c r="B21" s="12" t="s">
        <v>106</v>
      </c>
      <c r="C21" s="10">
        <f>SUM(D21:AA21)</f>
        <v>53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14">
        <v>26</v>
      </c>
      <c r="R21" s="20"/>
      <c r="S21" s="14">
        <v>27</v>
      </c>
      <c r="T21" s="20"/>
      <c r="U21" s="20"/>
      <c r="V21" s="21"/>
      <c r="W21" s="21"/>
      <c r="X21" s="21"/>
      <c r="Y21" s="21"/>
      <c r="Z21" s="21"/>
      <c r="AA21" s="21"/>
    </row>
    <row r="22" spans="1:27" s="44" customFormat="1" ht="46.5" customHeight="1" x14ac:dyDescent="0.4">
      <c r="A22" s="40"/>
      <c r="B22" s="41"/>
      <c r="C22" s="42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ht="46.5" customHeight="1" x14ac:dyDescent="0.4">
      <c r="A23" s="6" t="s">
        <v>23</v>
      </c>
      <c r="B23" s="2" t="s">
        <v>101</v>
      </c>
      <c r="C23" s="10">
        <f>SUM(D23:AA23)</f>
        <v>10</v>
      </c>
      <c r="D23" s="11">
        <v>2</v>
      </c>
      <c r="E23" s="20"/>
      <c r="F23" s="20"/>
      <c r="G23" s="11">
        <v>8</v>
      </c>
      <c r="H23" s="11">
        <v>0</v>
      </c>
      <c r="I23" s="20"/>
      <c r="J23" s="11">
        <v>0</v>
      </c>
      <c r="K23" s="11">
        <v>0</v>
      </c>
      <c r="L23" s="11">
        <v>0</v>
      </c>
      <c r="M23" s="11">
        <v>0</v>
      </c>
      <c r="N23" s="20"/>
      <c r="O23" s="20"/>
      <c r="P23" s="20"/>
      <c r="Q23" s="20"/>
      <c r="R23" s="11">
        <v>0</v>
      </c>
      <c r="S23" s="20"/>
      <c r="T23" s="20"/>
      <c r="U23" s="11">
        <v>0</v>
      </c>
      <c r="V23" s="20"/>
      <c r="W23" s="20"/>
      <c r="X23" s="20"/>
      <c r="Y23" s="20"/>
      <c r="Z23" s="20"/>
      <c r="AA23" s="20"/>
    </row>
    <row r="24" spans="1:27" s="15" customFormat="1" ht="46.5" customHeight="1" x14ac:dyDescent="0.4">
      <c r="A24" s="13"/>
      <c r="B24" s="12" t="s">
        <v>39</v>
      </c>
      <c r="C24" s="10">
        <f>SUM(D24:AA24)</f>
        <v>191</v>
      </c>
      <c r="D24" s="14">
        <v>42</v>
      </c>
      <c r="E24" s="20"/>
      <c r="F24" s="20"/>
      <c r="G24" s="14">
        <v>42</v>
      </c>
      <c r="H24" s="14">
        <v>24</v>
      </c>
      <c r="I24" s="20"/>
      <c r="J24" s="14">
        <v>7</v>
      </c>
      <c r="K24" s="14">
        <v>8</v>
      </c>
      <c r="L24" s="14">
        <v>18</v>
      </c>
      <c r="M24" s="14">
        <v>32</v>
      </c>
      <c r="N24" s="20"/>
      <c r="O24" s="20"/>
      <c r="P24" s="20"/>
      <c r="Q24" s="20"/>
      <c r="R24" s="14">
        <v>13</v>
      </c>
      <c r="S24" s="20"/>
      <c r="T24" s="20"/>
      <c r="U24" s="14">
        <v>5</v>
      </c>
      <c r="V24" s="21"/>
      <c r="W24" s="21"/>
      <c r="X24" s="21"/>
      <c r="Y24" s="21"/>
      <c r="Z24" s="21"/>
      <c r="AA24" s="21"/>
    </row>
    <row r="25" spans="1:27" s="44" customFormat="1" ht="46.5" customHeight="1" x14ac:dyDescent="0.4">
      <c r="A25" s="40"/>
      <c r="B25" s="41"/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46.5" customHeight="1" x14ac:dyDescent="0.4">
      <c r="A26" s="6" t="s">
        <v>24</v>
      </c>
      <c r="B26" s="2" t="s">
        <v>101</v>
      </c>
      <c r="C26" s="10">
        <f>SUM(D26:AA26)</f>
        <v>1</v>
      </c>
      <c r="D26" s="20"/>
      <c r="E26" s="11">
        <v>0</v>
      </c>
      <c r="F26" s="11">
        <v>0</v>
      </c>
      <c r="G26" s="20"/>
      <c r="H26" s="20"/>
      <c r="I26" s="11">
        <v>0</v>
      </c>
      <c r="J26" s="20"/>
      <c r="K26" s="20"/>
      <c r="L26" s="20"/>
      <c r="M26" s="20"/>
      <c r="N26" s="11">
        <v>0</v>
      </c>
      <c r="O26" s="11">
        <v>0</v>
      </c>
      <c r="P26" s="11">
        <v>0</v>
      </c>
      <c r="Q26" s="20"/>
      <c r="R26" s="20"/>
      <c r="S26" s="20"/>
      <c r="T26" s="11">
        <v>0</v>
      </c>
      <c r="U26" s="20"/>
      <c r="V26" s="11">
        <v>0</v>
      </c>
      <c r="W26" s="11">
        <v>0</v>
      </c>
      <c r="X26" s="11">
        <v>1</v>
      </c>
      <c r="Y26" s="11">
        <v>0</v>
      </c>
      <c r="Z26" s="11">
        <v>0</v>
      </c>
      <c r="AA26" s="11">
        <v>0</v>
      </c>
    </row>
    <row r="27" spans="1:27" s="15" customFormat="1" ht="46.5" customHeight="1" x14ac:dyDescent="0.4">
      <c r="A27" s="13"/>
      <c r="B27" s="12" t="s">
        <v>107</v>
      </c>
      <c r="C27" s="10">
        <f>SUM(D27:AA27)</f>
        <v>14</v>
      </c>
      <c r="D27" s="21"/>
      <c r="E27" s="14">
        <v>0</v>
      </c>
      <c r="F27" s="14">
        <v>0</v>
      </c>
      <c r="G27" s="21"/>
      <c r="H27" s="21"/>
      <c r="I27" s="14">
        <v>0</v>
      </c>
      <c r="J27" s="21"/>
      <c r="K27" s="21"/>
      <c r="L27" s="21"/>
      <c r="M27" s="21"/>
      <c r="N27" s="14">
        <v>5</v>
      </c>
      <c r="O27" s="14">
        <v>3</v>
      </c>
      <c r="P27" s="14">
        <v>0</v>
      </c>
      <c r="Q27" s="21"/>
      <c r="R27" s="21"/>
      <c r="S27" s="21"/>
      <c r="T27" s="14">
        <v>2</v>
      </c>
      <c r="U27" s="21"/>
      <c r="V27" s="14">
        <v>0</v>
      </c>
      <c r="W27" s="14">
        <v>2</v>
      </c>
      <c r="X27" s="14">
        <v>2</v>
      </c>
      <c r="Y27" s="14">
        <v>0</v>
      </c>
      <c r="Z27" s="14">
        <v>0</v>
      </c>
      <c r="AA27" s="14">
        <v>0</v>
      </c>
    </row>
    <row r="28" spans="1:27" s="15" customFormat="1" ht="46.5" customHeight="1" x14ac:dyDescent="0.4">
      <c r="A28" s="13"/>
      <c r="B28" s="12" t="s">
        <v>108</v>
      </c>
      <c r="C28" s="10">
        <f>SUM(D28:AA28)</f>
        <v>20</v>
      </c>
      <c r="D28" s="21"/>
      <c r="E28" s="14">
        <v>0</v>
      </c>
      <c r="F28" s="14">
        <v>0</v>
      </c>
      <c r="G28" s="21"/>
      <c r="H28" s="21"/>
      <c r="I28" s="14">
        <v>0</v>
      </c>
      <c r="J28" s="21"/>
      <c r="K28" s="21"/>
      <c r="L28" s="21"/>
      <c r="M28" s="21"/>
      <c r="N28" s="14">
        <v>3</v>
      </c>
      <c r="O28" s="14">
        <v>8</v>
      </c>
      <c r="P28" s="14">
        <v>0</v>
      </c>
      <c r="Q28" s="21"/>
      <c r="R28" s="21"/>
      <c r="S28" s="21"/>
      <c r="T28" s="14">
        <v>2</v>
      </c>
      <c r="U28" s="21"/>
      <c r="V28" s="14">
        <v>1</v>
      </c>
      <c r="W28" s="14">
        <v>3</v>
      </c>
      <c r="X28" s="14">
        <v>1</v>
      </c>
      <c r="Y28" s="14">
        <v>1</v>
      </c>
      <c r="Z28" s="14">
        <v>0</v>
      </c>
      <c r="AA28" s="14">
        <v>1</v>
      </c>
    </row>
    <row r="29" spans="1:27" s="15" customFormat="1" ht="46.5" customHeight="1" x14ac:dyDescent="0.4">
      <c r="A29" s="13"/>
      <c r="B29" s="12" t="s">
        <v>109</v>
      </c>
      <c r="C29" s="10">
        <f>SUM(D29:AA29)</f>
        <v>106</v>
      </c>
      <c r="D29" s="21"/>
      <c r="E29" s="14">
        <v>1</v>
      </c>
      <c r="F29" s="14">
        <v>0</v>
      </c>
      <c r="G29" s="21"/>
      <c r="H29" s="21"/>
      <c r="I29" s="14">
        <v>1</v>
      </c>
      <c r="J29" s="21"/>
      <c r="K29" s="21"/>
      <c r="L29" s="21"/>
      <c r="M29" s="21"/>
      <c r="N29" s="14">
        <v>29</v>
      </c>
      <c r="O29" s="14">
        <v>18</v>
      </c>
      <c r="P29" s="14">
        <v>0</v>
      </c>
      <c r="Q29" s="21"/>
      <c r="R29" s="21"/>
      <c r="S29" s="21"/>
      <c r="T29" s="14">
        <v>21</v>
      </c>
      <c r="U29" s="21"/>
      <c r="V29" s="14">
        <v>6</v>
      </c>
      <c r="W29" s="14">
        <v>10</v>
      </c>
      <c r="X29" s="14">
        <v>2</v>
      </c>
      <c r="Y29" s="14">
        <v>16</v>
      </c>
      <c r="Z29" s="14">
        <v>0</v>
      </c>
      <c r="AA29" s="14">
        <v>2</v>
      </c>
    </row>
    <row r="30" spans="1:27" s="44" customFormat="1" ht="46.5" customHeight="1" x14ac:dyDescent="0.4">
      <c r="A30" s="40"/>
      <c r="B30" s="41"/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 ht="46.5" customHeight="1" x14ac:dyDescent="0.4">
      <c r="A31" s="6" t="s">
        <v>25</v>
      </c>
      <c r="B31" s="2" t="s">
        <v>101</v>
      </c>
      <c r="C31" s="10">
        <f>SUM(D31:AA31)</f>
        <v>13</v>
      </c>
      <c r="D31" s="11">
        <v>3</v>
      </c>
      <c r="E31" s="11">
        <v>0</v>
      </c>
      <c r="F31" s="20"/>
      <c r="G31" s="11">
        <v>8</v>
      </c>
      <c r="H31" s="20"/>
      <c r="I31" s="20"/>
      <c r="J31" s="20"/>
      <c r="K31" s="20"/>
      <c r="L31" s="20"/>
      <c r="M31" s="11">
        <v>1</v>
      </c>
      <c r="N31" s="11">
        <v>0</v>
      </c>
      <c r="O31" s="20"/>
      <c r="P31" s="20"/>
      <c r="Q31" s="20"/>
      <c r="R31" s="11">
        <v>1</v>
      </c>
      <c r="S31" s="20"/>
      <c r="T31" s="20"/>
      <c r="U31" s="20"/>
      <c r="V31" s="20"/>
      <c r="W31" s="20"/>
      <c r="X31" s="20"/>
      <c r="Y31" s="20"/>
      <c r="Z31" s="20"/>
      <c r="AA31" s="20"/>
    </row>
    <row r="32" spans="1:27" s="15" customFormat="1" ht="46.5" customHeight="1" x14ac:dyDescent="0.4">
      <c r="A32" s="13"/>
      <c r="B32" s="17" t="s">
        <v>110</v>
      </c>
      <c r="C32" s="10">
        <f>SUM(D32:AA32)</f>
        <v>137</v>
      </c>
      <c r="D32" s="14">
        <v>36</v>
      </c>
      <c r="E32" s="14">
        <v>1</v>
      </c>
      <c r="F32" s="21"/>
      <c r="G32" s="14">
        <v>35</v>
      </c>
      <c r="H32" s="21"/>
      <c r="I32" s="21"/>
      <c r="J32" s="21"/>
      <c r="K32" s="21"/>
      <c r="L32" s="21"/>
      <c r="M32" s="14">
        <v>30</v>
      </c>
      <c r="N32" s="14">
        <v>21</v>
      </c>
      <c r="O32" s="21"/>
      <c r="P32" s="21"/>
      <c r="Q32" s="21"/>
      <c r="R32" s="11">
        <v>14</v>
      </c>
      <c r="S32" s="21"/>
      <c r="T32" s="21"/>
      <c r="U32" s="21"/>
      <c r="V32" s="21"/>
      <c r="W32" s="21"/>
      <c r="X32" s="21"/>
      <c r="Y32" s="21"/>
      <c r="Z32" s="21"/>
      <c r="AA32" s="21"/>
    </row>
    <row r="33" spans="1:27" s="15" customFormat="1" ht="46.5" customHeight="1" x14ac:dyDescent="0.4">
      <c r="A33" s="13"/>
      <c r="B33" s="17" t="s">
        <v>111</v>
      </c>
      <c r="C33" s="10">
        <f>SUM(D33:AA33)</f>
        <v>80</v>
      </c>
      <c r="D33" s="14">
        <v>21</v>
      </c>
      <c r="E33" s="14">
        <v>0</v>
      </c>
      <c r="F33" s="21"/>
      <c r="G33" s="14">
        <v>22</v>
      </c>
      <c r="H33" s="21"/>
      <c r="I33" s="21"/>
      <c r="J33" s="21"/>
      <c r="K33" s="21"/>
      <c r="L33" s="21"/>
      <c r="M33" s="14">
        <v>15</v>
      </c>
      <c r="N33" s="14">
        <v>17</v>
      </c>
      <c r="O33" s="21"/>
      <c r="P33" s="21"/>
      <c r="Q33" s="21"/>
      <c r="R33" s="14">
        <v>5</v>
      </c>
      <c r="S33" s="21"/>
      <c r="T33" s="21"/>
      <c r="U33" s="21"/>
      <c r="V33" s="21"/>
      <c r="W33" s="21"/>
      <c r="X33" s="21"/>
      <c r="Y33" s="21"/>
      <c r="Z33" s="21"/>
      <c r="AA33" s="21"/>
    </row>
    <row r="34" spans="1:27" s="44" customFormat="1" ht="46.5" customHeight="1" x14ac:dyDescent="0.4">
      <c r="A34" s="40"/>
      <c r="B34" s="41"/>
      <c r="C34" s="42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ht="46.5" customHeight="1" x14ac:dyDescent="0.4">
      <c r="A35" s="6" t="s">
        <v>26</v>
      </c>
      <c r="B35" s="2" t="s">
        <v>101</v>
      </c>
      <c r="C35" s="10">
        <f>SUM(D35:AA35)</f>
        <v>0</v>
      </c>
      <c r="D35" s="20"/>
      <c r="E35" s="20"/>
      <c r="F35" s="20"/>
      <c r="G35" s="20"/>
      <c r="H35" s="20"/>
      <c r="I35" s="20"/>
      <c r="J35" s="11">
        <v>0</v>
      </c>
      <c r="K35" s="11">
        <v>0</v>
      </c>
      <c r="L35" s="20"/>
      <c r="M35" s="20"/>
      <c r="N35" s="20"/>
      <c r="O35" s="20"/>
      <c r="P35" s="20"/>
      <c r="Q35" s="11">
        <v>0</v>
      </c>
      <c r="R35" s="20"/>
      <c r="S35" s="11">
        <v>0</v>
      </c>
      <c r="T35" s="20"/>
      <c r="U35" s="20"/>
      <c r="V35" s="20"/>
      <c r="W35" s="20"/>
      <c r="X35" s="20"/>
      <c r="Y35" s="20"/>
      <c r="Z35" s="20"/>
      <c r="AA35" s="20"/>
    </row>
    <row r="36" spans="1:27" ht="46.5" customHeight="1" x14ac:dyDescent="0.4">
      <c r="B36" s="12" t="s">
        <v>40</v>
      </c>
      <c r="C36" s="10">
        <f>SUM(D36:AA36)</f>
        <v>43</v>
      </c>
      <c r="D36" s="20"/>
      <c r="E36" s="20"/>
      <c r="F36" s="20"/>
      <c r="G36" s="20"/>
      <c r="H36" s="20"/>
      <c r="I36" s="20"/>
      <c r="J36" s="11">
        <v>0</v>
      </c>
      <c r="K36" s="11">
        <v>4</v>
      </c>
      <c r="L36" s="20"/>
      <c r="M36" s="20"/>
      <c r="N36" s="20"/>
      <c r="O36" s="20"/>
      <c r="P36" s="20"/>
      <c r="Q36" s="11">
        <v>16</v>
      </c>
      <c r="R36" s="21"/>
      <c r="S36" s="11">
        <v>23</v>
      </c>
      <c r="T36" s="20"/>
      <c r="U36" s="20"/>
      <c r="V36" s="20"/>
      <c r="W36" s="20"/>
      <c r="X36" s="20"/>
      <c r="Y36" s="20"/>
      <c r="Z36" s="20"/>
      <c r="AA36" s="20"/>
    </row>
    <row r="37" spans="1:27" s="15" customFormat="1" ht="46.5" customHeight="1" x14ac:dyDescent="0.4">
      <c r="A37" s="13"/>
      <c r="B37" s="12" t="s">
        <v>112</v>
      </c>
      <c r="C37" s="10">
        <f>SUM(D37:AA37)</f>
        <v>35</v>
      </c>
      <c r="D37" s="21"/>
      <c r="E37" s="21"/>
      <c r="F37" s="21"/>
      <c r="G37" s="21"/>
      <c r="H37" s="21"/>
      <c r="I37" s="21"/>
      <c r="J37" s="14">
        <v>10</v>
      </c>
      <c r="K37" s="14">
        <v>6</v>
      </c>
      <c r="L37" s="21"/>
      <c r="M37" s="21"/>
      <c r="N37" s="21"/>
      <c r="O37" s="21"/>
      <c r="P37" s="21"/>
      <c r="Q37" s="14">
        <v>10</v>
      </c>
      <c r="R37" s="21"/>
      <c r="S37" s="14">
        <v>9</v>
      </c>
      <c r="T37" s="21"/>
      <c r="U37" s="21"/>
      <c r="V37" s="21"/>
      <c r="W37" s="21"/>
      <c r="X37" s="21"/>
      <c r="Y37" s="21"/>
      <c r="Z37" s="21"/>
      <c r="AA37" s="21"/>
    </row>
    <row r="38" spans="1:27" s="44" customFormat="1" ht="46.5" customHeight="1" x14ac:dyDescent="0.4">
      <c r="A38" s="40"/>
      <c r="B38" s="41"/>
      <c r="C38" s="42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 ht="46.5" customHeight="1" x14ac:dyDescent="0.4">
      <c r="A39" s="6" t="s">
        <v>27</v>
      </c>
      <c r="B39" s="2" t="s">
        <v>113</v>
      </c>
      <c r="C39" s="10">
        <f>SUM(D39:AA39)</f>
        <v>7</v>
      </c>
      <c r="D39" s="11">
        <v>1</v>
      </c>
      <c r="E39" s="11">
        <v>0</v>
      </c>
      <c r="F39" s="11">
        <v>0</v>
      </c>
      <c r="G39" s="11">
        <v>5</v>
      </c>
      <c r="H39" s="11">
        <v>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</row>
    <row r="40" spans="1:27" s="15" customFormat="1" ht="46.5" customHeight="1" x14ac:dyDescent="0.4">
      <c r="A40" s="13"/>
      <c r="B40" s="17" t="s">
        <v>114</v>
      </c>
      <c r="C40" s="10">
        <f>SUM(D40:AA40)</f>
        <v>428</v>
      </c>
      <c r="D40" s="14">
        <v>55</v>
      </c>
      <c r="E40" s="14">
        <v>1</v>
      </c>
      <c r="F40" s="14">
        <v>0</v>
      </c>
      <c r="G40" s="14">
        <v>55</v>
      </c>
      <c r="H40" s="14">
        <v>28</v>
      </c>
      <c r="I40" s="14">
        <v>1</v>
      </c>
      <c r="J40" s="14">
        <v>5</v>
      </c>
      <c r="K40" s="14">
        <v>8</v>
      </c>
      <c r="L40" s="14">
        <v>21</v>
      </c>
      <c r="M40" s="14">
        <v>41</v>
      </c>
      <c r="N40" s="14">
        <v>33</v>
      </c>
      <c r="O40" s="14">
        <v>29</v>
      </c>
      <c r="P40" s="14">
        <v>0</v>
      </c>
      <c r="Q40" s="14">
        <v>28</v>
      </c>
      <c r="R40" s="14">
        <v>18</v>
      </c>
      <c r="S40" s="14">
        <v>31</v>
      </c>
      <c r="T40" s="14">
        <v>23</v>
      </c>
      <c r="U40" s="14">
        <v>5</v>
      </c>
      <c r="V40" s="14">
        <v>8</v>
      </c>
      <c r="W40" s="14">
        <v>14</v>
      </c>
      <c r="X40" s="14">
        <v>5</v>
      </c>
      <c r="Y40" s="14">
        <v>16</v>
      </c>
      <c r="Z40" s="14">
        <v>0</v>
      </c>
      <c r="AA40" s="14">
        <v>3</v>
      </c>
    </row>
    <row r="41" spans="1:27" s="44" customFormat="1" ht="46.5" customHeight="1" x14ac:dyDescent="0.4">
      <c r="A41" s="40"/>
      <c r="B41" s="41"/>
      <c r="C41" s="42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ht="46.5" customHeight="1" x14ac:dyDescent="0.4">
      <c r="A42" s="6" t="s">
        <v>29</v>
      </c>
      <c r="B42" s="2" t="s">
        <v>113</v>
      </c>
      <c r="C42" s="10">
        <f>SUM(D42:AA42)</f>
        <v>8</v>
      </c>
      <c r="D42" s="11">
        <v>1</v>
      </c>
      <c r="E42" s="11">
        <v>0</v>
      </c>
      <c r="F42" s="11">
        <v>0</v>
      </c>
      <c r="G42" s="11">
        <v>6</v>
      </c>
      <c r="H42" s="11">
        <v>1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</row>
    <row r="43" spans="1:27" s="15" customFormat="1" ht="46.5" customHeight="1" x14ac:dyDescent="0.4">
      <c r="A43" s="13"/>
      <c r="B43" s="17" t="s">
        <v>115</v>
      </c>
      <c r="C43" s="10">
        <f>SUM(D43:AA43)</f>
        <v>429</v>
      </c>
      <c r="D43" s="14">
        <v>54</v>
      </c>
      <c r="E43" s="14">
        <v>1</v>
      </c>
      <c r="F43" s="14">
        <v>0</v>
      </c>
      <c r="G43" s="14">
        <v>55</v>
      </c>
      <c r="H43" s="14">
        <v>28</v>
      </c>
      <c r="I43" s="14">
        <v>1</v>
      </c>
      <c r="J43" s="14">
        <v>4</v>
      </c>
      <c r="K43" s="14">
        <v>8</v>
      </c>
      <c r="L43" s="14">
        <v>20</v>
      </c>
      <c r="M43" s="14">
        <v>46</v>
      </c>
      <c r="N43" s="14">
        <v>33</v>
      </c>
      <c r="O43" s="14">
        <v>29</v>
      </c>
      <c r="P43" s="14">
        <v>0</v>
      </c>
      <c r="Q43" s="14">
        <v>27</v>
      </c>
      <c r="R43" s="14">
        <v>18</v>
      </c>
      <c r="S43" s="14">
        <v>31</v>
      </c>
      <c r="T43" s="14">
        <v>24</v>
      </c>
      <c r="U43" s="14">
        <v>5</v>
      </c>
      <c r="V43" s="14">
        <v>7</v>
      </c>
      <c r="W43" s="14">
        <v>14</v>
      </c>
      <c r="X43" s="14">
        <v>5</v>
      </c>
      <c r="Y43" s="14">
        <v>16</v>
      </c>
      <c r="Z43" s="14">
        <v>0</v>
      </c>
      <c r="AA43" s="14">
        <v>3</v>
      </c>
    </row>
    <row r="44" spans="1:27" s="44" customFormat="1" ht="46.5" customHeight="1" x14ac:dyDescent="0.4">
      <c r="A44" s="40"/>
      <c r="B44" s="40"/>
      <c r="C44" s="42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 ht="46.5" customHeight="1" x14ac:dyDescent="0.4">
      <c r="A45" s="6" t="s">
        <v>30</v>
      </c>
      <c r="B45" s="2" t="s">
        <v>116</v>
      </c>
      <c r="C45" s="10">
        <f>SUM(D45:AA45)</f>
        <v>88</v>
      </c>
      <c r="D45" s="11">
        <v>17</v>
      </c>
      <c r="E45" s="11">
        <v>0</v>
      </c>
      <c r="F45" s="11">
        <v>0</v>
      </c>
      <c r="G45" s="11">
        <v>25</v>
      </c>
      <c r="H45" s="11">
        <v>10</v>
      </c>
      <c r="I45" s="11">
        <v>0</v>
      </c>
      <c r="J45" s="11">
        <v>0</v>
      </c>
      <c r="K45" s="11">
        <v>0</v>
      </c>
      <c r="L45" s="11">
        <v>4</v>
      </c>
      <c r="M45" s="11">
        <v>5</v>
      </c>
      <c r="N45" s="11">
        <v>1</v>
      </c>
      <c r="O45" s="11">
        <v>5</v>
      </c>
      <c r="P45" s="11">
        <v>0</v>
      </c>
      <c r="Q45" s="11">
        <v>3</v>
      </c>
      <c r="R45" s="11">
        <v>3</v>
      </c>
      <c r="S45" s="11">
        <v>3</v>
      </c>
      <c r="T45" s="11">
        <v>2</v>
      </c>
      <c r="U45" s="11">
        <v>1</v>
      </c>
      <c r="V45" s="11">
        <v>2</v>
      </c>
      <c r="W45" s="11">
        <v>4</v>
      </c>
      <c r="X45" s="11">
        <v>1</v>
      </c>
      <c r="Y45" s="11">
        <v>2</v>
      </c>
      <c r="Z45" s="11">
        <v>0</v>
      </c>
      <c r="AA45" s="11">
        <v>0</v>
      </c>
    </row>
    <row r="46" spans="1:27" s="15" customFormat="1" ht="46.5" customHeight="1" x14ac:dyDescent="0.4">
      <c r="A46" s="13"/>
      <c r="B46" s="12" t="s">
        <v>117</v>
      </c>
      <c r="C46" s="10">
        <f>SUM(D46:AA46)</f>
        <v>367</v>
      </c>
      <c r="D46" s="14">
        <v>43</v>
      </c>
      <c r="E46" s="14">
        <v>1</v>
      </c>
      <c r="F46" s="14">
        <v>0</v>
      </c>
      <c r="G46" s="14">
        <v>43</v>
      </c>
      <c r="H46" s="14">
        <v>26</v>
      </c>
      <c r="I46" s="14">
        <v>1</v>
      </c>
      <c r="J46" s="14">
        <v>5</v>
      </c>
      <c r="K46" s="14">
        <v>8</v>
      </c>
      <c r="L46" s="14">
        <v>17</v>
      </c>
      <c r="M46" s="14">
        <v>36</v>
      </c>
      <c r="N46" s="14">
        <v>32</v>
      </c>
      <c r="O46" s="14">
        <v>21</v>
      </c>
      <c r="P46" s="14">
        <v>0</v>
      </c>
      <c r="Q46" s="14">
        <v>27</v>
      </c>
      <c r="R46" s="14">
        <v>17</v>
      </c>
      <c r="S46" s="14">
        <v>31</v>
      </c>
      <c r="T46" s="14">
        <v>21</v>
      </c>
      <c r="U46" s="14">
        <v>5</v>
      </c>
      <c r="V46" s="14">
        <v>7</v>
      </c>
      <c r="W46" s="14">
        <v>7</v>
      </c>
      <c r="X46" s="14">
        <v>5</v>
      </c>
      <c r="Y46" s="14">
        <v>11</v>
      </c>
      <c r="Z46" s="14">
        <v>0</v>
      </c>
      <c r="AA46" s="14">
        <v>3</v>
      </c>
    </row>
    <row r="47" spans="1:27" s="44" customFormat="1" ht="46.5" customHeight="1" x14ac:dyDescent="0.4">
      <c r="A47" s="40"/>
      <c r="B47" s="41"/>
      <c r="C47" s="42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 ht="46.5" customHeight="1" x14ac:dyDescent="0.4">
      <c r="A48" s="6" t="s">
        <v>41</v>
      </c>
      <c r="B48" s="2" t="s">
        <v>101</v>
      </c>
      <c r="C48" s="10">
        <f>SUM(D48:AA48)</f>
        <v>8</v>
      </c>
      <c r="D48" s="11">
        <v>1</v>
      </c>
      <c r="E48" s="11">
        <v>0</v>
      </c>
      <c r="F48" s="11">
        <v>0</v>
      </c>
      <c r="G48" s="11">
        <v>7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</row>
    <row r="49" spans="1:27" s="15" customFormat="1" ht="46.5" customHeight="1" x14ac:dyDescent="0.4">
      <c r="A49" s="13"/>
      <c r="B49" s="12" t="s">
        <v>118</v>
      </c>
      <c r="C49" s="10">
        <f>SUM(D49:AA49)</f>
        <v>397</v>
      </c>
      <c r="D49" s="14">
        <v>44</v>
      </c>
      <c r="E49" s="14">
        <v>1</v>
      </c>
      <c r="F49" s="14">
        <v>0</v>
      </c>
      <c r="G49" s="14">
        <v>53</v>
      </c>
      <c r="H49" s="14">
        <v>29</v>
      </c>
      <c r="I49" s="14">
        <v>1</v>
      </c>
      <c r="J49" s="14">
        <v>10</v>
      </c>
      <c r="K49" s="14">
        <v>6</v>
      </c>
      <c r="L49" s="14">
        <v>18</v>
      </c>
      <c r="M49" s="14">
        <v>39</v>
      </c>
      <c r="N49" s="14">
        <v>28</v>
      </c>
      <c r="O49" s="14">
        <v>28</v>
      </c>
      <c r="P49" s="14">
        <v>0</v>
      </c>
      <c r="Q49" s="14">
        <v>25</v>
      </c>
      <c r="R49" s="14">
        <v>16</v>
      </c>
      <c r="S49" s="14">
        <v>28</v>
      </c>
      <c r="T49" s="14">
        <v>21</v>
      </c>
      <c r="U49" s="14">
        <v>5</v>
      </c>
      <c r="V49" s="14">
        <v>8</v>
      </c>
      <c r="W49" s="14">
        <v>13</v>
      </c>
      <c r="X49" s="14">
        <v>4</v>
      </c>
      <c r="Y49" s="14">
        <v>17</v>
      </c>
      <c r="Z49" s="14">
        <v>0</v>
      </c>
      <c r="AA49" s="14">
        <v>3</v>
      </c>
    </row>
    <row r="50" spans="1:27" s="15" customFormat="1" ht="46.5" customHeight="1" x14ac:dyDescent="0.4">
      <c r="A50" s="13"/>
      <c r="B50" s="12" t="s">
        <v>119</v>
      </c>
      <c r="C50" s="10">
        <f>SUM(D50:AA50)</f>
        <v>64</v>
      </c>
      <c r="D50" s="14">
        <v>12</v>
      </c>
      <c r="E50" s="14">
        <v>0</v>
      </c>
      <c r="F50" s="14">
        <v>0</v>
      </c>
      <c r="G50" s="14">
        <v>4</v>
      </c>
      <c r="H50" s="14">
        <v>4</v>
      </c>
      <c r="I50" s="14">
        <v>0</v>
      </c>
      <c r="J50" s="14">
        <v>0</v>
      </c>
      <c r="K50" s="14">
        <v>2</v>
      </c>
      <c r="L50" s="14">
        <v>6</v>
      </c>
      <c r="M50" s="14">
        <v>6</v>
      </c>
      <c r="N50" s="14">
        <v>10</v>
      </c>
      <c r="O50" s="14">
        <v>3</v>
      </c>
      <c r="P50" s="14">
        <v>0</v>
      </c>
      <c r="Q50" s="14">
        <v>4</v>
      </c>
      <c r="R50" s="14">
        <v>3</v>
      </c>
      <c r="S50" s="14">
        <v>3</v>
      </c>
      <c r="T50" s="14">
        <v>4</v>
      </c>
      <c r="U50" s="14">
        <v>0</v>
      </c>
      <c r="V50" s="14">
        <v>0</v>
      </c>
      <c r="W50" s="14">
        <v>2</v>
      </c>
      <c r="X50" s="14">
        <v>1</v>
      </c>
      <c r="Y50" s="14">
        <v>0</v>
      </c>
      <c r="Z50" s="14">
        <v>0</v>
      </c>
      <c r="AA50" s="14">
        <v>0</v>
      </c>
    </row>
    <row r="51" spans="1:27" s="44" customFormat="1" ht="46.5" customHeight="1" x14ac:dyDescent="0.4">
      <c r="A51" s="40"/>
      <c r="B51" s="41"/>
      <c r="C51" s="4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ht="46.5" customHeight="1" x14ac:dyDescent="0.4">
      <c r="A52" s="6" t="s">
        <v>28</v>
      </c>
      <c r="B52" s="2" t="s">
        <v>101</v>
      </c>
      <c r="C52" s="10">
        <f>SUM(D52:AA52)</f>
        <v>8</v>
      </c>
      <c r="D52" s="11">
        <v>1</v>
      </c>
      <c r="E52" s="11">
        <v>0</v>
      </c>
      <c r="F52" s="11">
        <v>0</v>
      </c>
      <c r="G52" s="11">
        <v>6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1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</row>
    <row r="53" spans="1:27" s="15" customFormat="1" ht="46.5" customHeight="1" x14ac:dyDescent="0.4">
      <c r="A53" s="13"/>
      <c r="B53" s="12" t="s">
        <v>120</v>
      </c>
      <c r="C53" s="10">
        <f>SUM(D53:AA53)</f>
        <v>423</v>
      </c>
      <c r="D53" s="14">
        <v>52</v>
      </c>
      <c r="E53" s="14">
        <v>1</v>
      </c>
      <c r="F53" s="14">
        <v>0</v>
      </c>
      <c r="G53" s="14">
        <v>54</v>
      </c>
      <c r="H53" s="14">
        <v>31</v>
      </c>
      <c r="I53" s="14">
        <v>1</v>
      </c>
      <c r="J53" s="14">
        <v>4</v>
      </c>
      <c r="K53" s="14">
        <v>7</v>
      </c>
      <c r="L53" s="14">
        <v>21</v>
      </c>
      <c r="M53" s="14">
        <v>44</v>
      </c>
      <c r="N53" s="14">
        <v>31</v>
      </c>
      <c r="O53" s="14">
        <v>28</v>
      </c>
      <c r="P53" s="14">
        <v>0</v>
      </c>
      <c r="Q53" s="14">
        <v>29</v>
      </c>
      <c r="R53" s="14">
        <v>17</v>
      </c>
      <c r="S53" s="14">
        <v>29</v>
      </c>
      <c r="T53" s="14">
        <v>23</v>
      </c>
      <c r="U53" s="14">
        <v>5</v>
      </c>
      <c r="V53" s="14">
        <v>8</v>
      </c>
      <c r="W53" s="14">
        <v>14</v>
      </c>
      <c r="X53" s="14">
        <v>5</v>
      </c>
      <c r="Y53" s="14">
        <v>16</v>
      </c>
      <c r="Z53" s="14">
        <v>0</v>
      </c>
      <c r="AA53" s="14">
        <v>3</v>
      </c>
    </row>
    <row r="54" spans="1:27" s="44" customFormat="1" ht="46.5" customHeight="1" x14ac:dyDescent="0.4">
      <c r="A54" s="40"/>
      <c r="B54" s="41"/>
      <c r="C54" s="42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spans="1:27" ht="39" customHeight="1" x14ac:dyDescent="0.4">
      <c r="A55" s="22" t="s">
        <v>33</v>
      </c>
      <c r="C55" s="10">
        <f>SUM(D55:AA55)</f>
        <v>1723</v>
      </c>
      <c r="D55" s="11">
        <v>149</v>
      </c>
      <c r="E55" s="11">
        <v>0</v>
      </c>
      <c r="F55" s="11">
        <v>1</v>
      </c>
      <c r="G55" s="11">
        <v>176</v>
      </c>
      <c r="H55" s="11">
        <v>120</v>
      </c>
      <c r="I55" s="11">
        <v>4</v>
      </c>
      <c r="J55" s="11">
        <v>17</v>
      </c>
      <c r="K55" s="11">
        <v>51</v>
      </c>
      <c r="L55" s="11">
        <v>41</v>
      </c>
      <c r="M55" s="11">
        <v>76</v>
      </c>
      <c r="N55" s="11">
        <v>43</v>
      </c>
      <c r="O55" s="11">
        <v>64</v>
      </c>
      <c r="P55" s="11">
        <v>1</v>
      </c>
      <c r="Q55" s="11">
        <v>173</v>
      </c>
      <c r="R55" s="11">
        <v>262</v>
      </c>
      <c r="S55" s="11">
        <v>304</v>
      </c>
      <c r="T55" s="11">
        <v>65</v>
      </c>
      <c r="U55" s="11">
        <v>16</v>
      </c>
      <c r="V55" s="11">
        <v>29</v>
      </c>
      <c r="W55" s="11">
        <v>46</v>
      </c>
      <c r="X55" s="11">
        <v>37</v>
      </c>
      <c r="Y55" s="11">
        <v>11</v>
      </c>
      <c r="Z55" s="11">
        <v>1</v>
      </c>
      <c r="AA55" s="11">
        <v>36</v>
      </c>
    </row>
    <row r="56" spans="1:27" ht="39" customHeight="1" x14ac:dyDescent="0.4">
      <c r="A56" s="22" t="s">
        <v>34</v>
      </c>
      <c r="B56" s="9"/>
      <c r="C56" s="11">
        <f>SUM(D56:AA56)</f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39" customHeight="1" x14ac:dyDescent="0.4">
      <c r="A57" s="22"/>
      <c r="B57" s="23" t="s">
        <v>42</v>
      </c>
      <c r="C57" s="24">
        <f>C56/C55</f>
        <v>0</v>
      </c>
      <c r="D57" s="25">
        <f>D56/D55</f>
        <v>0</v>
      </c>
      <c r="E57" s="25" t="e">
        <f>E56/E55</f>
        <v>#DIV/0!</v>
      </c>
      <c r="F57" s="25">
        <f>F56/F55</f>
        <v>0</v>
      </c>
      <c r="G57" s="25">
        <f t="shared" ref="G57:AA57" si="1">G56/G55</f>
        <v>0</v>
      </c>
      <c r="H57" s="25">
        <f t="shared" si="1"/>
        <v>0</v>
      </c>
      <c r="I57" s="25">
        <f t="shared" si="1"/>
        <v>0</v>
      </c>
      <c r="J57" s="25">
        <f t="shared" si="1"/>
        <v>0</v>
      </c>
      <c r="K57" s="25">
        <f t="shared" si="1"/>
        <v>0</v>
      </c>
      <c r="L57" s="25">
        <f t="shared" si="1"/>
        <v>0</v>
      </c>
      <c r="M57" s="25">
        <f t="shared" si="1"/>
        <v>0</v>
      </c>
      <c r="N57" s="25">
        <f t="shared" si="1"/>
        <v>0</v>
      </c>
      <c r="O57" s="25">
        <f t="shared" si="1"/>
        <v>0</v>
      </c>
      <c r="P57" s="25">
        <f t="shared" si="1"/>
        <v>0</v>
      </c>
      <c r="Q57" s="25">
        <f t="shared" si="1"/>
        <v>0</v>
      </c>
      <c r="R57" s="25">
        <f t="shared" si="1"/>
        <v>0</v>
      </c>
      <c r="S57" s="25">
        <f t="shared" si="1"/>
        <v>0</v>
      </c>
      <c r="T57" s="25">
        <f t="shared" si="1"/>
        <v>0</v>
      </c>
      <c r="U57" s="25">
        <f t="shared" si="1"/>
        <v>0</v>
      </c>
      <c r="V57" s="25">
        <f t="shared" si="1"/>
        <v>0</v>
      </c>
      <c r="W57" s="25">
        <f t="shared" si="1"/>
        <v>0</v>
      </c>
      <c r="X57" s="25">
        <f t="shared" si="1"/>
        <v>0</v>
      </c>
      <c r="Y57" s="25">
        <f t="shared" si="1"/>
        <v>0</v>
      </c>
      <c r="Z57" s="25">
        <f t="shared" si="1"/>
        <v>0</v>
      </c>
      <c r="AA57" s="25">
        <f t="shared" si="1"/>
        <v>0</v>
      </c>
    </row>
    <row r="58" spans="1:27" s="15" customFormat="1" ht="39" customHeight="1" x14ac:dyDescent="0.4">
      <c r="A58" s="26" t="s">
        <v>31</v>
      </c>
      <c r="C58" s="14">
        <f>SUM(D58:AA58)</f>
        <v>4903</v>
      </c>
      <c r="D58" s="14">
        <v>305</v>
      </c>
      <c r="E58" s="14">
        <v>12</v>
      </c>
      <c r="F58" s="14">
        <v>1</v>
      </c>
      <c r="G58" s="14">
        <v>381</v>
      </c>
      <c r="H58" s="14">
        <v>275</v>
      </c>
      <c r="I58" s="14">
        <v>2</v>
      </c>
      <c r="J58" s="14">
        <v>80</v>
      </c>
      <c r="K58" s="14">
        <v>238</v>
      </c>
      <c r="L58" s="14">
        <v>180</v>
      </c>
      <c r="M58" s="14">
        <v>263</v>
      </c>
      <c r="N58" s="14">
        <v>221</v>
      </c>
      <c r="O58" s="14">
        <v>258</v>
      </c>
      <c r="P58" s="14">
        <v>1</v>
      </c>
      <c r="Q58" s="14">
        <v>475</v>
      </c>
      <c r="R58" s="14">
        <v>216</v>
      </c>
      <c r="S58" s="14">
        <v>896</v>
      </c>
      <c r="T58" s="14">
        <v>253</v>
      </c>
      <c r="U58" s="14">
        <v>70</v>
      </c>
      <c r="V58" s="14">
        <v>172</v>
      </c>
      <c r="W58" s="14">
        <f>74+176</f>
        <v>250</v>
      </c>
      <c r="X58" s="14">
        <v>148</v>
      </c>
      <c r="Y58" s="14">
        <v>54</v>
      </c>
      <c r="Z58" s="14">
        <v>18</v>
      </c>
      <c r="AA58" s="14">
        <v>134</v>
      </c>
    </row>
    <row r="59" spans="1:27" s="15" customFormat="1" ht="39" customHeight="1" x14ac:dyDescent="0.4">
      <c r="A59" s="26" t="s">
        <v>32</v>
      </c>
      <c r="C59" s="14">
        <f>SUM(D59:AA59)</f>
        <v>0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s="15" customFormat="1" ht="39" customHeight="1" x14ac:dyDescent="0.4">
      <c r="A60" s="13"/>
      <c r="B60" s="28" t="s">
        <v>43</v>
      </c>
      <c r="C60" s="29">
        <f>C59/C58</f>
        <v>0</v>
      </c>
      <c r="D60" s="30">
        <f>D59/D58</f>
        <v>0</v>
      </c>
      <c r="E60" s="30">
        <f>E59/E58</f>
        <v>0</v>
      </c>
      <c r="F60" s="30">
        <f>F59/F58</f>
        <v>0</v>
      </c>
      <c r="G60" s="30">
        <f t="shared" ref="G60:AA60" si="2">G59/G58</f>
        <v>0</v>
      </c>
      <c r="H60" s="30">
        <f t="shared" si="2"/>
        <v>0</v>
      </c>
      <c r="I60" s="30">
        <f t="shared" si="2"/>
        <v>0</v>
      </c>
      <c r="J60" s="30">
        <f t="shared" si="2"/>
        <v>0</v>
      </c>
      <c r="K60" s="30">
        <f t="shared" si="2"/>
        <v>0</v>
      </c>
      <c r="L60" s="30">
        <f t="shared" si="2"/>
        <v>0</v>
      </c>
      <c r="M60" s="30">
        <f t="shared" si="2"/>
        <v>0</v>
      </c>
      <c r="N60" s="30">
        <f t="shared" si="2"/>
        <v>0</v>
      </c>
      <c r="O60" s="30">
        <f t="shared" si="2"/>
        <v>0</v>
      </c>
      <c r="P60" s="30">
        <f t="shared" si="2"/>
        <v>0</v>
      </c>
      <c r="Q60" s="30">
        <f t="shared" si="2"/>
        <v>0</v>
      </c>
      <c r="R60" s="30">
        <f t="shared" si="2"/>
        <v>0</v>
      </c>
      <c r="S60" s="30">
        <f t="shared" si="2"/>
        <v>0</v>
      </c>
      <c r="T60" s="30">
        <f t="shared" si="2"/>
        <v>0</v>
      </c>
      <c r="U60" s="30">
        <f t="shared" si="2"/>
        <v>0</v>
      </c>
      <c r="V60" s="30">
        <f t="shared" si="2"/>
        <v>0</v>
      </c>
      <c r="W60" s="30">
        <f t="shared" si="2"/>
        <v>0</v>
      </c>
      <c r="X60" s="30">
        <f t="shared" si="2"/>
        <v>0</v>
      </c>
      <c r="Y60" s="30">
        <f t="shared" si="2"/>
        <v>0</v>
      </c>
      <c r="Z60" s="30">
        <f t="shared" si="2"/>
        <v>0</v>
      </c>
      <c r="AA60" s="30">
        <f t="shared" si="2"/>
        <v>0</v>
      </c>
    </row>
    <row r="61" spans="1:27" s="35" customFormat="1" ht="39" customHeight="1" x14ac:dyDescent="0.4">
      <c r="A61" s="31" t="s">
        <v>35</v>
      </c>
      <c r="B61" s="32" t="s">
        <v>138</v>
      </c>
      <c r="C61" s="33">
        <f>SUM(D61:AA61)</f>
        <v>9180</v>
      </c>
      <c r="D61" s="34">
        <f>717-7</f>
        <v>710</v>
      </c>
      <c r="E61" s="34">
        <v>16</v>
      </c>
      <c r="F61" s="34">
        <v>2</v>
      </c>
      <c r="G61" s="34">
        <f>826-12</f>
        <v>814</v>
      </c>
      <c r="H61" s="34">
        <f>543-6</f>
        <v>537</v>
      </c>
      <c r="I61" s="34">
        <v>6</v>
      </c>
      <c r="J61" s="34">
        <v>114</v>
      </c>
      <c r="K61" s="34">
        <f>394-4</f>
        <v>390</v>
      </c>
      <c r="L61" s="34">
        <f>256-1</f>
        <v>255</v>
      </c>
      <c r="M61" s="34">
        <f>406-3</f>
        <v>403</v>
      </c>
      <c r="N61" s="34">
        <f>328-1</f>
        <v>327</v>
      </c>
      <c r="O61" s="34">
        <v>379</v>
      </c>
      <c r="P61" s="34">
        <v>2</v>
      </c>
      <c r="Q61" s="34">
        <f>953-10</f>
        <v>943</v>
      </c>
      <c r="R61" s="34">
        <f>803-12</f>
        <v>791</v>
      </c>
      <c r="S61" s="34">
        <f>1694-11</f>
        <v>1683</v>
      </c>
      <c r="T61" s="34">
        <f>439-6</f>
        <v>433</v>
      </c>
      <c r="U61" s="34">
        <f>121-1</f>
        <v>120</v>
      </c>
      <c r="V61" s="34">
        <f>267-4</f>
        <v>263</v>
      </c>
      <c r="W61" s="34">
        <f>109+271-2</f>
        <v>378</v>
      </c>
      <c r="X61" s="34">
        <f>254-3</f>
        <v>251</v>
      </c>
      <c r="Y61" s="34">
        <v>92</v>
      </c>
      <c r="Z61" s="34">
        <v>29</v>
      </c>
      <c r="AA61" s="34">
        <f>245-3</f>
        <v>242</v>
      </c>
    </row>
    <row r="62" spans="1:27" s="35" customFormat="1" ht="39" customHeight="1" x14ac:dyDescent="0.4">
      <c r="A62" s="31" t="s">
        <v>36</v>
      </c>
      <c r="C62" s="34">
        <f>SUM(D62:AA62)</f>
        <v>2010</v>
      </c>
      <c r="D62" s="36">
        <v>340</v>
      </c>
      <c r="E62" s="36"/>
      <c r="F62" s="36"/>
      <c r="G62" s="36"/>
      <c r="H62" s="36"/>
      <c r="I62" s="36"/>
      <c r="J62" s="36"/>
      <c r="K62" s="36">
        <v>162</v>
      </c>
      <c r="L62" s="36"/>
      <c r="M62" s="36">
        <v>391</v>
      </c>
      <c r="N62" s="36"/>
      <c r="O62" s="36"/>
      <c r="P62" s="36"/>
      <c r="Q62" s="36">
        <v>260</v>
      </c>
      <c r="R62" s="36"/>
      <c r="S62" s="36">
        <v>358</v>
      </c>
      <c r="T62" s="36">
        <v>109</v>
      </c>
      <c r="U62" s="36"/>
      <c r="V62" s="36">
        <v>102</v>
      </c>
      <c r="W62" s="36">
        <v>142</v>
      </c>
      <c r="X62" s="36">
        <v>62</v>
      </c>
      <c r="Y62" s="36"/>
      <c r="Z62" s="36"/>
      <c r="AA62" s="36">
        <v>84</v>
      </c>
    </row>
    <row r="63" spans="1:27" s="39" customFormat="1" ht="39" customHeight="1" x14ac:dyDescent="0.4">
      <c r="B63" s="32" t="s">
        <v>37</v>
      </c>
      <c r="C63" s="37">
        <f>C62/C61</f>
        <v>0.21895424836601307</v>
      </c>
      <c r="D63" s="38">
        <f>D62/D61</f>
        <v>0.47887323943661969</v>
      </c>
      <c r="E63" s="38">
        <f>E62/E61</f>
        <v>0</v>
      </c>
      <c r="F63" s="38">
        <f>F62/F61</f>
        <v>0</v>
      </c>
      <c r="G63" s="38">
        <f t="shared" ref="G63:AA63" si="3">G62/G61</f>
        <v>0</v>
      </c>
      <c r="H63" s="38">
        <f t="shared" si="3"/>
        <v>0</v>
      </c>
      <c r="I63" s="38">
        <f t="shared" si="3"/>
        <v>0</v>
      </c>
      <c r="J63" s="38">
        <f>J62/J61</f>
        <v>0</v>
      </c>
      <c r="K63" s="38">
        <f t="shared" si="3"/>
        <v>0.41538461538461541</v>
      </c>
      <c r="L63" s="38">
        <f t="shared" si="3"/>
        <v>0</v>
      </c>
      <c r="M63" s="38">
        <f t="shared" si="3"/>
        <v>0.97022332506203479</v>
      </c>
      <c r="N63" s="38">
        <f t="shared" si="3"/>
        <v>0</v>
      </c>
      <c r="O63" s="38">
        <f t="shared" si="3"/>
        <v>0</v>
      </c>
      <c r="P63" s="38">
        <f t="shared" si="3"/>
        <v>0</v>
      </c>
      <c r="Q63" s="38">
        <f t="shared" si="3"/>
        <v>0.27571580063626722</v>
      </c>
      <c r="R63" s="38">
        <f t="shared" si="3"/>
        <v>0</v>
      </c>
      <c r="S63" s="38">
        <f t="shared" si="3"/>
        <v>0.21271538918597743</v>
      </c>
      <c r="T63" s="38">
        <f t="shared" si="3"/>
        <v>0.25173210161662818</v>
      </c>
      <c r="U63" s="38">
        <f t="shared" si="3"/>
        <v>0</v>
      </c>
      <c r="V63" s="38">
        <f t="shared" si="3"/>
        <v>0.38783269961977185</v>
      </c>
      <c r="W63" s="38">
        <f t="shared" si="3"/>
        <v>0.37566137566137564</v>
      </c>
      <c r="X63" s="38">
        <f t="shared" si="3"/>
        <v>0.24701195219123506</v>
      </c>
      <c r="Y63" s="38">
        <f t="shared" si="3"/>
        <v>0</v>
      </c>
      <c r="Z63" s="38">
        <f t="shared" si="3"/>
        <v>0</v>
      </c>
      <c r="AA63" s="38">
        <f t="shared" si="3"/>
        <v>0.34710743801652894</v>
      </c>
    </row>
  </sheetData>
  <printOptions gridLines="1"/>
  <pageMargins left="0.7" right="0.7" top="0.75" bottom="0.75" header="0.3" footer="0.3"/>
  <pageSetup paperSize="3" scale="28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D77E-58A9-42AC-86C6-90D64D204FB6}">
  <sheetPr>
    <pageSetUpPr fitToPage="1"/>
  </sheetPr>
  <dimension ref="A1:J121"/>
  <sheetViews>
    <sheetView view="pageBreakPreview" zoomScale="115" zoomScaleNormal="100" zoomScaleSheetLayoutView="115" workbookViewId="0">
      <pane ySplit="1" topLeftCell="A2" activePane="bottomLeft" state="frozen"/>
      <selection pane="bottomLeft" activeCell="C74" sqref="C74"/>
    </sheetView>
  </sheetViews>
  <sheetFormatPr defaultRowHeight="15" x14ac:dyDescent="0.25"/>
  <cols>
    <col min="1" max="1" width="29.28515625" customWidth="1"/>
    <col min="2" max="2" width="41.7109375" bestFit="1" customWidth="1"/>
    <col min="3" max="3" width="10.7109375" bestFit="1" customWidth="1"/>
    <col min="4" max="4" width="10.85546875" bestFit="1" customWidth="1"/>
    <col min="7" max="7" width="11.5703125" bestFit="1" customWidth="1"/>
    <col min="8" max="8" width="9.85546875" bestFit="1" customWidth="1"/>
  </cols>
  <sheetData>
    <row r="1" spans="1:10" ht="84" customHeight="1" x14ac:dyDescent="0.25">
      <c r="A1" s="47" t="s">
        <v>89</v>
      </c>
      <c r="B1" s="48" t="s">
        <v>80</v>
      </c>
      <c r="C1" s="53" t="s">
        <v>3</v>
      </c>
      <c r="D1" s="49" t="s">
        <v>4</v>
      </c>
      <c r="E1" s="49" t="s">
        <v>5</v>
      </c>
      <c r="F1" s="50" t="s">
        <v>81</v>
      </c>
      <c r="G1" s="50" t="s">
        <v>77</v>
      </c>
      <c r="H1" s="50" t="s">
        <v>78</v>
      </c>
      <c r="I1" s="50" t="s">
        <v>79</v>
      </c>
      <c r="J1" s="50" t="s">
        <v>467</v>
      </c>
    </row>
    <row r="2" spans="1:10" s="52" customFormat="1" x14ac:dyDescent="0.25">
      <c r="A2" s="51" t="s">
        <v>44</v>
      </c>
    </row>
    <row r="3" spans="1:10" x14ac:dyDescent="0.25">
      <c r="A3" s="54" t="s">
        <v>82</v>
      </c>
      <c r="B3" s="54"/>
      <c r="C3" s="55">
        <f>SUM(D3:I3)</f>
        <v>0</v>
      </c>
      <c r="D3" s="55"/>
      <c r="E3" s="55"/>
      <c r="F3" s="55"/>
      <c r="G3" s="55"/>
      <c r="H3" s="55"/>
      <c r="I3" s="55"/>
      <c r="J3" s="55"/>
    </row>
    <row r="4" spans="1:10" x14ac:dyDescent="0.25">
      <c r="A4" s="54" t="s">
        <v>83</v>
      </c>
      <c r="B4" s="54"/>
      <c r="C4" s="55">
        <f t="shared" ref="C4:C76" si="0">SUM(D4:I4)</f>
        <v>0</v>
      </c>
      <c r="D4" s="55"/>
      <c r="E4" s="55"/>
      <c r="F4" s="55"/>
      <c r="G4" s="55"/>
      <c r="H4" s="55"/>
      <c r="I4" s="55"/>
      <c r="J4" s="55"/>
    </row>
    <row r="5" spans="1:10" x14ac:dyDescent="0.25">
      <c r="A5" s="56" t="s">
        <v>84</v>
      </c>
      <c r="B5" s="104" t="s">
        <v>184</v>
      </c>
      <c r="C5" s="55">
        <f>SUM(D5:J5)</f>
        <v>20</v>
      </c>
      <c r="D5" s="55"/>
      <c r="E5" s="55"/>
      <c r="F5" s="55"/>
      <c r="G5" s="55"/>
      <c r="H5" s="55"/>
      <c r="I5" s="55"/>
      <c r="J5" s="55">
        <v>20</v>
      </c>
    </row>
    <row r="6" spans="1:10" x14ac:dyDescent="0.25">
      <c r="A6" s="56" t="s">
        <v>85</v>
      </c>
      <c r="B6" s="104" t="s">
        <v>150</v>
      </c>
      <c r="C6" s="55">
        <f>SUM(D6:J6)</f>
        <v>21</v>
      </c>
      <c r="D6" s="55"/>
      <c r="E6" s="55"/>
      <c r="F6" s="55"/>
      <c r="G6" s="55"/>
      <c r="H6" s="55"/>
      <c r="I6" s="55"/>
      <c r="J6" s="55">
        <v>21</v>
      </c>
    </row>
    <row r="7" spans="1:10" s="52" customFormat="1" x14ac:dyDescent="0.25">
      <c r="A7" s="51" t="s">
        <v>45</v>
      </c>
      <c r="B7" s="51"/>
      <c r="C7"/>
    </row>
    <row r="8" spans="1:10" x14ac:dyDescent="0.25">
      <c r="A8" s="54" t="s">
        <v>82</v>
      </c>
      <c r="B8" s="54" t="s">
        <v>121</v>
      </c>
      <c r="C8" s="55">
        <f t="shared" si="0"/>
        <v>14</v>
      </c>
      <c r="D8" s="55"/>
      <c r="E8" s="55">
        <v>5</v>
      </c>
      <c r="F8" s="55">
        <v>9</v>
      </c>
      <c r="G8" s="55"/>
      <c r="H8" s="55"/>
      <c r="I8" s="55"/>
      <c r="J8" s="55"/>
    </row>
    <row r="9" spans="1:10" x14ac:dyDescent="0.25">
      <c r="A9" s="54" t="s">
        <v>83</v>
      </c>
      <c r="B9" s="54" t="s">
        <v>60</v>
      </c>
      <c r="C9" s="55">
        <f t="shared" si="0"/>
        <v>10</v>
      </c>
      <c r="D9" s="55"/>
      <c r="E9" s="55">
        <v>3</v>
      </c>
      <c r="F9" s="55">
        <v>7</v>
      </c>
      <c r="G9" s="55"/>
      <c r="H9" s="55"/>
      <c r="I9" s="55"/>
      <c r="J9" s="55"/>
    </row>
    <row r="10" spans="1:10" x14ac:dyDescent="0.25">
      <c r="A10" s="56" t="s">
        <v>84</v>
      </c>
      <c r="B10" s="56"/>
      <c r="C10" s="55">
        <f t="shared" si="0"/>
        <v>0</v>
      </c>
      <c r="D10" s="55"/>
      <c r="E10" s="55"/>
      <c r="F10" s="55"/>
      <c r="G10" s="55"/>
      <c r="H10" s="55"/>
      <c r="I10" s="55"/>
      <c r="J10" s="55"/>
    </row>
    <row r="11" spans="1:10" x14ac:dyDescent="0.25">
      <c r="A11" s="56" t="s">
        <v>85</v>
      </c>
      <c r="B11" s="56"/>
      <c r="C11" s="55">
        <f t="shared" si="0"/>
        <v>0</v>
      </c>
      <c r="D11" s="55"/>
      <c r="E11" s="55"/>
      <c r="F11" s="55"/>
      <c r="G11" s="55"/>
      <c r="H11" s="55"/>
      <c r="I11" s="55"/>
      <c r="J11" s="55"/>
    </row>
    <row r="12" spans="1:10" s="52" customFormat="1" x14ac:dyDescent="0.25">
      <c r="A12" s="51" t="s">
        <v>46</v>
      </c>
      <c r="B12" s="51"/>
      <c r="C12"/>
    </row>
    <row r="13" spans="1:10" x14ac:dyDescent="0.25">
      <c r="A13" s="54" t="s">
        <v>82</v>
      </c>
      <c r="B13" s="54" t="s">
        <v>61</v>
      </c>
      <c r="C13" s="55">
        <f t="shared" si="0"/>
        <v>23</v>
      </c>
      <c r="D13" s="55">
        <v>1</v>
      </c>
      <c r="E13" s="55">
        <v>3</v>
      </c>
      <c r="F13" s="55">
        <v>19</v>
      </c>
      <c r="G13" s="55"/>
      <c r="H13" s="55"/>
      <c r="I13" s="55"/>
      <c r="J13" s="55"/>
    </row>
    <row r="14" spans="1:10" x14ac:dyDescent="0.25">
      <c r="A14" s="54" t="s">
        <v>83</v>
      </c>
      <c r="B14" s="54"/>
      <c r="C14" s="55">
        <f t="shared" si="0"/>
        <v>0</v>
      </c>
      <c r="D14" s="55"/>
      <c r="E14" s="55"/>
      <c r="F14" s="55"/>
      <c r="G14" s="55"/>
      <c r="H14" s="55"/>
      <c r="I14" s="55"/>
      <c r="J14" s="55"/>
    </row>
    <row r="15" spans="1:10" x14ac:dyDescent="0.25">
      <c r="A15" s="56" t="s">
        <v>84</v>
      </c>
      <c r="B15" s="56" t="s">
        <v>73</v>
      </c>
      <c r="C15" s="55">
        <f t="shared" si="0"/>
        <v>157</v>
      </c>
      <c r="D15" s="55">
        <v>1</v>
      </c>
      <c r="E15" s="55">
        <v>27</v>
      </c>
      <c r="F15" s="55">
        <v>129</v>
      </c>
      <c r="G15" s="55"/>
      <c r="H15" s="55"/>
      <c r="I15" s="55"/>
      <c r="J15" s="55"/>
    </row>
    <row r="16" spans="1:10" x14ac:dyDescent="0.25">
      <c r="A16" s="56" t="s">
        <v>85</v>
      </c>
      <c r="B16" s="56" t="s">
        <v>74</v>
      </c>
      <c r="C16" s="55">
        <f t="shared" si="0"/>
        <v>151</v>
      </c>
      <c r="D16" s="55">
        <v>1</v>
      </c>
      <c r="E16" s="55">
        <v>27</v>
      </c>
      <c r="F16" s="55">
        <v>123</v>
      </c>
      <c r="G16" s="55"/>
      <c r="H16" s="55"/>
      <c r="I16" s="55"/>
      <c r="J16" s="55"/>
    </row>
    <row r="17" spans="1:10" s="51" customFormat="1" x14ac:dyDescent="0.25">
      <c r="A17" s="51" t="s">
        <v>47</v>
      </c>
      <c r="C17"/>
    </row>
    <row r="18" spans="1:10" x14ac:dyDescent="0.25">
      <c r="A18" s="54" t="s">
        <v>82</v>
      </c>
      <c r="B18" s="54" t="s">
        <v>124</v>
      </c>
      <c r="C18" s="55">
        <f t="shared" si="0"/>
        <v>44</v>
      </c>
      <c r="D18" s="55"/>
      <c r="E18" s="55">
        <v>5</v>
      </c>
      <c r="F18" s="55">
        <v>39</v>
      </c>
      <c r="G18" s="55"/>
      <c r="H18" s="55"/>
      <c r="I18" s="55"/>
      <c r="J18" s="55"/>
    </row>
    <row r="19" spans="1:10" x14ac:dyDescent="0.25">
      <c r="A19" s="54" t="s">
        <v>83</v>
      </c>
      <c r="B19" s="54" t="s">
        <v>125</v>
      </c>
      <c r="C19" s="55">
        <f t="shared" si="0"/>
        <v>47</v>
      </c>
      <c r="D19" s="55"/>
      <c r="E19" s="55">
        <v>6</v>
      </c>
      <c r="F19" s="55">
        <v>41</v>
      </c>
      <c r="G19" s="55"/>
      <c r="H19" s="55"/>
      <c r="I19" s="55"/>
      <c r="J19" s="55"/>
    </row>
    <row r="20" spans="1:10" x14ac:dyDescent="0.25">
      <c r="A20" s="56" t="s">
        <v>84</v>
      </c>
      <c r="B20" s="56" t="s">
        <v>122</v>
      </c>
      <c r="C20" s="55">
        <f t="shared" si="0"/>
        <v>281</v>
      </c>
      <c r="D20" s="55">
        <v>2</v>
      </c>
      <c r="E20" s="55">
        <v>30</v>
      </c>
      <c r="F20" s="55">
        <v>248</v>
      </c>
      <c r="G20" s="55"/>
      <c r="H20" s="55"/>
      <c r="I20" s="55">
        <v>1</v>
      </c>
      <c r="J20" s="55"/>
    </row>
    <row r="21" spans="1:10" x14ac:dyDescent="0.25">
      <c r="A21" s="56" t="s">
        <v>85</v>
      </c>
      <c r="B21" s="57" t="s">
        <v>123</v>
      </c>
      <c r="C21" s="55">
        <f t="shared" si="0"/>
        <v>280</v>
      </c>
      <c r="D21" s="55">
        <v>2</v>
      </c>
      <c r="E21" s="55">
        <v>30</v>
      </c>
      <c r="F21" s="55">
        <v>247</v>
      </c>
      <c r="G21" s="55"/>
      <c r="H21" s="55"/>
      <c r="I21" s="55">
        <v>1</v>
      </c>
      <c r="J21" s="55"/>
    </row>
    <row r="22" spans="1:10" s="51" customFormat="1" x14ac:dyDescent="0.25">
      <c r="A22" s="51" t="s">
        <v>48</v>
      </c>
      <c r="C22"/>
    </row>
    <row r="23" spans="1:10" x14ac:dyDescent="0.25">
      <c r="A23" s="54" t="s">
        <v>82</v>
      </c>
      <c r="B23" s="54"/>
      <c r="C23" s="55">
        <f t="shared" si="0"/>
        <v>0</v>
      </c>
      <c r="D23" s="55"/>
      <c r="E23" s="55"/>
      <c r="F23" s="55"/>
      <c r="G23" s="55"/>
      <c r="H23" s="55"/>
      <c r="I23" s="55"/>
      <c r="J23" s="55"/>
    </row>
    <row r="24" spans="1:10" x14ac:dyDescent="0.25">
      <c r="A24" s="54" t="s">
        <v>83</v>
      </c>
      <c r="B24" s="54" t="s">
        <v>62</v>
      </c>
      <c r="C24" s="55">
        <f t="shared" si="0"/>
        <v>16</v>
      </c>
      <c r="D24" s="55"/>
      <c r="E24" s="55">
        <v>1</v>
      </c>
      <c r="F24" s="55">
        <v>15</v>
      </c>
      <c r="G24" s="55"/>
      <c r="H24" s="55"/>
      <c r="I24" s="55"/>
      <c r="J24" s="55"/>
    </row>
    <row r="25" spans="1:10" x14ac:dyDescent="0.25">
      <c r="A25" s="56" t="s">
        <v>84</v>
      </c>
      <c r="B25" s="56" t="s">
        <v>75</v>
      </c>
      <c r="C25" s="55">
        <f t="shared" si="0"/>
        <v>86</v>
      </c>
      <c r="D25" s="55">
        <v>1</v>
      </c>
      <c r="E25" s="55">
        <v>28</v>
      </c>
      <c r="F25" s="55">
        <v>57</v>
      </c>
      <c r="G25" s="55"/>
      <c r="H25" s="55"/>
      <c r="I25" s="55"/>
      <c r="J25" s="55"/>
    </row>
    <row r="26" spans="1:10" x14ac:dyDescent="0.25">
      <c r="A26" s="56" t="s">
        <v>85</v>
      </c>
      <c r="B26" s="57" t="s">
        <v>126</v>
      </c>
      <c r="C26" s="55">
        <f t="shared" si="0"/>
        <v>88</v>
      </c>
      <c r="D26" s="55">
        <v>2</v>
      </c>
      <c r="E26" s="55">
        <v>24</v>
      </c>
      <c r="F26" s="55">
        <v>61</v>
      </c>
      <c r="G26" s="55"/>
      <c r="H26" s="55">
        <v>1</v>
      </c>
      <c r="I26" s="55"/>
      <c r="J26" s="55"/>
    </row>
    <row r="27" spans="1:10" s="51" customFormat="1" x14ac:dyDescent="0.25">
      <c r="A27" s="51" t="s">
        <v>468</v>
      </c>
      <c r="C27"/>
    </row>
    <row r="28" spans="1:10" x14ac:dyDescent="0.25">
      <c r="A28" s="54" t="s">
        <v>82</v>
      </c>
      <c r="B28" s="54"/>
      <c r="C28" s="55">
        <f t="shared" ref="C28:C31" si="1">SUM(D28:I28)</f>
        <v>0</v>
      </c>
      <c r="D28" s="55"/>
      <c r="E28" s="55"/>
      <c r="F28" s="55"/>
      <c r="G28" s="55"/>
      <c r="H28" s="55"/>
      <c r="I28" s="55"/>
      <c r="J28" s="55"/>
    </row>
    <row r="29" spans="1:10" x14ac:dyDescent="0.25">
      <c r="A29" s="54" t="s">
        <v>83</v>
      </c>
      <c r="B29" s="54"/>
      <c r="C29" s="55">
        <f t="shared" si="1"/>
        <v>16</v>
      </c>
      <c r="D29" s="55"/>
      <c r="E29" s="55">
        <v>1</v>
      </c>
      <c r="F29" s="55">
        <v>15</v>
      </c>
      <c r="G29" s="55"/>
      <c r="H29" s="55"/>
      <c r="I29" s="55"/>
      <c r="J29" s="55"/>
    </row>
    <row r="30" spans="1:10" x14ac:dyDescent="0.25">
      <c r="A30" s="56" t="s">
        <v>84</v>
      </c>
      <c r="B30" s="56" t="s">
        <v>75</v>
      </c>
      <c r="C30" s="55"/>
      <c r="D30" s="55"/>
      <c r="E30" s="55"/>
      <c r="F30" s="55"/>
      <c r="G30" s="55"/>
      <c r="H30" s="55"/>
      <c r="I30" s="55"/>
      <c r="J30" s="55">
        <v>2</v>
      </c>
    </row>
    <row r="31" spans="1:10" x14ac:dyDescent="0.25">
      <c r="A31" s="56" t="s">
        <v>85</v>
      </c>
      <c r="B31" s="57"/>
      <c r="C31" s="55">
        <f t="shared" si="1"/>
        <v>86</v>
      </c>
      <c r="D31" s="55"/>
      <c r="E31" s="55">
        <v>24</v>
      </c>
      <c r="F31" s="55">
        <v>61</v>
      </c>
      <c r="G31" s="55"/>
      <c r="H31" s="55">
        <v>1</v>
      </c>
      <c r="I31" s="55"/>
      <c r="J31" s="55"/>
    </row>
    <row r="32" spans="1:10" s="52" customFormat="1" x14ac:dyDescent="0.25">
      <c r="A32" s="52" t="s">
        <v>49</v>
      </c>
      <c r="C32"/>
    </row>
    <row r="33" spans="1:10" x14ac:dyDescent="0.25">
      <c r="A33" s="54" t="s">
        <v>82</v>
      </c>
      <c r="B33" s="54" t="s">
        <v>63</v>
      </c>
      <c r="C33" s="55">
        <f t="shared" si="0"/>
        <v>20</v>
      </c>
      <c r="D33" s="55"/>
      <c r="E33" s="55">
        <v>2</v>
      </c>
      <c r="F33" s="55">
        <v>18</v>
      </c>
      <c r="G33" s="55"/>
      <c r="H33" s="55"/>
      <c r="I33" s="55"/>
      <c r="J33" s="55"/>
    </row>
    <row r="34" spans="1:10" x14ac:dyDescent="0.25">
      <c r="A34" s="54" t="s">
        <v>83</v>
      </c>
      <c r="B34" s="54" t="s">
        <v>64</v>
      </c>
      <c r="C34" s="55">
        <f t="shared" si="0"/>
        <v>20</v>
      </c>
      <c r="D34" s="55"/>
      <c r="E34" s="55">
        <v>2</v>
      </c>
      <c r="F34" s="55">
        <v>18</v>
      </c>
      <c r="G34" s="55"/>
      <c r="H34" s="55"/>
      <c r="I34" s="55"/>
      <c r="J34" s="55"/>
    </row>
    <row r="35" spans="1:10" x14ac:dyDescent="0.25">
      <c r="A35" s="56" t="s">
        <v>84</v>
      </c>
      <c r="B35" s="56"/>
      <c r="C35" s="55">
        <f t="shared" si="0"/>
        <v>0</v>
      </c>
      <c r="D35" s="55"/>
      <c r="E35" s="55"/>
      <c r="F35" s="55"/>
      <c r="G35" s="55"/>
      <c r="H35" s="55"/>
      <c r="I35" s="55"/>
      <c r="J35" s="55"/>
    </row>
    <row r="36" spans="1:10" x14ac:dyDescent="0.25">
      <c r="A36" s="56" t="s">
        <v>85</v>
      </c>
      <c r="B36" s="56"/>
      <c r="C36" s="55">
        <f t="shared" si="0"/>
        <v>0</v>
      </c>
      <c r="D36" s="55"/>
      <c r="E36" s="55"/>
      <c r="F36" s="55"/>
      <c r="G36" s="55"/>
      <c r="H36" s="55"/>
      <c r="I36" s="55"/>
      <c r="J36" s="55"/>
    </row>
    <row r="37" spans="1:10" s="52" customFormat="1" x14ac:dyDescent="0.25">
      <c r="A37" s="52" t="s">
        <v>50</v>
      </c>
      <c r="C37"/>
    </row>
    <row r="38" spans="1:10" x14ac:dyDescent="0.25">
      <c r="A38" s="54" t="s">
        <v>82</v>
      </c>
      <c r="B38" s="54"/>
      <c r="C38" s="55">
        <f t="shared" si="0"/>
        <v>0</v>
      </c>
      <c r="D38" s="55"/>
      <c r="E38" s="55"/>
      <c r="F38" s="55"/>
      <c r="G38" s="55"/>
      <c r="H38" s="55"/>
      <c r="I38" s="55"/>
      <c r="J38" s="55"/>
    </row>
    <row r="39" spans="1:10" x14ac:dyDescent="0.25">
      <c r="A39" s="54" t="s">
        <v>83</v>
      </c>
      <c r="B39" s="54"/>
      <c r="C39" s="55">
        <f t="shared" si="0"/>
        <v>0</v>
      </c>
      <c r="D39" s="55"/>
      <c r="E39" s="55"/>
      <c r="F39" s="55"/>
      <c r="G39" s="55"/>
      <c r="H39" s="55"/>
      <c r="I39" s="55"/>
      <c r="J39" s="55"/>
    </row>
    <row r="40" spans="1:10" x14ac:dyDescent="0.25">
      <c r="A40" s="56" t="s">
        <v>84</v>
      </c>
      <c r="B40" s="56"/>
      <c r="C40" s="55">
        <f t="shared" si="0"/>
        <v>0</v>
      </c>
      <c r="D40" s="55"/>
      <c r="E40" s="55"/>
      <c r="F40" s="55"/>
      <c r="G40" s="55"/>
      <c r="H40" s="55"/>
      <c r="I40" s="55"/>
      <c r="J40" s="55"/>
    </row>
    <row r="41" spans="1:10" x14ac:dyDescent="0.25">
      <c r="A41" s="56" t="s">
        <v>85</v>
      </c>
      <c r="B41" s="57"/>
      <c r="C41" s="55">
        <f t="shared" si="0"/>
        <v>0</v>
      </c>
      <c r="D41" s="55"/>
      <c r="E41" s="55"/>
      <c r="F41" s="55"/>
      <c r="G41" s="55"/>
      <c r="H41" s="55"/>
      <c r="I41" s="55"/>
      <c r="J41" s="55"/>
    </row>
    <row r="42" spans="1:10" s="52" customFormat="1" x14ac:dyDescent="0.25">
      <c r="A42" s="52" t="s">
        <v>51</v>
      </c>
      <c r="C42"/>
    </row>
    <row r="43" spans="1:10" x14ac:dyDescent="0.25">
      <c r="A43" s="54" t="s">
        <v>82</v>
      </c>
      <c r="B43" s="54" t="s">
        <v>127</v>
      </c>
      <c r="C43" s="55">
        <f t="shared" si="0"/>
        <v>13</v>
      </c>
      <c r="D43" s="55"/>
      <c r="E43" s="55">
        <v>3</v>
      </c>
      <c r="F43" s="55">
        <v>10</v>
      </c>
      <c r="G43" s="55"/>
      <c r="H43" s="55"/>
      <c r="I43" s="55"/>
      <c r="J43" s="55"/>
    </row>
    <row r="44" spans="1:10" x14ac:dyDescent="0.25">
      <c r="A44" s="54" t="s">
        <v>83</v>
      </c>
      <c r="B44" s="54"/>
      <c r="C44" s="55">
        <f t="shared" si="0"/>
        <v>0</v>
      </c>
      <c r="D44" s="55"/>
      <c r="E44" s="55"/>
      <c r="F44" s="55"/>
      <c r="G44" s="55"/>
      <c r="H44" s="55"/>
      <c r="I44" s="55"/>
      <c r="J44" s="55"/>
    </row>
    <row r="45" spans="1:10" x14ac:dyDescent="0.25">
      <c r="A45" s="56" t="s">
        <v>84</v>
      </c>
      <c r="B45" s="57"/>
      <c r="C45" s="55">
        <f t="shared" si="0"/>
        <v>0</v>
      </c>
      <c r="D45" s="55"/>
      <c r="E45" s="55"/>
      <c r="F45" s="55"/>
      <c r="G45" s="55"/>
      <c r="H45" s="55"/>
      <c r="I45" s="55"/>
      <c r="J45" s="55"/>
    </row>
    <row r="46" spans="1:10" ht="15.75" customHeight="1" x14ac:dyDescent="0.25">
      <c r="A46" s="56" t="s">
        <v>85</v>
      </c>
      <c r="B46" s="57"/>
      <c r="C46" s="55">
        <f t="shared" si="0"/>
        <v>0</v>
      </c>
      <c r="D46" s="55"/>
      <c r="E46" s="55"/>
      <c r="F46" s="55"/>
      <c r="G46" s="55"/>
      <c r="H46" s="55"/>
      <c r="I46" s="55"/>
      <c r="J46" s="55"/>
    </row>
    <row r="47" spans="1:10" s="52" customFormat="1" x14ac:dyDescent="0.25">
      <c r="A47" s="52" t="s">
        <v>52</v>
      </c>
      <c r="C47"/>
    </row>
    <row r="48" spans="1:10" x14ac:dyDescent="0.25">
      <c r="A48" s="54" t="s">
        <v>82</v>
      </c>
      <c r="B48" s="54" t="s">
        <v>65</v>
      </c>
      <c r="C48" s="55">
        <f t="shared" si="0"/>
        <v>19</v>
      </c>
      <c r="D48" s="55"/>
      <c r="E48" s="55">
        <v>5</v>
      </c>
      <c r="F48" s="55">
        <v>14</v>
      </c>
      <c r="G48" s="55"/>
      <c r="H48" s="55"/>
      <c r="I48" s="55"/>
      <c r="J48" s="55"/>
    </row>
    <row r="49" spans="1:10" x14ac:dyDescent="0.25">
      <c r="A49" s="54" t="s">
        <v>83</v>
      </c>
      <c r="B49" s="54" t="s">
        <v>66</v>
      </c>
      <c r="C49" s="55">
        <f t="shared" si="0"/>
        <v>17</v>
      </c>
      <c r="D49" s="55"/>
      <c r="E49" s="55">
        <v>4</v>
      </c>
      <c r="F49" s="55">
        <v>13</v>
      </c>
      <c r="G49" s="55"/>
      <c r="H49" s="55"/>
      <c r="I49" s="55"/>
      <c r="J49" s="55"/>
    </row>
    <row r="50" spans="1:10" x14ac:dyDescent="0.25">
      <c r="A50" s="56" t="s">
        <v>84</v>
      </c>
      <c r="B50" s="56" t="s">
        <v>128</v>
      </c>
      <c r="C50" s="55">
        <f t="shared" si="0"/>
        <v>104</v>
      </c>
      <c r="D50" s="55">
        <v>1</v>
      </c>
      <c r="E50" s="55">
        <v>26</v>
      </c>
      <c r="F50" s="55">
        <v>77</v>
      </c>
      <c r="G50" s="55"/>
      <c r="H50" s="55"/>
      <c r="I50" s="55"/>
      <c r="J50" s="55"/>
    </row>
    <row r="51" spans="1:10" x14ac:dyDescent="0.25">
      <c r="A51" s="56" t="s">
        <v>85</v>
      </c>
      <c r="B51" s="56" t="s">
        <v>129</v>
      </c>
      <c r="C51" s="55">
        <f t="shared" si="0"/>
        <v>101</v>
      </c>
      <c r="D51" s="55">
        <v>1</v>
      </c>
      <c r="E51" s="55">
        <v>25</v>
      </c>
      <c r="F51" s="55">
        <v>75</v>
      </c>
      <c r="G51" s="55"/>
      <c r="H51" s="55"/>
      <c r="I51" s="55"/>
      <c r="J51" s="55"/>
    </row>
    <row r="52" spans="1:10" s="52" customFormat="1" x14ac:dyDescent="0.25">
      <c r="A52" s="52" t="s">
        <v>469</v>
      </c>
      <c r="C52"/>
    </row>
    <row r="53" spans="1:10" x14ac:dyDescent="0.25">
      <c r="A53" s="54" t="s">
        <v>82</v>
      </c>
      <c r="B53" s="54"/>
      <c r="C53" s="55"/>
      <c r="D53" s="55"/>
      <c r="E53" s="55"/>
      <c r="F53" s="55"/>
      <c r="G53" s="55"/>
      <c r="H53" s="55"/>
      <c r="I53" s="55"/>
      <c r="J53" s="55"/>
    </row>
    <row r="54" spans="1:10" x14ac:dyDescent="0.25">
      <c r="A54" s="54" t="s">
        <v>83</v>
      </c>
      <c r="B54" s="54"/>
      <c r="C54" s="55"/>
      <c r="D54" s="55"/>
      <c r="E54" s="55"/>
      <c r="F54" s="55"/>
      <c r="G54" s="55"/>
      <c r="H54" s="55"/>
      <c r="I54" s="55"/>
      <c r="J54" s="55"/>
    </row>
    <row r="55" spans="1:10" x14ac:dyDescent="0.25">
      <c r="A55" s="56" t="s">
        <v>84</v>
      </c>
      <c r="B55" s="56"/>
      <c r="C55" s="55"/>
      <c r="D55" s="55"/>
      <c r="E55" s="55"/>
      <c r="F55" s="55"/>
      <c r="G55" s="55"/>
      <c r="H55" s="55"/>
      <c r="I55" s="55"/>
      <c r="J55" s="55"/>
    </row>
    <row r="56" spans="1:10" x14ac:dyDescent="0.25">
      <c r="A56" s="56" t="s">
        <v>85</v>
      </c>
      <c r="B56" s="56"/>
      <c r="C56" s="55"/>
      <c r="D56" s="55"/>
      <c r="E56" s="55"/>
      <c r="F56" s="55"/>
      <c r="G56" s="55"/>
      <c r="H56" s="55"/>
      <c r="I56" s="55"/>
      <c r="J56" s="55"/>
    </row>
    <row r="57" spans="1:10" s="51" customFormat="1" x14ac:dyDescent="0.25">
      <c r="A57" s="51" t="s">
        <v>53</v>
      </c>
      <c r="C57"/>
    </row>
    <row r="58" spans="1:10" x14ac:dyDescent="0.25">
      <c r="A58" s="54" t="s">
        <v>82</v>
      </c>
      <c r="B58" s="54" t="s">
        <v>67</v>
      </c>
      <c r="C58" s="55">
        <f t="shared" si="0"/>
        <v>20</v>
      </c>
      <c r="D58" s="55"/>
      <c r="E58" s="55">
        <v>3</v>
      </c>
      <c r="F58" s="55">
        <v>17</v>
      </c>
      <c r="G58" s="55"/>
      <c r="H58" s="55"/>
      <c r="I58" s="55"/>
      <c r="J58" s="55"/>
    </row>
    <row r="59" spans="1:10" x14ac:dyDescent="0.25">
      <c r="A59" s="54" t="s">
        <v>83</v>
      </c>
      <c r="B59" s="54" t="s">
        <v>68</v>
      </c>
      <c r="C59" s="55">
        <f t="shared" si="0"/>
        <v>19</v>
      </c>
      <c r="D59" s="55"/>
      <c r="E59" s="55">
        <v>3</v>
      </c>
      <c r="F59" s="55">
        <v>16</v>
      </c>
      <c r="G59" s="55"/>
      <c r="H59" s="55"/>
      <c r="I59" s="55"/>
      <c r="J59" s="55"/>
    </row>
    <row r="60" spans="1:10" x14ac:dyDescent="0.25">
      <c r="A60" s="56" t="s">
        <v>84</v>
      </c>
      <c r="B60" s="57"/>
      <c r="C60" s="55">
        <f t="shared" si="0"/>
        <v>0</v>
      </c>
      <c r="D60" s="55"/>
      <c r="E60" s="55"/>
      <c r="F60" s="55"/>
      <c r="G60" s="55"/>
      <c r="H60" s="55"/>
      <c r="I60" s="55"/>
      <c r="J60" s="55"/>
    </row>
    <row r="61" spans="1:10" x14ac:dyDescent="0.25">
      <c r="A61" s="56" t="s">
        <v>85</v>
      </c>
      <c r="B61" s="57"/>
      <c r="C61" s="55">
        <f t="shared" si="0"/>
        <v>0</v>
      </c>
      <c r="D61" s="55"/>
      <c r="E61" s="55"/>
      <c r="F61" s="55"/>
      <c r="G61" s="55"/>
      <c r="H61" s="55"/>
      <c r="I61" s="55"/>
      <c r="J61" s="55"/>
    </row>
    <row r="62" spans="1:10" s="51" customFormat="1" x14ac:dyDescent="0.25">
      <c r="A62" s="51" t="s">
        <v>54</v>
      </c>
      <c r="C62"/>
    </row>
    <row r="63" spans="1:10" x14ac:dyDescent="0.25">
      <c r="A63" s="54" t="s">
        <v>82</v>
      </c>
      <c r="B63" s="55"/>
      <c r="C63" s="55">
        <f t="shared" si="0"/>
        <v>0</v>
      </c>
      <c r="D63" s="55"/>
      <c r="E63" s="55"/>
      <c r="F63" s="55"/>
      <c r="G63" s="55"/>
      <c r="H63" s="55"/>
      <c r="I63" s="55"/>
      <c r="J63" s="55"/>
    </row>
    <row r="64" spans="1:10" x14ac:dyDescent="0.25">
      <c r="A64" s="54" t="s">
        <v>83</v>
      </c>
      <c r="B64" s="55"/>
      <c r="C64" s="55">
        <f t="shared" si="0"/>
        <v>0</v>
      </c>
      <c r="D64" s="55"/>
      <c r="E64" s="55"/>
      <c r="F64" s="55"/>
      <c r="G64" s="55"/>
      <c r="H64" s="55"/>
      <c r="I64" s="55"/>
      <c r="J64" s="55"/>
    </row>
    <row r="65" spans="1:10" x14ac:dyDescent="0.25">
      <c r="A65" s="56" t="s">
        <v>84</v>
      </c>
      <c r="B65" s="57"/>
      <c r="C65" s="55">
        <f t="shared" si="0"/>
        <v>0</v>
      </c>
      <c r="D65" s="55"/>
      <c r="E65" s="55"/>
      <c r="F65" s="55"/>
      <c r="G65" s="55"/>
      <c r="H65" s="55"/>
      <c r="I65" s="55"/>
      <c r="J65" s="55"/>
    </row>
    <row r="66" spans="1:10" x14ac:dyDescent="0.25">
      <c r="A66" s="56" t="s">
        <v>85</v>
      </c>
      <c r="B66" s="57"/>
      <c r="C66" s="55">
        <f t="shared" si="0"/>
        <v>0</v>
      </c>
      <c r="D66" s="55"/>
      <c r="E66" s="55"/>
      <c r="F66" s="55"/>
      <c r="G66" s="55"/>
      <c r="H66" s="55"/>
      <c r="I66" s="55"/>
      <c r="J66" s="55"/>
    </row>
    <row r="67" spans="1:10" s="51" customFormat="1" x14ac:dyDescent="0.25">
      <c r="A67" s="51" t="s">
        <v>55</v>
      </c>
      <c r="C67"/>
    </row>
    <row r="68" spans="1:10" x14ac:dyDescent="0.25">
      <c r="A68" s="54" t="s">
        <v>82</v>
      </c>
      <c r="B68" s="54"/>
      <c r="C68" s="55">
        <f t="shared" si="0"/>
        <v>0</v>
      </c>
      <c r="D68" s="55"/>
      <c r="E68" s="55"/>
      <c r="F68" s="55"/>
      <c r="G68" s="55"/>
      <c r="H68" s="55"/>
      <c r="I68" s="55"/>
      <c r="J68" s="55"/>
    </row>
    <row r="69" spans="1:10" x14ac:dyDescent="0.25">
      <c r="A69" s="54" t="s">
        <v>83</v>
      </c>
      <c r="B69" s="54"/>
      <c r="C69" s="55">
        <f t="shared" si="0"/>
        <v>0</v>
      </c>
      <c r="D69" s="55"/>
      <c r="E69" s="55"/>
      <c r="F69" s="55"/>
      <c r="G69" s="55"/>
      <c r="H69" s="55"/>
      <c r="I69" s="55"/>
      <c r="J69" s="55"/>
    </row>
    <row r="70" spans="1:10" x14ac:dyDescent="0.25">
      <c r="A70" s="56" t="s">
        <v>84</v>
      </c>
      <c r="B70" s="56"/>
      <c r="C70" s="55">
        <f t="shared" si="0"/>
        <v>0</v>
      </c>
      <c r="D70" s="55"/>
      <c r="E70" s="55"/>
      <c r="F70" s="55"/>
      <c r="G70" s="55"/>
      <c r="H70" s="55"/>
      <c r="I70" s="55"/>
      <c r="J70" s="55"/>
    </row>
    <row r="71" spans="1:10" x14ac:dyDescent="0.25">
      <c r="A71" s="56" t="s">
        <v>85</v>
      </c>
      <c r="B71" s="56"/>
      <c r="C71" s="55">
        <f t="shared" si="0"/>
        <v>0</v>
      </c>
      <c r="D71" s="55"/>
      <c r="E71" s="55"/>
      <c r="F71" s="55"/>
      <c r="G71" s="55"/>
      <c r="H71" s="55"/>
      <c r="I71" s="55"/>
      <c r="J71" s="55"/>
    </row>
    <row r="72" spans="1:10" s="51" customFormat="1" x14ac:dyDescent="0.25">
      <c r="A72" s="51" t="s">
        <v>69</v>
      </c>
      <c r="C72"/>
    </row>
    <row r="73" spans="1:10" x14ac:dyDescent="0.25">
      <c r="A73" s="54" t="s">
        <v>82</v>
      </c>
      <c r="B73" s="54"/>
      <c r="C73" s="55">
        <f t="shared" si="0"/>
        <v>0</v>
      </c>
      <c r="D73" s="55"/>
      <c r="E73" s="55"/>
      <c r="F73" s="55"/>
      <c r="G73" s="55"/>
      <c r="H73" s="55"/>
      <c r="I73" s="55"/>
      <c r="J73" s="55"/>
    </row>
    <row r="74" spans="1:10" x14ac:dyDescent="0.25">
      <c r="A74" s="54" t="s">
        <v>83</v>
      </c>
      <c r="B74" s="54" t="s">
        <v>70</v>
      </c>
      <c r="C74" s="55">
        <f t="shared" si="0"/>
        <v>3</v>
      </c>
      <c r="D74" s="55"/>
      <c r="E74" s="55">
        <v>2</v>
      </c>
      <c r="F74" s="55">
        <v>1</v>
      </c>
      <c r="G74" s="55"/>
      <c r="H74" s="55"/>
      <c r="I74" s="55"/>
      <c r="J74" s="55"/>
    </row>
    <row r="75" spans="1:10" x14ac:dyDescent="0.25">
      <c r="A75" s="56" t="s">
        <v>84</v>
      </c>
      <c r="B75" s="56"/>
      <c r="C75" s="55">
        <f t="shared" si="0"/>
        <v>0</v>
      </c>
      <c r="D75" s="55"/>
      <c r="E75" s="55"/>
      <c r="F75" s="55"/>
      <c r="G75" s="55"/>
      <c r="H75" s="55"/>
      <c r="I75" s="55"/>
      <c r="J75" s="55"/>
    </row>
    <row r="76" spans="1:10" x14ac:dyDescent="0.25">
      <c r="A76" s="56" t="s">
        <v>85</v>
      </c>
      <c r="B76" s="56"/>
      <c r="C76" s="55">
        <f t="shared" si="0"/>
        <v>0</v>
      </c>
      <c r="D76" s="55"/>
      <c r="E76" s="55"/>
      <c r="F76" s="55"/>
      <c r="G76" s="55"/>
      <c r="H76" s="55"/>
      <c r="I76" s="55"/>
      <c r="J76" s="55"/>
    </row>
    <row r="77" spans="1:10" s="51" customFormat="1" x14ac:dyDescent="0.25">
      <c r="A77" s="51" t="s">
        <v>470</v>
      </c>
      <c r="C77"/>
    </row>
    <row r="78" spans="1:10" x14ac:dyDescent="0.25">
      <c r="A78" s="54" t="s">
        <v>82</v>
      </c>
      <c r="B78" s="54"/>
      <c r="C78" s="55">
        <f t="shared" ref="C78:C81" si="2">SUM(D78:I78)</f>
        <v>0</v>
      </c>
      <c r="D78" s="55"/>
      <c r="E78" s="55"/>
      <c r="F78" s="55"/>
      <c r="G78" s="55"/>
      <c r="H78" s="55"/>
      <c r="I78" s="55"/>
      <c r="J78" s="55"/>
    </row>
    <row r="79" spans="1:10" x14ac:dyDescent="0.25">
      <c r="A79" s="54" t="s">
        <v>83</v>
      </c>
      <c r="B79" s="54"/>
      <c r="C79" s="55">
        <f t="shared" si="2"/>
        <v>0</v>
      </c>
      <c r="D79" s="55"/>
      <c r="E79" s="55"/>
      <c r="F79" s="55"/>
      <c r="G79" s="55"/>
      <c r="H79" s="55"/>
      <c r="I79" s="55"/>
      <c r="J79" s="55"/>
    </row>
    <row r="80" spans="1:10" x14ac:dyDescent="0.25">
      <c r="A80" s="56" t="s">
        <v>84</v>
      </c>
      <c r="B80" s="56"/>
      <c r="C80" s="55">
        <f t="shared" si="2"/>
        <v>0</v>
      </c>
      <c r="D80" s="55"/>
      <c r="E80" s="55"/>
      <c r="F80" s="55"/>
      <c r="G80" s="55"/>
      <c r="H80" s="55"/>
      <c r="I80" s="55"/>
      <c r="J80" s="55"/>
    </row>
    <row r="81" spans="1:10" x14ac:dyDescent="0.25">
      <c r="A81" s="56" t="s">
        <v>85</v>
      </c>
      <c r="B81" s="56"/>
      <c r="C81" s="55">
        <f t="shared" si="2"/>
        <v>0</v>
      </c>
      <c r="D81" s="55"/>
      <c r="E81" s="55"/>
      <c r="F81" s="55"/>
      <c r="G81" s="55"/>
      <c r="H81" s="55"/>
      <c r="I81" s="55"/>
      <c r="J81" s="55"/>
    </row>
    <row r="82" spans="1:10" s="51" customFormat="1" x14ac:dyDescent="0.25">
      <c r="A82" s="51" t="s">
        <v>57</v>
      </c>
      <c r="C82"/>
    </row>
    <row r="83" spans="1:10" x14ac:dyDescent="0.25">
      <c r="A83" s="54" t="s">
        <v>82</v>
      </c>
      <c r="B83" s="55"/>
      <c r="C83" s="55">
        <f t="shared" ref="C83:C116" si="3">SUM(D83:I83)</f>
        <v>0</v>
      </c>
      <c r="D83" s="55"/>
      <c r="E83" s="55"/>
      <c r="F83" s="55"/>
      <c r="G83" s="55"/>
      <c r="H83" s="55"/>
      <c r="I83" s="55"/>
      <c r="J83" s="55"/>
    </row>
    <row r="84" spans="1:10" x14ac:dyDescent="0.25">
      <c r="A84" s="54" t="s">
        <v>83</v>
      </c>
      <c r="B84" s="54"/>
      <c r="C84" s="55">
        <f t="shared" si="3"/>
        <v>0</v>
      </c>
      <c r="D84" s="55"/>
      <c r="E84" s="55"/>
      <c r="F84" s="55"/>
      <c r="G84" s="55"/>
      <c r="H84" s="55"/>
      <c r="I84" s="55"/>
      <c r="J84" s="55"/>
    </row>
    <row r="85" spans="1:10" x14ac:dyDescent="0.25">
      <c r="A85" s="56" t="s">
        <v>84</v>
      </c>
      <c r="B85" s="104" t="s">
        <v>194</v>
      </c>
      <c r="C85" s="55">
        <f>SUM(D85:J85)</f>
        <v>21</v>
      </c>
      <c r="D85" s="55"/>
      <c r="E85" s="55"/>
      <c r="F85" s="55"/>
      <c r="G85" s="55"/>
      <c r="H85" s="55"/>
      <c r="I85" s="55"/>
      <c r="J85" s="55">
        <v>21</v>
      </c>
    </row>
    <row r="86" spans="1:10" x14ac:dyDescent="0.25">
      <c r="A86" s="56" t="s">
        <v>85</v>
      </c>
      <c r="B86" s="104" t="s">
        <v>204</v>
      </c>
      <c r="C86" s="55">
        <f>SUM(D86:J86)</f>
        <v>20</v>
      </c>
      <c r="D86" s="55"/>
      <c r="E86" s="55"/>
      <c r="F86" s="55"/>
      <c r="G86" s="55"/>
      <c r="H86" s="55"/>
      <c r="I86" s="55"/>
      <c r="J86" s="55">
        <v>20</v>
      </c>
    </row>
    <row r="87" spans="1:10" s="51" customFormat="1" x14ac:dyDescent="0.25">
      <c r="A87" s="51" t="s">
        <v>56</v>
      </c>
      <c r="C87"/>
    </row>
    <row r="88" spans="1:10" x14ac:dyDescent="0.25">
      <c r="A88" s="54" t="s">
        <v>82</v>
      </c>
      <c r="B88" s="55"/>
      <c r="C88" s="55">
        <f t="shared" si="3"/>
        <v>0</v>
      </c>
      <c r="D88" s="55"/>
      <c r="E88" s="55"/>
      <c r="F88" s="55"/>
      <c r="G88" s="55"/>
      <c r="H88" s="55"/>
      <c r="I88" s="55"/>
      <c r="J88" s="55"/>
    </row>
    <row r="89" spans="1:10" x14ac:dyDescent="0.25">
      <c r="A89" s="54" t="s">
        <v>83</v>
      </c>
      <c r="B89" s="55"/>
      <c r="C89" s="55">
        <f t="shared" si="3"/>
        <v>0</v>
      </c>
      <c r="D89" s="55"/>
      <c r="E89" s="55"/>
      <c r="F89" s="55"/>
      <c r="G89" s="55"/>
      <c r="H89" s="55"/>
      <c r="I89" s="55"/>
      <c r="J89" s="55"/>
    </row>
    <row r="90" spans="1:10" x14ac:dyDescent="0.25">
      <c r="A90" s="56" t="s">
        <v>84</v>
      </c>
      <c r="B90" s="56"/>
      <c r="C90" s="55">
        <f t="shared" si="3"/>
        <v>0</v>
      </c>
      <c r="D90" s="55"/>
      <c r="E90" s="55"/>
      <c r="F90" s="55"/>
      <c r="G90" s="55"/>
      <c r="H90" s="55"/>
      <c r="I90" s="55"/>
      <c r="J90" s="55"/>
    </row>
    <row r="91" spans="1:10" x14ac:dyDescent="0.25">
      <c r="A91" s="56" t="s">
        <v>85</v>
      </c>
      <c r="B91" s="56"/>
      <c r="C91" s="55">
        <f t="shared" si="3"/>
        <v>0</v>
      </c>
      <c r="D91" s="55"/>
      <c r="E91" s="55"/>
      <c r="F91" s="55"/>
      <c r="G91" s="55"/>
      <c r="H91" s="55"/>
      <c r="I91" s="55"/>
      <c r="J91" s="55"/>
    </row>
    <row r="92" spans="1:10" s="51" customFormat="1" x14ac:dyDescent="0.25">
      <c r="A92" s="51" t="s">
        <v>86</v>
      </c>
      <c r="C92"/>
    </row>
    <row r="93" spans="1:10" x14ac:dyDescent="0.25">
      <c r="A93" s="54" t="s">
        <v>82</v>
      </c>
      <c r="B93" s="54" t="s">
        <v>58</v>
      </c>
      <c r="C93" s="55">
        <f t="shared" si="3"/>
        <v>27</v>
      </c>
      <c r="D93" s="55"/>
      <c r="E93" s="55">
        <v>16</v>
      </c>
      <c r="F93" s="55">
        <v>11</v>
      </c>
      <c r="G93" s="55"/>
      <c r="H93" s="55"/>
      <c r="I93" s="55"/>
      <c r="J93" s="55"/>
    </row>
    <row r="94" spans="1:10" x14ac:dyDescent="0.25">
      <c r="A94" s="54" t="s">
        <v>83</v>
      </c>
      <c r="B94" s="54" t="s">
        <v>59</v>
      </c>
      <c r="C94" s="55">
        <f t="shared" si="3"/>
        <v>25</v>
      </c>
      <c r="D94" s="55"/>
      <c r="E94" s="55">
        <v>16</v>
      </c>
      <c r="F94" s="55">
        <v>9</v>
      </c>
      <c r="G94" s="55"/>
      <c r="H94" s="55"/>
      <c r="I94" s="55"/>
      <c r="J94" s="55"/>
    </row>
    <row r="95" spans="1:10" x14ac:dyDescent="0.25">
      <c r="A95" s="56" t="s">
        <v>84</v>
      </c>
      <c r="B95" s="56"/>
      <c r="C95" s="55">
        <f t="shared" si="3"/>
        <v>0</v>
      </c>
      <c r="D95" s="55"/>
      <c r="E95" s="55"/>
      <c r="F95" s="55"/>
      <c r="G95" s="55"/>
      <c r="H95" s="55"/>
      <c r="I95" s="55"/>
      <c r="J95" s="55"/>
    </row>
    <row r="96" spans="1:10" x14ac:dyDescent="0.25">
      <c r="A96" s="56" t="s">
        <v>85</v>
      </c>
      <c r="B96" s="56"/>
      <c r="C96" s="55">
        <f t="shared" si="3"/>
        <v>0</v>
      </c>
      <c r="D96" s="55"/>
      <c r="E96" s="55"/>
      <c r="F96" s="55"/>
      <c r="G96" s="55"/>
      <c r="H96" s="55"/>
      <c r="I96" s="55"/>
      <c r="J96" s="55"/>
    </row>
    <row r="97" spans="1:10" s="51" customFormat="1" x14ac:dyDescent="0.25">
      <c r="A97" s="51" t="s">
        <v>471</v>
      </c>
      <c r="C97"/>
    </row>
    <row r="98" spans="1:10" x14ac:dyDescent="0.25">
      <c r="A98" s="54" t="s">
        <v>82</v>
      </c>
      <c r="B98" s="54"/>
      <c r="C98" s="55">
        <f t="shared" ref="C98:C101" si="4">SUM(D98:I98)</f>
        <v>0</v>
      </c>
      <c r="D98" s="55"/>
      <c r="E98" s="55"/>
      <c r="F98" s="55"/>
      <c r="G98" s="55"/>
      <c r="H98" s="55"/>
      <c r="I98" s="55"/>
      <c r="J98" s="55"/>
    </row>
    <row r="99" spans="1:10" x14ac:dyDescent="0.25">
      <c r="A99" s="54" t="s">
        <v>83</v>
      </c>
      <c r="B99" s="54"/>
      <c r="C99" s="55">
        <f t="shared" si="4"/>
        <v>0</v>
      </c>
      <c r="D99" s="55"/>
      <c r="E99" s="55"/>
      <c r="F99" s="55"/>
      <c r="G99" s="55"/>
      <c r="H99" s="55"/>
      <c r="I99" s="55"/>
      <c r="J99" s="55"/>
    </row>
    <row r="100" spans="1:10" x14ac:dyDescent="0.25">
      <c r="A100" s="56" t="s">
        <v>84</v>
      </c>
      <c r="B100" s="56"/>
      <c r="C100" s="55">
        <f t="shared" si="4"/>
        <v>0</v>
      </c>
      <c r="D100" s="55"/>
      <c r="E100" s="55"/>
      <c r="F100" s="55"/>
      <c r="G100" s="55"/>
      <c r="H100" s="55"/>
      <c r="I100" s="55"/>
      <c r="J100" s="55"/>
    </row>
    <row r="101" spans="1:10" x14ac:dyDescent="0.25">
      <c r="A101" s="56" t="s">
        <v>85</v>
      </c>
      <c r="B101" s="56"/>
      <c r="C101" s="55">
        <f t="shared" si="4"/>
        <v>0</v>
      </c>
      <c r="D101" s="55"/>
      <c r="E101" s="55"/>
      <c r="F101" s="55"/>
      <c r="G101" s="55"/>
      <c r="H101" s="55"/>
      <c r="I101" s="55"/>
      <c r="J101" s="55"/>
    </row>
    <row r="102" spans="1:10" s="51" customFormat="1" x14ac:dyDescent="0.25">
      <c r="A102" s="51" t="s">
        <v>472</v>
      </c>
      <c r="C102"/>
    </row>
    <row r="103" spans="1:10" x14ac:dyDescent="0.25">
      <c r="A103" s="54" t="s">
        <v>82</v>
      </c>
      <c r="B103" s="54"/>
      <c r="C103" s="55">
        <f t="shared" ref="C103:C106" si="5">SUM(D103:I103)</f>
        <v>0</v>
      </c>
      <c r="D103" s="55"/>
      <c r="E103" s="55"/>
      <c r="F103" s="55"/>
      <c r="G103" s="55"/>
      <c r="H103" s="55"/>
      <c r="I103" s="55"/>
      <c r="J103" s="55"/>
    </row>
    <row r="104" spans="1:10" x14ac:dyDescent="0.25">
      <c r="A104" s="54" t="s">
        <v>83</v>
      </c>
      <c r="B104" s="54"/>
      <c r="C104" s="55">
        <f t="shared" si="5"/>
        <v>0</v>
      </c>
      <c r="D104" s="55"/>
      <c r="E104" s="55"/>
      <c r="F104" s="55"/>
      <c r="G104" s="55"/>
      <c r="H104" s="55"/>
      <c r="I104" s="55"/>
      <c r="J104" s="55"/>
    </row>
    <row r="105" spans="1:10" x14ac:dyDescent="0.25">
      <c r="A105" s="56" t="s">
        <v>84</v>
      </c>
      <c r="B105" s="56"/>
      <c r="C105" s="55">
        <f t="shared" si="5"/>
        <v>0</v>
      </c>
      <c r="D105" s="55"/>
      <c r="E105" s="55"/>
      <c r="F105" s="55"/>
      <c r="G105" s="55"/>
      <c r="H105" s="55"/>
      <c r="I105" s="55"/>
      <c r="J105" s="55"/>
    </row>
    <row r="106" spans="1:10" x14ac:dyDescent="0.25">
      <c r="A106" s="56" t="s">
        <v>85</v>
      </c>
      <c r="B106" s="56"/>
      <c r="C106" s="55">
        <f t="shared" si="5"/>
        <v>0</v>
      </c>
      <c r="D106" s="55"/>
      <c r="E106" s="55"/>
      <c r="F106" s="55"/>
      <c r="G106" s="55"/>
      <c r="H106" s="55"/>
      <c r="I106" s="55"/>
      <c r="J106" s="55"/>
    </row>
    <row r="107" spans="1:10" s="51" customFormat="1" x14ac:dyDescent="0.25">
      <c r="A107" s="51" t="s">
        <v>87</v>
      </c>
      <c r="C107"/>
    </row>
    <row r="108" spans="1:10" x14ac:dyDescent="0.25">
      <c r="A108" s="54" t="s">
        <v>82</v>
      </c>
      <c r="B108" s="54" t="s">
        <v>71</v>
      </c>
      <c r="C108" s="55">
        <f t="shared" si="3"/>
        <v>49</v>
      </c>
      <c r="D108" s="55">
        <v>2</v>
      </c>
      <c r="E108" s="55">
        <v>23</v>
      </c>
      <c r="F108" s="55">
        <v>24</v>
      </c>
      <c r="G108" s="55"/>
      <c r="H108" s="55"/>
      <c r="I108" s="55"/>
      <c r="J108" s="55"/>
    </row>
    <row r="109" spans="1:10" x14ac:dyDescent="0.25">
      <c r="A109" s="54" t="s">
        <v>83</v>
      </c>
      <c r="B109" s="54" t="s">
        <v>72</v>
      </c>
      <c r="C109" s="55">
        <f t="shared" si="3"/>
        <v>51</v>
      </c>
      <c r="D109" s="55">
        <v>2</v>
      </c>
      <c r="E109" s="55">
        <v>24</v>
      </c>
      <c r="F109" s="55">
        <v>25</v>
      </c>
      <c r="G109" s="55"/>
      <c r="H109" s="55"/>
      <c r="I109" s="55"/>
      <c r="J109" s="55"/>
    </row>
    <row r="110" spans="1:10" x14ac:dyDescent="0.25">
      <c r="A110" s="56" t="s">
        <v>84</v>
      </c>
      <c r="B110" s="57" t="s">
        <v>130</v>
      </c>
      <c r="C110" s="55">
        <f t="shared" si="3"/>
        <v>142</v>
      </c>
      <c r="D110" s="55">
        <v>5</v>
      </c>
      <c r="E110" s="55">
        <v>42</v>
      </c>
      <c r="F110" s="55">
        <v>95</v>
      </c>
      <c r="G110" s="55"/>
      <c r="H110" s="55"/>
      <c r="I110" s="55"/>
      <c r="J110" s="55"/>
    </row>
    <row r="111" spans="1:10" x14ac:dyDescent="0.25">
      <c r="A111" s="56" t="s">
        <v>85</v>
      </c>
      <c r="B111" s="57"/>
      <c r="C111" s="55">
        <f t="shared" si="3"/>
        <v>0</v>
      </c>
      <c r="D111" s="55"/>
      <c r="E111" s="55"/>
      <c r="F111" s="55"/>
      <c r="G111" s="55"/>
      <c r="H111" s="55"/>
      <c r="I111" s="55"/>
      <c r="J111" s="55"/>
    </row>
    <row r="112" spans="1:10" s="51" customFormat="1" x14ac:dyDescent="0.25">
      <c r="A112" s="51" t="s">
        <v>88</v>
      </c>
      <c r="C112"/>
    </row>
    <row r="113" spans="1:10" x14ac:dyDescent="0.25">
      <c r="A113" s="54" t="s">
        <v>82</v>
      </c>
      <c r="B113" s="54"/>
      <c r="C113" s="55">
        <f t="shared" si="3"/>
        <v>0</v>
      </c>
      <c r="D113" s="55"/>
      <c r="E113" s="55"/>
      <c r="F113" s="55"/>
      <c r="G113" s="55"/>
      <c r="H113" s="55"/>
      <c r="I113" s="55"/>
      <c r="J113" s="55"/>
    </row>
    <row r="114" spans="1:10" x14ac:dyDescent="0.25">
      <c r="A114" s="54" t="s">
        <v>83</v>
      </c>
      <c r="B114" s="54" t="s">
        <v>131</v>
      </c>
      <c r="C114" s="55">
        <f t="shared" si="3"/>
        <v>22</v>
      </c>
      <c r="D114" s="55"/>
      <c r="E114" s="55">
        <v>10</v>
      </c>
      <c r="F114" s="55">
        <v>12</v>
      </c>
      <c r="G114" s="55"/>
      <c r="H114" s="55"/>
      <c r="I114" s="55"/>
      <c r="J114" s="55"/>
    </row>
    <row r="115" spans="1:10" x14ac:dyDescent="0.25">
      <c r="A115" s="56" t="s">
        <v>84</v>
      </c>
      <c r="B115" s="56"/>
      <c r="C115" s="55">
        <f t="shared" si="3"/>
        <v>0</v>
      </c>
      <c r="D115" s="55"/>
      <c r="E115" s="55"/>
      <c r="F115" s="55"/>
      <c r="G115" s="55"/>
      <c r="H115" s="55"/>
      <c r="I115" s="55"/>
      <c r="J115" s="55"/>
    </row>
    <row r="116" spans="1:10" x14ac:dyDescent="0.25">
      <c r="A116" s="56" t="s">
        <v>85</v>
      </c>
      <c r="B116" s="56"/>
      <c r="C116" s="55">
        <f t="shared" si="3"/>
        <v>0</v>
      </c>
      <c r="D116" s="55"/>
      <c r="E116" s="55"/>
      <c r="F116" s="55"/>
      <c r="G116" s="55"/>
      <c r="H116" s="55"/>
      <c r="I116" s="55"/>
      <c r="J116" s="55"/>
    </row>
    <row r="117" spans="1:10" s="51" customFormat="1" x14ac:dyDescent="0.25">
      <c r="A117" s="51" t="s">
        <v>473</v>
      </c>
      <c r="C117"/>
    </row>
    <row r="118" spans="1:10" x14ac:dyDescent="0.25">
      <c r="A118" s="54" t="s">
        <v>82</v>
      </c>
      <c r="B118" s="54"/>
      <c r="C118" s="55">
        <f t="shared" ref="C118:C121" si="6">SUM(D118:I118)</f>
        <v>0</v>
      </c>
      <c r="D118" s="55"/>
      <c r="E118" s="55"/>
      <c r="F118" s="55"/>
      <c r="G118" s="55"/>
      <c r="H118" s="55"/>
      <c r="I118" s="55"/>
      <c r="J118" s="55"/>
    </row>
    <row r="119" spans="1:10" x14ac:dyDescent="0.25">
      <c r="A119" s="54" t="s">
        <v>83</v>
      </c>
      <c r="B119" s="54"/>
      <c r="C119" s="55">
        <f t="shared" si="6"/>
        <v>0</v>
      </c>
      <c r="D119" s="55"/>
      <c r="E119" s="55"/>
      <c r="F119" s="55"/>
      <c r="G119" s="55"/>
      <c r="H119" s="55"/>
      <c r="I119" s="55"/>
      <c r="J119" s="55"/>
    </row>
    <row r="120" spans="1:10" x14ac:dyDescent="0.25">
      <c r="A120" s="56" t="s">
        <v>84</v>
      </c>
      <c r="B120" s="56"/>
      <c r="C120" s="55">
        <f t="shared" si="6"/>
        <v>0</v>
      </c>
      <c r="D120" s="55"/>
      <c r="E120" s="55"/>
      <c r="F120" s="55"/>
      <c r="G120" s="55"/>
      <c r="H120" s="55"/>
      <c r="I120" s="55"/>
      <c r="J120" s="55"/>
    </row>
    <row r="121" spans="1:10" x14ac:dyDescent="0.25">
      <c r="A121" s="56" t="s">
        <v>85</v>
      </c>
      <c r="B121" s="56"/>
      <c r="C121" s="55">
        <f t="shared" si="6"/>
        <v>0</v>
      </c>
      <c r="D121" s="55"/>
      <c r="E121" s="55"/>
      <c r="F121" s="55"/>
      <c r="G121" s="55"/>
      <c r="H121" s="55"/>
      <c r="I121" s="55"/>
      <c r="J121" s="55"/>
    </row>
  </sheetData>
  <pageMargins left="0.7" right="0.7" top="0.75" bottom="0.75" header="0.3" footer="0.3"/>
  <pageSetup scale="81" fitToHeight="0" orientation="landscape" r:id="rId1"/>
  <rowBreaks count="3" manualBreakCount="3">
    <brk id="36" max="16383" man="1"/>
    <brk id="76" max="16383" man="1"/>
    <brk id="11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2392-69CA-42F7-8198-CBB511676BD8}">
  <sheetPr>
    <pageSetUpPr fitToPage="1"/>
  </sheetPr>
  <dimension ref="A1:S31"/>
  <sheetViews>
    <sheetView zoomScaleNormal="100" workbookViewId="0">
      <selection activeCell="D5" sqref="D5"/>
    </sheetView>
  </sheetViews>
  <sheetFormatPr defaultRowHeight="15" x14ac:dyDescent="0.25"/>
  <cols>
    <col min="1" max="1" width="12.140625" bestFit="1" customWidth="1"/>
    <col min="2" max="2" width="6.28515625" bestFit="1" customWidth="1"/>
    <col min="3" max="3" width="29" bestFit="1" customWidth="1"/>
    <col min="4" max="4" width="4.42578125" customWidth="1"/>
    <col min="5" max="5" width="7.7109375" style="62" customWidth="1"/>
    <col min="6" max="6" width="12.140625" style="62" bestFit="1" customWidth="1"/>
    <col min="7" max="7" width="6.140625" style="62" customWidth="1"/>
    <col min="8" max="8" width="28.140625" customWidth="1"/>
    <col min="9" max="10" width="5.5703125" style="62" customWidth="1"/>
    <col min="11" max="11" width="12.140625" style="62" bestFit="1" customWidth="1"/>
    <col min="12" max="12" width="6.28515625" customWidth="1"/>
    <col min="13" max="13" width="30.140625" bestFit="1" customWidth="1"/>
    <col min="14" max="14" width="2" bestFit="1" customWidth="1"/>
    <col min="15" max="15" width="4.5703125" customWidth="1"/>
    <col min="16" max="16" width="11.5703125" style="62" bestFit="1" customWidth="1"/>
    <col min="17" max="17" width="9" bestFit="1" customWidth="1"/>
    <col min="18" max="18" width="31.140625" bestFit="1" customWidth="1"/>
    <col min="19" max="19" width="2" bestFit="1" customWidth="1"/>
  </cols>
  <sheetData>
    <row r="1" spans="1:19" ht="72.75" customHeight="1" x14ac:dyDescent="0.25">
      <c r="A1" s="68" t="s">
        <v>144</v>
      </c>
      <c r="B1" s="69" t="s">
        <v>145</v>
      </c>
      <c r="C1" s="70" t="s">
        <v>141</v>
      </c>
      <c r="D1" s="66"/>
      <c r="E1" s="67"/>
      <c r="F1" s="71" t="s">
        <v>144</v>
      </c>
      <c r="G1" s="73" t="s">
        <v>145</v>
      </c>
      <c r="H1" s="70" t="s">
        <v>146</v>
      </c>
      <c r="I1" s="67"/>
      <c r="J1" s="67"/>
      <c r="K1" s="71" t="s">
        <v>144</v>
      </c>
      <c r="L1" s="69" t="s">
        <v>145</v>
      </c>
      <c r="M1" s="70" t="s">
        <v>142</v>
      </c>
      <c r="N1" s="66"/>
      <c r="O1" s="66"/>
      <c r="P1" s="71" t="s">
        <v>144</v>
      </c>
      <c r="Q1" s="69" t="s">
        <v>145</v>
      </c>
      <c r="R1" s="70" t="s">
        <v>143</v>
      </c>
      <c r="S1" s="72"/>
    </row>
    <row r="3" spans="1:19" x14ac:dyDescent="0.25">
      <c r="A3" s="74" t="s">
        <v>9</v>
      </c>
      <c r="B3" s="75" t="s">
        <v>147</v>
      </c>
      <c r="C3" s="76" t="s">
        <v>148</v>
      </c>
      <c r="D3" s="77">
        <v>3</v>
      </c>
      <c r="F3" s="87" t="s">
        <v>9</v>
      </c>
      <c r="G3" s="88" t="s">
        <v>147</v>
      </c>
      <c r="H3" s="76" t="s">
        <v>150</v>
      </c>
      <c r="I3" s="77">
        <v>3</v>
      </c>
      <c r="K3" s="93" t="s">
        <v>9</v>
      </c>
      <c r="L3" s="85" t="s">
        <v>147</v>
      </c>
      <c r="M3" s="85" t="s">
        <v>184</v>
      </c>
      <c r="N3" s="86">
        <v>9</v>
      </c>
      <c r="P3" s="93" t="s">
        <v>9</v>
      </c>
      <c r="Q3" s="85" t="s">
        <v>147</v>
      </c>
      <c r="R3" s="85" t="s">
        <v>150</v>
      </c>
      <c r="S3" s="86">
        <v>9</v>
      </c>
    </row>
    <row r="4" spans="1:19" x14ac:dyDescent="0.25">
      <c r="A4" s="78"/>
      <c r="B4" t="s">
        <v>147</v>
      </c>
      <c r="C4" t="s">
        <v>149</v>
      </c>
      <c r="D4" s="79">
        <v>1</v>
      </c>
      <c r="F4" s="89"/>
      <c r="G4" s="90" t="s">
        <v>147</v>
      </c>
      <c r="H4" s="81" t="s">
        <v>167</v>
      </c>
      <c r="I4" s="91">
        <v>2</v>
      </c>
    </row>
    <row r="5" spans="1:19" x14ac:dyDescent="0.25">
      <c r="A5" s="78"/>
      <c r="B5" t="s">
        <v>147</v>
      </c>
      <c r="C5" s="107" t="s">
        <v>150</v>
      </c>
      <c r="D5" s="108">
        <v>2</v>
      </c>
      <c r="K5" s="87" t="s">
        <v>11</v>
      </c>
      <c r="L5" s="75" t="s">
        <v>152</v>
      </c>
      <c r="M5" s="75" t="s">
        <v>185</v>
      </c>
      <c r="N5" s="83">
        <v>1</v>
      </c>
      <c r="P5" s="87" t="s">
        <v>11</v>
      </c>
      <c r="Q5" s="75" t="s">
        <v>147</v>
      </c>
      <c r="R5" s="75" t="s">
        <v>168</v>
      </c>
      <c r="S5" s="83">
        <v>1</v>
      </c>
    </row>
    <row r="6" spans="1:19" x14ac:dyDescent="0.25">
      <c r="A6" s="80"/>
      <c r="B6" s="81" t="s">
        <v>147</v>
      </c>
      <c r="C6" s="81" t="s">
        <v>151</v>
      </c>
      <c r="D6" s="82">
        <v>1</v>
      </c>
      <c r="F6" s="87" t="s">
        <v>11</v>
      </c>
      <c r="G6" s="88" t="s">
        <v>147</v>
      </c>
      <c r="H6" s="75" t="s">
        <v>168</v>
      </c>
      <c r="I6" s="92">
        <v>1</v>
      </c>
      <c r="K6" s="89"/>
      <c r="L6" s="81" t="s">
        <v>158</v>
      </c>
      <c r="M6" s="81" t="s">
        <v>186</v>
      </c>
      <c r="N6" s="82">
        <v>1</v>
      </c>
      <c r="P6" s="89"/>
      <c r="Q6" s="81" t="s">
        <v>152</v>
      </c>
      <c r="R6" s="81" t="s">
        <v>209</v>
      </c>
      <c r="S6" s="82">
        <v>1</v>
      </c>
    </row>
    <row r="7" spans="1:19" x14ac:dyDescent="0.25">
      <c r="F7" s="89"/>
      <c r="G7" s="90" t="s">
        <v>152</v>
      </c>
      <c r="H7" s="81" t="s">
        <v>183</v>
      </c>
      <c r="I7" s="91">
        <v>1</v>
      </c>
    </row>
    <row r="8" spans="1:19" x14ac:dyDescent="0.25">
      <c r="A8" s="74" t="s">
        <v>11</v>
      </c>
      <c r="B8" s="75" t="s">
        <v>147</v>
      </c>
      <c r="C8" s="75" t="s">
        <v>153</v>
      </c>
      <c r="D8" s="83">
        <v>1</v>
      </c>
      <c r="K8" s="87" t="s">
        <v>12</v>
      </c>
      <c r="L8" s="75" t="s">
        <v>147</v>
      </c>
      <c r="M8" s="75" t="s">
        <v>187</v>
      </c>
      <c r="N8" s="83">
        <v>1</v>
      </c>
      <c r="P8" s="93" t="s">
        <v>17</v>
      </c>
      <c r="Q8" s="85" t="s">
        <v>147</v>
      </c>
      <c r="R8" s="85" t="s">
        <v>201</v>
      </c>
      <c r="S8" s="86">
        <v>1</v>
      </c>
    </row>
    <row r="9" spans="1:19" x14ac:dyDescent="0.25">
      <c r="A9" s="78"/>
      <c r="B9" t="s">
        <v>147</v>
      </c>
      <c r="C9" t="s">
        <v>154</v>
      </c>
      <c r="D9" s="79">
        <v>1</v>
      </c>
      <c r="F9" s="93" t="s">
        <v>16</v>
      </c>
      <c r="G9" s="94" t="s">
        <v>152</v>
      </c>
      <c r="H9" s="94" t="s">
        <v>173</v>
      </c>
      <c r="I9" s="61">
        <v>1</v>
      </c>
      <c r="K9" s="89"/>
      <c r="L9" s="81" t="s">
        <v>147</v>
      </c>
      <c r="M9" s="81" t="s">
        <v>188</v>
      </c>
      <c r="N9" s="82">
        <v>1</v>
      </c>
    </row>
    <row r="10" spans="1:19" x14ac:dyDescent="0.25">
      <c r="A10" s="80"/>
      <c r="B10" s="81" t="s">
        <v>147</v>
      </c>
      <c r="C10" s="81" t="s">
        <v>155</v>
      </c>
      <c r="D10" s="82">
        <v>1</v>
      </c>
      <c r="P10" s="93" t="s">
        <v>15</v>
      </c>
      <c r="Q10" s="85" t="s">
        <v>147</v>
      </c>
      <c r="R10" s="85" t="s">
        <v>162</v>
      </c>
      <c r="S10" s="86">
        <v>1</v>
      </c>
    </row>
    <row r="11" spans="1:19" x14ac:dyDescent="0.25">
      <c r="F11" s="87" t="s">
        <v>132</v>
      </c>
      <c r="G11" s="88" t="s">
        <v>147</v>
      </c>
      <c r="H11" s="75" t="s">
        <v>174</v>
      </c>
      <c r="I11" s="92">
        <v>1</v>
      </c>
      <c r="K11" s="87" t="s">
        <v>132</v>
      </c>
      <c r="L11" s="75" t="s">
        <v>152</v>
      </c>
      <c r="M11" s="75" t="s">
        <v>189</v>
      </c>
      <c r="N11" s="83">
        <v>1</v>
      </c>
    </row>
    <row r="12" spans="1:19" x14ac:dyDescent="0.25">
      <c r="A12" s="74" t="s">
        <v>132</v>
      </c>
      <c r="B12" s="75" t="s">
        <v>147</v>
      </c>
      <c r="C12" s="75" t="s">
        <v>156</v>
      </c>
      <c r="D12" s="83">
        <v>1</v>
      </c>
      <c r="F12" s="95"/>
      <c r="G12" s="62" t="s">
        <v>147</v>
      </c>
      <c r="H12" t="s">
        <v>175</v>
      </c>
      <c r="I12" s="96">
        <v>1</v>
      </c>
      <c r="K12" s="95"/>
      <c r="L12" t="s">
        <v>147</v>
      </c>
      <c r="M12" t="s">
        <v>190</v>
      </c>
      <c r="N12" s="79">
        <v>1</v>
      </c>
      <c r="P12" s="93" t="s">
        <v>1</v>
      </c>
      <c r="Q12" s="85" t="s">
        <v>147</v>
      </c>
      <c r="R12" s="85" t="s">
        <v>202</v>
      </c>
      <c r="S12" s="86">
        <v>1</v>
      </c>
    </row>
    <row r="13" spans="1:19" x14ac:dyDescent="0.25">
      <c r="A13" s="78"/>
      <c r="B13" t="s">
        <v>147</v>
      </c>
      <c r="C13" t="s">
        <v>157</v>
      </c>
      <c r="D13" s="79">
        <v>1</v>
      </c>
      <c r="F13" s="89"/>
      <c r="G13" s="90" t="s">
        <v>147</v>
      </c>
      <c r="H13" s="81" t="s">
        <v>176</v>
      </c>
      <c r="I13" s="91">
        <v>1</v>
      </c>
      <c r="K13" s="89"/>
      <c r="L13" s="81" t="s">
        <v>164</v>
      </c>
      <c r="M13" s="81" t="s">
        <v>191</v>
      </c>
      <c r="N13" s="82">
        <v>1</v>
      </c>
    </row>
    <row r="14" spans="1:19" x14ac:dyDescent="0.25">
      <c r="A14" s="80"/>
      <c r="B14" s="81" t="s">
        <v>158</v>
      </c>
      <c r="C14" s="81" t="s">
        <v>169</v>
      </c>
      <c r="D14" s="82">
        <v>1</v>
      </c>
      <c r="P14" s="87" t="s">
        <v>20</v>
      </c>
      <c r="Q14" s="75" t="s">
        <v>152</v>
      </c>
      <c r="R14" s="75" t="s">
        <v>182</v>
      </c>
      <c r="S14" s="83">
        <v>1</v>
      </c>
    </row>
    <row r="15" spans="1:19" x14ac:dyDescent="0.25">
      <c r="F15" s="87" t="s">
        <v>17</v>
      </c>
      <c r="G15" s="88" t="s">
        <v>147</v>
      </c>
      <c r="H15" s="75" t="s">
        <v>177</v>
      </c>
      <c r="I15" s="92">
        <v>1</v>
      </c>
      <c r="K15" s="93" t="s">
        <v>15</v>
      </c>
      <c r="L15" s="85" t="s">
        <v>147</v>
      </c>
      <c r="M15" s="85" t="s">
        <v>192</v>
      </c>
      <c r="N15" s="86">
        <v>1</v>
      </c>
      <c r="P15" s="89"/>
      <c r="Q15" s="81" t="s">
        <v>158</v>
      </c>
      <c r="R15" s="81" t="s">
        <v>203</v>
      </c>
      <c r="S15" s="82">
        <v>1</v>
      </c>
    </row>
    <row r="16" spans="1:19" x14ac:dyDescent="0.25">
      <c r="A16" s="84" t="s">
        <v>17</v>
      </c>
      <c r="B16" s="85" t="s">
        <v>147</v>
      </c>
      <c r="C16" s="85" t="s">
        <v>159</v>
      </c>
      <c r="D16" s="86">
        <v>1</v>
      </c>
      <c r="F16" s="89"/>
      <c r="G16" s="90" t="s">
        <v>147</v>
      </c>
      <c r="H16" s="81" t="s">
        <v>178</v>
      </c>
      <c r="I16" s="91">
        <v>1</v>
      </c>
    </row>
    <row r="17" spans="1:19" x14ac:dyDescent="0.25">
      <c r="K17" s="93" t="s">
        <v>1</v>
      </c>
      <c r="L17" s="85" t="s">
        <v>147</v>
      </c>
      <c r="M17" s="85" t="s">
        <v>193</v>
      </c>
      <c r="N17" s="86">
        <v>1</v>
      </c>
      <c r="P17" s="87" t="s">
        <v>10</v>
      </c>
      <c r="Q17" s="75" t="s">
        <v>147</v>
      </c>
      <c r="R17" s="75" t="s">
        <v>204</v>
      </c>
      <c r="S17" s="83">
        <v>1</v>
      </c>
    </row>
    <row r="18" spans="1:19" x14ac:dyDescent="0.25">
      <c r="A18" s="84" t="s">
        <v>19</v>
      </c>
      <c r="B18" s="85" t="s">
        <v>158</v>
      </c>
      <c r="C18" s="85" t="s">
        <v>170</v>
      </c>
      <c r="D18" s="86">
        <v>1</v>
      </c>
      <c r="F18" s="93" t="s">
        <v>13</v>
      </c>
      <c r="G18" s="94" t="s">
        <v>147</v>
      </c>
      <c r="H18" s="94" t="s">
        <v>160</v>
      </c>
      <c r="I18" s="61">
        <v>1</v>
      </c>
      <c r="P18" s="89"/>
      <c r="Q18" s="81" t="s">
        <v>147</v>
      </c>
      <c r="R18" s="81" t="s">
        <v>205</v>
      </c>
      <c r="S18" s="82">
        <v>1</v>
      </c>
    </row>
    <row r="19" spans="1:19" x14ac:dyDescent="0.25">
      <c r="K19" s="93" t="s">
        <v>20</v>
      </c>
      <c r="L19" s="85" t="s">
        <v>147</v>
      </c>
      <c r="M19" s="85" t="s">
        <v>165</v>
      </c>
      <c r="N19" s="86">
        <v>2</v>
      </c>
    </row>
    <row r="20" spans="1:19" x14ac:dyDescent="0.25">
      <c r="A20" s="74" t="s">
        <v>13</v>
      </c>
      <c r="B20" s="75" t="s">
        <v>147</v>
      </c>
      <c r="C20" s="75" t="s">
        <v>160</v>
      </c>
      <c r="D20" s="83">
        <v>1</v>
      </c>
      <c r="F20" s="93" t="s">
        <v>15</v>
      </c>
      <c r="G20" s="94" t="s">
        <v>158</v>
      </c>
      <c r="H20" s="94" t="s">
        <v>179</v>
      </c>
      <c r="I20" s="61">
        <v>1</v>
      </c>
      <c r="P20" s="87" t="s">
        <v>139</v>
      </c>
      <c r="Q20" s="75" t="s">
        <v>164</v>
      </c>
      <c r="R20" s="75" t="s">
        <v>206</v>
      </c>
      <c r="S20" s="83">
        <v>1</v>
      </c>
    </row>
    <row r="21" spans="1:19" x14ac:dyDescent="0.25">
      <c r="A21" s="80"/>
      <c r="B21" s="81" t="s">
        <v>147</v>
      </c>
      <c r="C21" s="81" t="s">
        <v>161</v>
      </c>
      <c r="D21" s="82">
        <v>1</v>
      </c>
      <c r="K21" s="87" t="s">
        <v>10</v>
      </c>
      <c r="L21" s="75" t="s">
        <v>147</v>
      </c>
      <c r="M21" s="75" t="s">
        <v>194</v>
      </c>
      <c r="N21" s="83">
        <v>3</v>
      </c>
      <c r="P21" s="95"/>
      <c r="Q21" t="s">
        <v>147</v>
      </c>
      <c r="R21" t="s">
        <v>198</v>
      </c>
      <c r="S21" s="79">
        <v>1</v>
      </c>
    </row>
    <row r="22" spans="1:19" x14ac:dyDescent="0.25">
      <c r="F22" s="93" t="s">
        <v>1</v>
      </c>
      <c r="G22" s="94" t="s">
        <v>147</v>
      </c>
      <c r="H22" s="94" t="s">
        <v>180</v>
      </c>
      <c r="I22" s="61">
        <v>1</v>
      </c>
      <c r="K22" s="95"/>
      <c r="L22" t="s">
        <v>147</v>
      </c>
      <c r="M22" t="s">
        <v>195</v>
      </c>
      <c r="N22" s="79">
        <v>2</v>
      </c>
      <c r="P22" s="89"/>
      <c r="Q22" s="81" t="s">
        <v>147</v>
      </c>
      <c r="R22" s="81" t="s">
        <v>207</v>
      </c>
      <c r="S22" s="82">
        <v>1</v>
      </c>
    </row>
    <row r="23" spans="1:19" x14ac:dyDescent="0.25">
      <c r="A23" s="84" t="s">
        <v>15</v>
      </c>
      <c r="B23" s="85" t="s">
        <v>147</v>
      </c>
      <c r="C23" s="85" t="s">
        <v>162</v>
      </c>
      <c r="D23" s="86">
        <v>1</v>
      </c>
      <c r="K23" s="89"/>
      <c r="L23" s="81" t="s">
        <v>147</v>
      </c>
      <c r="M23" s="81" t="s">
        <v>196</v>
      </c>
      <c r="N23" s="82">
        <v>1</v>
      </c>
    </row>
    <row r="24" spans="1:19" x14ac:dyDescent="0.25">
      <c r="F24" s="87" t="s">
        <v>20</v>
      </c>
      <c r="G24" s="88" t="s">
        <v>147</v>
      </c>
      <c r="H24" s="88" t="s">
        <v>181</v>
      </c>
      <c r="I24" s="92">
        <v>1</v>
      </c>
      <c r="P24" s="87" t="s">
        <v>140</v>
      </c>
      <c r="Q24" s="75" t="s">
        <v>147</v>
      </c>
      <c r="R24" s="75" t="s">
        <v>200</v>
      </c>
      <c r="S24" s="83">
        <v>1</v>
      </c>
    </row>
    <row r="25" spans="1:19" x14ac:dyDescent="0.25">
      <c r="A25" s="84" t="s">
        <v>1</v>
      </c>
      <c r="B25" s="85" t="s">
        <v>158</v>
      </c>
      <c r="C25" s="85" t="s">
        <v>171</v>
      </c>
      <c r="D25" s="86">
        <v>1</v>
      </c>
      <c r="F25" s="89"/>
      <c r="G25" s="90" t="s">
        <v>152</v>
      </c>
      <c r="H25" s="81" t="s">
        <v>182</v>
      </c>
      <c r="I25" s="91">
        <v>1</v>
      </c>
      <c r="K25" s="87" t="s">
        <v>139</v>
      </c>
      <c r="L25" s="75" t="s">
        <v>147</v>
      </c>
      <c r="M25" s="75" t="s">
        <v>197</v>
      </c>
      <c r="N25" s="83">
        <v>1</v>
      </c>
      <c r="P25" s="89"/>
      <c r="Q25" s="81" t="s">
        <v>147</v>
      </c>
      <c r="R25" s="81" t="s">
        <v>210</v>
      </c>
      <c r="S25" s="82">
        <v>1</v>
      </c>
    </row>
    <row r="26" spans="1:19" x14ac:dyDescent="0.25">
      <c r="K26" s="95"/>
      <c r="L26" t="s">
        <v>147</v>
      </c>
      <c r="M26" t="s">
        <v>198</v>
      </c>
      <c r="N26" s="79">
        <v>1</v>
      </c>
    </row>
    <row r="27" spans="1:19" x14ac:dyDescent="0.25">
      <c r="A27" s="74" t="s">
        <v>20</v>
      </c>
      <c r="B27" s="75" t="s">
        <v>147</v>
      </c>
      <c r="C27" s="75" t="s">
        <v>163</v>
      </c>
      <c r="D27" s="83">
        <v>1</v>
      </c>
      <c r="K27" s="89"/>
      <c r="L27" s="81" t="s">
        <v>147</v>
      </c>
      <c r="M27" s="81" t="s">
        <v>199</v>
      </c>
      <c r="N27" s="82">
        <v>1</v>
      </c>
      <c r="P27" s="93" t="s">
        <v>2</v>
      </c>
      <c r="Q27" s="85" t="s">
        <v>152</v>
      </c>
      <c r="R27" s="85" t="s">
        <v>208</v>
      </c>
      <c r="S27" s="86">
        <v>1</v>
      </c>
    </row>
    <row r="28" spans="1:19" x14ac:dyDescent="0.25">
      <c r="A28" s="78"/>
      <c r="B28" t="s">
        <v>147</v>
      </c>
      <c r="C28" t="s">
        <v>165</v>
      </c>
      <c r="D28" s="79">
        <v>1</v>
      </c>
    </row>
    <row r="29" spans="1:19" x14ac:dyDescent="0.25">
      <c r="A29" s="80"/>
      <c r="B29" s="81" t="s">
        <v>152</v>
      </c>
      <c r="C29" s="81" t="s">
        <v>166</v>
      </c>
      <c r="D29" s="82">
        <v>1</v>
      </c>
    </row>
    <row r="31" spans="1:19" x14ac:dyDescent="0.25">
      <c r="A31" s="84" t="s">
        <v>2</v>
      </c>
      <c r="B31" s="85" t="s">
        <v>164</v>
      </c>
      <c r="C31" s="85" t="s">
        <v>172</v>
      </c>
      <c r="D31" s="86">
        <v>1</v>
      </c>
    </row>
  </sheetData>
  <sortState xmlns:xlrd2="http://schemas.microsoft.com/office/spreadsheetml/2017/richdata2" ref="B1:B37">
    <sortCondition ref="B1:B37"/>
  </sortState>
  <pageMargins left="0.7" right="0.7" top="0.75" bottom="0.75" header="0.3" footer="0.3"/>
  <pageSetup paperSize="5" scale="71" orientation="landscape" r:id="rId1"/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9AAD-EE22-4CAE-9EC0-0D74F3121384}">
  <sheetPr>
    <pageSetUpPr fitToPage="1"/>
  </sheetPr>
  <dimension ref="A1:O17"/>
  <sheetViews>
    <sheetView workbookViewId="0">
      <selection activeCell="D32" sqref="D32"/>
    </sheetView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1" spans="1:15" ht="15.75" x14ac:dyDescent="0.25">
      <c r="A1" s="68" t="s">
        <v>144</v>
      </c>
      <c r="B1" s="69" t="s">
        <v>145</v>
      </c>
      <c r="C1" s="70" t="s">
        <v>141</v>
      </c>
      <c r="D1" s="66"/>
      <c r="E1" s="67"/>
      <c r="F1" s="71" t="s">
        <v>144</v>
      </c>
      <c r="G1" s="69" t="s">
        <v>145</v>
      </c>
      <c r="H1" s="70" t="s">
        <v>142</v>
      </c>
      <c r="I1" s="66"/>
      <c r="J1" s="67"/>
      <c r="O1" s="66"/>
    </row>
    <row r="3" spans="1:15" x14ac:dyDescent="0.25">
      <c r="A3" s="55" t="s">
        <v>9</v>
      </c>
      <c r="B3" s="55" t="s">
        <v>147</v>
      </c>
      <c r="C3" s="55" t="s">
        <v>211</v>
      </c>
      <c r="D3" s="55">
        <v>1</v>
      </c>
      <c r="F3" s="55" t="s">
        <v>9</v>
      </c>
      <c r="G3" s="65" t="s">
        <v>147</v>
      </c>
      <c r="H3" s="65" t="s">
        <v>184</v>
      </c>
      <c r="I3" s="65">
        <v>20</v>
      </c>
    </row>
    <row r="4" spans="1:15" x14ac:dyDescent="0.25">
      <c r="A4" s="55"/>
      <c r="B4" s="55" t="s">
        <v>158</v>
      </c>
      <c r="C4" s="55" t="s">
        <v>215</v>
      </c>
      <c r="D4" s="55">
        <v>1</v>
      </c>
      <c r="F4" s="55"/>
      <c r="G4" s="55" t="s">
        <v>164</v>
      </c>
      <c r="H4" s="55" t="s">
        <v>219</v>
      </c>
      <c r="I4" s="55">
        <v>1</v>
      </c>
    </row>
    <row r="5" spans="1:15" x14ac:dyDescent="0.25">
      <c r="A5" s="55"/>
      <c r="B5" s="55" t="s">
        <v>152</v>
      </c>
      <c r="C5" s="55" t="s">
        <v>212</v>
      </c>
      <c r="D5" s="55">
        <v>1</v>
      </c>
      <c r="F5" s="55"/>
      <c r="G5" s="55" t="s">
        <v>152</v>
      </c>
      <c r="H5" s="55" t="s">
        <v>212</v>
      </c>
      <c r="I5" s="55">
        <v>1</v>
      </c>
    </row>
    <row r="6" spans="1:15" x14ac:dyDescent="0.25">
      <c r="A6" s="55"/>
      <c r="B6" s="55" t="s">
        <v>152</v>
      </c>
      <c r="C6" s="55" t="s">
        <v>213</v>
      </c>
      <c r="D6" s="55">
        <v>1</v>
      </c>
    </row>
    <row r="7" spans="1:15" x14ac:dyDescent="0.25">
      <c r="A7" s="55"/>
      <c r="B7" s="65" t="s">
        <v>147</v>
      </c>
      <c r="C7" s="65" t="s">
        <v>150</v>
      </c>
      <c r="D7" s="65">
        <v>1</v>
      </c>
    </row>
    <row r="8" spans="1:15" x14ac:dyDescent="0.25">
      <c r="A8" s="55"/>
      <c r="B8" s="55" t="s">
        <v>147</v>
      </c>
      <c r="C8" s="55" t="s">
        <v>214</v>
      </c>
      <c r="D8" s="55">
        <v>1</v>
      </c>
    </row>
    <row r="11" spans="1:15" ht="15.75" x14ac:dyDescent="0.25">
      <c r="A11" s="63" t="s">
        <v>144</v>
      </c>
      <c r="B11" s="63" t="s">
        <v>145</v>
      </c>
      <c r="C11" s="64" t="s">
        <v>146</v>
      </c>
      <c r="F11" s="71" t="s">
        <v>144</v>
      </c>
      <c r="G11" s="69" t="s">
        <v>145</v>
      </c>
      <c r="H11" s="70" t="s">
        <v>143</v>
      </c>
    </row>
    <row r="13" spans="1:15" x14ac:dyDescent="0.25">
      <c r="A13" s="55" t="s">
        <v>9</v>
      </c>
      <c r="B13" s="55" t="s">
        <v>147</v>
      </c>
      <c r="C13" s="55" t="s">
        <v>216</v>
      </c>
      <c r="D13" s="55">
        <v>1</v>
      </c>
      <c r="F13" s="55" t="s">
        <v>9</v>
      </c>
      <c r="G13" s="65" t="s">
        <v>147</v>
      </c>
      <c r="H13" s="65" t="s">
        <v>150</v>
      </c>
      <c r="I13" s="65">
        <v>21</v>
      </c>
    </row>
    <row r="14" spans="1:15" x14ac:dyDescent="0.25">
      <c r="A14" s="55"/>
      <c r="B14" s="55" t="s">
        <v>152</v>
      </c>
      <c r="C14" s="55" t="s">
        <v>212</v>
      </c>
      <c r="D14" s="55">
        <v>1</v>
      </c>
      <c r="F14" s="55"/>
      <c r="G14" s="55" t="s">
        <v>147</v>
      </c>
      <c r="H14" s="55" t="s">
        <v>218</v>
      </c>
      <c r="I14" s="55">
        <v>1</v>
      </c>
    </row>
    <row r="15" spans="1:15" x14ac:dyDescent="0.25">
      <c r="A15" s="55"/>
      <c r="B15" s="55" t="s">
        <v>152</v>
      </c>
      <c r="C15" s="55" t="s">
        <v>217</v>
      </c>
      <c r="D15" s="55">
        <v>1</v>
      </c>
      <c r="F15" s="55"/>
      <c r="G15" s="55" t="s">
        <v>164</v>
      </c>
      <c r="H15" s="55" t="s">
        <v>219</v>
      </c>
      <c r="I15" s="55">
        <v>1</v>
      </c>
    </row>
    <row r="16" spans="1:15" x14ac:dyDescent="0.25">
      <c r="A16" s="55"/>
      <c r="B16" s="55" t="s">
        <v>147</v>
      </c>
      <c r="C16" s="55" t="s">
        <v>218</v>
      </c>
      <c r="D16" s="55">
        <v>1</v>
      </c>
      <c r="F16" s="55"/>
      <c r="G16" s="55" t="s">
        <v>158</v>
      </c>
      <c r="H16" s="55" t="s">
        <v>220</v>
      </c>
      <c r="I16" s="55">
        <v>1</v>
      </c>
    </row>
    <row r="17" spans="1:4" x14ac:dyDescent="0.25">
      <c r="A17" s="55"/>
      <c r="B17" s="55" t="s">
        <v>147</v>
      </c>
      <c r="C17" s="55" t="s">
        <v>214</v>
      </c>
      <c r="D17" s="55">
        <v>1</v>
      </c>
    </row>
  </sheetData>
  <pageMargins left="0.7" right="0.7" top="0.75" bottom="0.75" header="0.3" footer="0.3"/>
  <pageSetup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F0F8-A57C-4F04-B915-F5976560A962}">
  <sheetPr>
    <pageSetUpPr fitToPage="1"/>
  </sheetPr>
  <dimension ref="A2:O1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11</v>
      </c>
      <c r="B4" s="55" t="s">
        <v>147</v>
      </c>
      <c r="C4" s="55" t="s">
        <v>226</v>
      </c>
      <c r="D4" s="55">
        <v>1</v>
      </c>
      <c r="F4" s="55" t="s">
        <v>11</v>
      </c>
      <c r="G4" s="60" t="s">
        <v>147</v>
      </c>
      <c r="H4" s="55" t="s">
        <v>227</v>
      </c>
      <c r="I4" s="60">
        <v>1</v>
      </c>
    </row>
    <row r="5" spans="1:15" x14ac:dyDescent="0.25">
      <c r="A5" s="55"/>
      <c r="B5" s="55" t="s">
        <v>147</v>
      </c>
      <c r="C5" s="55" t="s">
        <v>153</v>
      </c>
      <c r="D5" s="55">
        <v>1</v>
      </c>
      <c r="F5" s="55"/>
      <c r="G5" s="55" t="s">
        <v>147</v>
      </c>
      <c r="H5" s="55" t="s">
        <v>228</v>
      </c>
      <c r="I5" s="55">
        <v>1</v>
      </c>
    </row>
    <row r="6" spans="1:15" x14ac:dyDescent="0.25">
      <c r="A6" s="55"/>
      <c r="B6" s="55" t="s">
        <v>147</v>
      </c>
      <c r="C6" s="55" t="s">
        <v>249</v>
      </c>
      <c r="D6" s="55">
        <v>1</v>
      </c>
      <c r="F6" s="55"/>
      <c r="G6" s="55" t="s">
        <v>152</v>
      </c>
      <c r="H6" s="55" t="s">
        <v>229</v>
      </c>
      <c r="I6" s="55">
        <v>1</v>
      </c>
    </row>
    <row r="7" spans="1:15" x14ac:dyDescent="0.25">
      <c r="A7" s="55"/>
      <c r="B7" s="55"/>
      <c r="C7" s="55"/>
      <c r="D7" s="55"/>
      <c r="F7" s="55"/>
      <c r="G7" s="55" t="s">
        <v>147</v>
      </c>
      <c r="H7" s="55" t="s">
        <v>230</v>
      </c>
      <c r="I7" s="55">
        <v>1</v>
      </c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2" spans="1:15" ht="15.75" x14ac:dyDescent="0.25">
      <c r="A12" s="63" t="s">
        <v>144</v>
      </c>
      <c r="B12" s="63" t="s">
        <v>145</v>
      </c>
      <c r="C12" s="64" t="s">
        <v>146</v>
      </c>
      <c r="F12" s="71" t="s">
        <v>144</v>
      </c>
      <c r="G12" s="69" t="s">
        <v>145</v>
      </c>
      <c r="H12" s="70" t="s">
        <v>143</v>
      </c>
    </row>
    <row r="14" spans="1:15" x14ac:dyDescent="0.25">
      <c r="A14" s="55" t="s">
        <v>11</v>
      </c>
      <c r="B14" s="55" t="s">
        <v>147</v>
      </c>
      <c r="C14" s="55" t="s">
        <v>224</v>
      </c>
      <c r="D14" s="55">
        <v>1</v>
      </c>
      <c r="F14" s="55" t="s">
        <v>11</v>
      </c>
      <c r="G14" s="60" t="s">
        <v>147</v>
      </c>
      <c r="H14" s="60" t="s">
        <v>248</v>
      </c>
      <c r="I14" s="60">
        <v>1</v>
      </c>
    </row>
    <row r="15" spans="1:15" x14ac:dyDescent="0.25">
      <c r="A15" s="55"/>
      <c r="B15" s="55" t="s">
        <v>147</v>
      </c>
      <c r="C15" s="55" t="s">
        <v>153</v>
      </c>
      <c r="D15" s="55">
        <v>1</v>
      </c>
      <c r="F15" s="55"/>
      <c r="G15" s="55" t="s">
        <v>152</v>
      </c>
      <c r="H15" s="55" t="s">
        <v>221</v>
      </c>
      <c r="I15" s="55">
        <v>1</v>
      </c>
    </row>
    <row r="16" spans="1:15" x14ac:dyDescent="0.25">
      <c r="A16" s="55"/>
      <c r="B16" s="55" t="s">
        <v>147</v>
      </c>
      <c r="C16" s="55" t="s">
        <v>225</v>
      </c>
      <c r="D16" s="55">
        <v>1</v>
      </c>
      <c r="F16" s="55"/>
      <c r="G16" s="55" t="s">
        <v>147</v>
      </c>
      <c r="H16" s="55" t="s">
        <v>168</v>
      </c>
      <c r="I16" s="55">
        <v>1</v>
      </c>
    </row>
    <row r="17" spans="1:9" x14ac:dyDescent="0.25">
      <c r="A17" s="55"/>
      <c r="B17" s="55"/>
      <c r="C17" s="55"/>
      <c r="D17" s="55"/>
      <c r="F17" s="55"/>
      <c r="G17" s="55" t="s">
        <v>152</v>
      </c>
      <c r="H17" s="55" t="s">
        <v>222</v>
      </c>
      <c r="I17" s="55">
        <v>1</v>
      </c>
    </row>
    <row r="18" spans="1:9" x14ac:dyDescent="0.25">
      <c r="A18" s="55"/>
      <c r="B18" s="55"/>
      <c r="C18" s="55"/>
      <c r="D18" s="55"/>
      <c r="F18" s="55"/>
      <c r="G18" s="55" t="s">
        <v>147</v>
      </c>
      <c r="H18" s="55" t="s">
        <v>223</v>
      </c>
      <c r="I18" s="55">
        <v>1</v>
      </c>
    </row>
  </sheetData>
  <pageMargins left="0.7" right="0.7" top="0.75" bottom="0.75" header="0.3" footer="0.3"/>
  <pageSetup scale="8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74C4-6B54-4B8D-A420-BDD47FEDBB75}">
  <sheetPr>
    <pageSetUpPr fitToPage="1"/>
  </sheetPr>
  <dimension ref="A2:O29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16</v>
      </c>
      <c r="B4" s="55" t="s">
        <v>147</v>
      </c>
      <c r="C4" s="55" t="s">
        <v>254</v>
      </c>
      <c r="D4" s="55">
        <v>1</v>
      </c>
      <c r="F4" s="55" t="s">
        <v>16</v>
      </c>
      <c r="G4" s="60" t="s">
        <v>147</v>
      </c>
      <c r="H4" s="55" t="s">
        <v>251</v>
      </c>
      <c r="I4" s="60">
        <v>1</v>
      </c>
    </row>
    <row r="5" spans="1:15" x14ac:dyDescent="0.25">
      <c r="A5" s="55"/>
      <c r="B5" s="55" t="s">
        <v>255</v>
      </c>
      <c r="C5" s="55" t="s">
        <v>256</v>
      </c>
      <c r="D5" s="55">
        <v>1</v>
      </c>
      <c r="F5" s="55"/>
      <c r="G5" s="55" t="s">
        <v>152</v>
      </c>
      <c r="H5" s="55" t="s">
        <v>252</v>
      </c>
      <c r="I5" s="55">
        <v>1</v>
      </c>
    </row>
    <row r="6" spans="1:15" x14ac:dyDescent="0.25">
      <c r="A6" s="55"/>
      <c r="B6" s="55" t="s">
        <v>158</v>
      </c>
      <c r="C6" s="55" t="s">
        <v>257</v>
      </c>
      <c r="D6" s="55">
        <v>1</v>
      </c>
      <c r="F6" s="55"/>
      <c r="G6" s="55" t="s">
        <v>147</v>
      </c>
      <c r="H6" s="55" t="s">
        <v>253</v>
      </c>
      <c r="I6" s="55">
        <v>1</v>
      </c>
    </row>
    <row r="7" spans="1:15" x14ac:dyDescent="0.25">
      <c r="A7" s="55"/>
      <c r="B7" s="55" t="s">
        <v>147</v>
      </c>
      <c r="C7" s="55" t="s">
        <v>258</v>
      </c>
      <c r="D7" s="55">
        <v>1</v>
      </c>
      <c r="F7" s="55"/>
      <c r="G7" s="55"/>
      <c r="H7" s="55"/>
      <c r="I7" s="55"/>
    </row>
    <row r="8" spans="1:15" x14ac:dyDescent="0.25">
      <c r="A8" s="55"/>
      <c r="B8" s="55" t="s">
        <v>147</v>
      </c>
      <c r="C8" s="55" t="s">
        <v>259</v>
      </c>
      <c r="D8" s="55">
        <v>1</v>
      </c>
      <c r="F8" s="55"/>
      <c r="G8" s="55"/>
      <c r="H8" s="55"/>
      <c r="I8" s="55"/>
    </row>
    <row r="9" spans="1:15" x14ac:dyDescent="0.25">
      <c r="A9" s="55"/>
      <c r="B9" s="55" t="s">
        <v>164</v>
      </c>
      <c r="C9" s="55" t="s">
        <v>260</v>
      </c>
      <c r="D9" s="55">
        <v>1</v>
      </c>
    </row>
    <row r="10" spans="1:15" x14ac:dyDescent="0.25">
      <c r="A10" s="55"/>
      <c r="B10" s="55" t="s">
        <v>147</v>
      </c>
      <c r="C10" s="55" t="s">
        <v>261</v>
      </c>
      <c r="D10" s="55">
        <v>1</v>
      </c>
    </row>
    <row r="11" spans="1:15" x14ac:dyDescent="0.25">
      <c r="A11" s="55"/>
      <c r="B11" s="55" t="s">
        <v>147</v>
      </c>
      <c r="C11" s="55" t="s">
        <v>262</v>
      </c>
      <c r="D11" s="55">
        <v>2</v>
      </c>
    </row>
    <row r="12" spans="1:15" ht="15.75" x14ac:dyDescent="0.25">
      <c r="A12" s="55"/>
      <c r="B12" s="55" t="s">
        <v>158</v>
      </c>
      <c r="C12" s="55" t="s">
        <v>263</v>
      </c>
      <c r="D12" s="55">
        <v>1</v>
      </c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 t="s">
        <v>147</v>
      </c>
      <c r="C13" s="55" t="s">
        <v>264</v>
      </c>
      <c r="D13" s="55">
        <v>1</v>
      </c>
    </row>
    <row r="14" spans="1:15" x14ac:dyDescent="0.25">
      <c r="A14" s="55"/>
      <c r="B14" s="55" t="s">
        <v>147</v>
      </c>
      <c r="C14" s="55" t="s">
        <v>265</v>
      </c>
      <c r="D14" s="55">
        <v>2</v>
      </c>
      <c r="F14" s="55" t="s">
        <v>16</v>
      </c>
      <c r="G14" s="60" t="s">
        <v>147</v>
      </c>
      <c r="H14" s="60" t="s">
        <v>250</v>
      </c>
      <c r="I14" s="60">
        <v>1</v>
      </c>
    </row>
    <row r="15" spans="1:15" x14ac:dyDescent="0.25">
      <c r="A15" s="55"/>
      <c r="B15" s="55" t="s">
        <v>147</v>
      </c>
      <c r="C15" s="55" t="s">
        <v>266</v>
      </c>
      <c r="D15" s="55">
        <v>1</v>
      </c>
      <c r="F15" s="55"/>
      <c r="G15" s="60"/>
      <c r="H15" s="60"/>
      <c r="I15" s="60"/>
    </row>
    <row r="16" spans="1:15" x14ac:dyDescent="0.25">
      <c r="A16" s="55"/>
      <c r="B16" s="55" t="s">
        <v>147</v>
      </c>
      <c r="C16" s="55" t="s">
        <v>267</v>
      </c>
      <c r="D16" s="55">
        <v>1</v>
      </c>
      <c r="F16" s="55"/>
      <c r="G16" s="55"/>
      <c r="H16" s="55"/>
      <c r="I16" s="55"/>
    </row>
    <row r="17" spans="1:9" x14ac:dyDescent="0.25">
      <c r="F17" s="55"/>
      <c r="G17" s="55"/>
      <c r="H17" s="55"/>
      <c r="I17" s="55"/>
    </row>
    <row r="18" spans="1:9" ht="15.75" x14ac:dyDescent="0.25">
      <c r="A18" s="63" t="s">
        <v>144</v>
      </c>
      <c r="B18" s="63" t="s">
        <v>145</v>
      </c>
      <c r="C18" s="64" t="s">
        <v>146</v>
      </c>
      <c r="F18" s="55"/>
      <c r="G18" s="55"/>
      <c r="H18" s="55"/>
      <c r="I18" s="55"/>
    </row>
    <row r="19" spans="1:9" x14ac:dyDescent="0.25">
      <c r="F19" s="55"/>
      <c r="G19" s="55"/>
      <c r="H19" s="55"/>
      <c r="I19" s="55"/>
    </row>
    <row r="20" spans="1:9" x14ac:dyDescent="0.25">
      <c r="A20" s="55" t="s">
        <v>16</v>
      </c>
      <c r="B20" s="55" t="s">
        <v>147</v>
      </c>
      <c r="C20" s="55" t="s">
        <v>268</v>
      </c>
      <c r="D20" s="55">
        <v>1</v>
      </c>
    </row>
    <row r="21" spans="1:9" x14ac:dyDescent="0.25">
      <c r="A21" s="55"/>
      <c r="B21" s="55" t="s">
        <v>152</v>
      </c>
      <c r="C21" s="55" t="s">
        <v>269</v>
      </c>
      <c r="D21" s="55">
        <v>1</v>
      </c>
    </row>
    <row r="22" spans="1:9" x14ac:dyDescent="0.25">
      <c r="A22" s="55"/>
      <c r="B22" s="55" t="s">
        <v>147</v>
      </c>
      <c r="C22" s="55" t="s">
        <v>270</v>
      </c>
      <c r="D22" s="55">
        <v>1</v>
      </c>
    </row>
    <row r="23" spans="1:9" x14ac:dyDescent="0.25">
      <c r="A23" s="55"/>
      <c r="B23" s="55" t="s">
        <v>164</v>
      </c>
      <c r="C23" s="55" t="s">
        <v>271</v>
      </c>
      <c r="D23" s="55">
        <v>1</v>
      </c>
    </row>
    <row r="24" spans="1:9" x14ac:dyDescent="0.25">
      <c r="A24" s="55"/>
      <c r="B24" s="55" t="s">
        <v>164</v>
      </c>
      <c r="C24" s="55" t="s">
        <v>272</v>
      </c>
      <c r="D24" s="55">
        <v>2</v>
      </c>
    </row>
    <row r="25" spans="1:9" x14ac:dyDescent="0.25">
      <c r="A25" s="55"/>
      <c r="B25" s="55" t="s">
        <v>147</v>
      </c>
      <c r="C25" s="55" t="s">
        <v>264</v>
      </c>
      <c r="D25" s="55">
        <v>1</v>
      </c>
    </row>
    <row r="26" spans="1:9" x14ac:dyDescent="0.25">
      <c r="A26" s="55"/>
      <c r="B26" s="55" t="s">
        <v>158</v>
      </c>
      <c r="C26" s="55" t="s">
        <v>273</v>
      </c>
      <c r="D26" s="55">
        <v>1</v>
      </c>
    </row>
    <row r="27" spans="1:9" x14ac:dyDescent="0.25">
      <c r="A27" s="55"/>
      <c r="B27" s="55" t="s">
        <v>152</v>
      </c>
      <c r="C27" s="55" t="s">
        <v>274</v>
      </c>
      <c r="D27" s="55">
        <v>1</v>
      </c>
    </row>
    <row r="28" spans="1:9" x14ac:dyDescent="0.25">
      <c r="A28" s="55"/>
      <c r="B28" s="55"/>
      <c r="C28" s="55"/>
      <c r="D28" s="55"/>
    </row>
    <row r="29" spans="1:9" x14ac:dyDescent="0.25">
      <c r="A29" s="55"/>
      <c r="B29" s="55"/>
      <c r="C29" s="55"/>
      <c r="D29" s="55"/>
    </row>
  </sheetData>
  <pageMargins left="0.7" right="0.7" top="0.75" bottom="0.75" header="0.3" footer="0.3"/>
  <pageSetup scale="8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39C4-C76E-4485-B11E-B269F9B80E7D}">
  <sheetPr>
    <pageSetUpPr fitToPage="1"/>
  </sheetPr>
  <dimension ref="A2:O27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14</v>
      </c>
      <c r="B4" s="55" t="s">
        <v>147</v>
      </c>
      <c r="C4" s="55" t="s">
        <v>231</v>
      </c>
      <c r="D4" s="55">
        <v>2</v>
      </c>
      <c r="F4" s="55" t="s">
        <v>14</v>
      </c>
      <c r="G4" s="60" t="s">
        <v>147</v>
      </c>
      <c r="H4" s="55" t="s">
        <v>73</v>
      </c>
      <c r="I4" s="60">
        <v>1</v>
      </c>
    </row>
    <row r="5" spans="1:15" x14ac:dyDescent="0.25">
      <c r="A5" s="55"/>
      <c r="B5" s="55" t="s">
        <v>147</v>
      </c>
      <c r="C5" s="55" t="s">
        <v>232</v>
      </c>
      <c r="D5" s="55">
        <v>1</v>
      </c>
      <c r="F5" s="55"/>
      <c r="G5" s="55" t="s">
        <v>147</v>
      </c>
      <c r="H5" s="55" t="s">
        <v>231</v>
      </c>
      <c r="I5" s="55">
        <v>1</v>
      </c>
    </row>
    <row r="6" spans="1:15" x14ac:dyDescent="0.25">
      <c r="A6" s="55"/>
      <c r="B6" s="55" t="s">
        <v>147</v>
      </c>
      <c r="C6" s="55" t="s">
        <v>240</v>
      </c>
      <c r="D6" s="55">
        <v>1</v>
      </c>
      <c r="F6" s="55"/>
      <c r="G6" s="55"/>
      <c r="H6" s="55"/>
      <c r="I6" s="55"/>
    </row>
    <row r="7" spans="1:15" x14ac:dyDescent="0.25">
      <c r="A7" s="55"/>
      <c r="B7" s="55" t="s">
        <v>147</v>
      </c>
      <c r="C7" s="55" t="s">
        <v>241</v>
      </c>
      <c r="D7" s="55">
        <v>2</v>
      </c>
      <c r="F7" s="55"/>
      <c r="G7" s="55"/>
      <c r="H7" s="55"/>
      <c r="I7" s="55"/>
    </row>
    <row r="8" spans="1:15" x14ac:dyDescent="0.25">
      <c r="A8" s="55"/>
      <c r="B8" s="55" t="s">
        <v>147</v>
      </c>
      <c r="C8" s="55" t="s">
        <v>242</v>
      </c>
      <c r="D8" s="55">
        <v>1</v>
      </c>
      <c r="F8" s="55"/>
      <c r="G8" s="55"/>
      <c r="H8" s="55"/>
      <c r="I8" s="55"/>
    </row>
    <row r="9" spans="1:15" x14ac:dyDescent="0.25">
      <c r="A9" s="55"/>
      <c r="B9" s="55" t="s">
        <v>147</v>
      </c>
      <c r="C9" s="55" t="s">
        <v>243</v>
      </c>
      <c r="D9" s="55">
        <v>1</v>
      </c>
    </row>
    <row r="10" spans="1:15" x14ac:dyDescent="0.25">
      <c r="A10" s="55"/>
      <c r="B10" s="55" t="s">
        <v>147</v>
      </c>
      <c r="C10" s="55" t="s">
        <v>235</v>
      </c>
      <c r="D10" s="55">
        <v>1</v>
      </c>
    </row>
    <row r="11" spans="1:15" x14ac:dyDescent="0.25">
      <c r="A11" s="55"/>
      <c r="B11" s="55" t="s">
        <v>147</v>
      </c>
      <c r="C11" s="55" t="s">
        <v>244</v>
      </c>
      <c r="D11" s="55">
        <v>1</v>
      </c>
    </row>
    <row r="12" spans="1:15" ht="15.75" x14ac:dyDescent="0.25">
      <c r="A12" s="55"/>
      <c r="B12" s="55" t="s">
        <v>147</v>
      </c>
      <c r="C12" s="55" t="s">
        <v>247</v>
      </c>
      <c r="D12" s="55">
        <v>1</v>
      </c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 t="s">
        <v>147</v>
      </c>
      <c r="C13" s="55" t="s">
        <v>245</v>
      </c>
      <c r="D13" s="55">
        <v>2</v>
      </c>
    </row>
    <row r="14" spans="1:15" x14ac:dyDescent="0.25">
      <c r="A14" s="55"/>
      <c r="B14" s="55" t="s">
        <v>147</v>
      </c>
      <c r="C14" s="55" t="s">
        <v>246</v>
      </c>
      <c r="D14" s="55">
        <v>1</v>
      </c>
      <c r="F14" s="55" t="s">
        <v>14</v>
      </c>
      <c r="G14" s="60" t="s">
        <v>147</v>
      </c>
      <c r="H14" s="60" t="s">
        <v>231</v>
      </c>
      <c r="I14" s="60">
        <v>1</v>
      </c>
    </row>
    <row r="15" spans="1:15" x14ac:dyDescent="0.25">
      <c r="A15" s="55"/>
      <c r="B15" s="55" t="s">
        <v>147</v>
      </c>
      <c r="C15" s="55" t="s">
        <v>237</v>
      </c>
      <c r="D15" s="55">
        <v>1</v>
      </c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14</v>
      </c>
      <c r="B19" s="55" t="s">
        <v>147</v>
      </c>
      <c r="C19" s="55" t="s">
        <v>231</v>
      </c>
      <c r="D19" s="55">
        <v>2</v>
      </c>
    </row>
    <row r="20" spans="1:9" x14ac:dyDescent="0.25">
      <c r="A20" s="55"/>
      <c r="B20" s="55" t="s">
        <v>147</v>
      </c>
      <c r="C20" s="55" t="s">
        <v>232</v>
      </c>
      <c r="D20" s="55">
        <v>1</v>
      </c>
    </row>
    <row r="21" spans="1:9" x14ac:dyDescent="0.25">
      <c r="A21" s="55"/>
      <c r="B21" s="55" t="s">
        <v>147</v>
      </c>
      <c r="C21" s="55" t="s">
        <v>233</v>
      </c>
      <c r="D21" s="55">
        <v>1</v>
      </c>
    </row>
    <row r="22" spans="1:9" x14ac:dyDescent="0.25">
      <c r="A22" s="55"/>
      <c r="B22" s="55" t="s">
        <v>147</v>
      </c>
      <c r="C22" s="55" t="s">
        <v>234</v>
      </c>
      <c r="D22" s="55">
        <v>2</v>
      </c>
    </row>
    <row r="23" spans="1:9" x14ac:dyDescent="0.25">
      <c r="A23" s="55"/>
      <c r="B23" s="55" t="s">
        <v>147</v>
      </c>
      <c r="C23" s="55" t="s">
        <v>235</v>
      </c>
      <c r="D23" s="55">
        <v>1</v>
      </c>
    </row>
    <row r="24" spans="1:9" x14ac:dyDescent="0.25">
      <c r="A24" s="55"/>
      <c r="B24" s="55" t="s">
        <v>147</v>
      </c>
      <c r="C24" s="55" t="s">
        <v>236</v>
      </c>
      <c r="D24" s="55">
        <v>1</v>
      </c>
    </row>
    <row r="25" spans="1:9" x14ac:dyDescent="0.25">
      <c r="A25" s="55"/>
      <c r="B25" s="55" t="s">
        <v>147</v>
      </c>
      <c r="C25" s="55" t="s">
        <v>237</v>
      </c>
      <c r="D25" s="55">
        <v>1</v>
      </c>
    </row>
    <row r="26" spans="1:9" x14ac:dyDescent="0.25">
      <c r="A26" s="55"/>
      <c r="B26" s="55" t="s">
        <v>147</v>
      </c>
      <c r="C26" s="55" t="s">
        <v>238</v>
      </c>
      <c r="D26" s="55">
        <v>2</v>
      </c>
    </row>
    <row r="27" spans="1:9" x14ac:dyDescent="0.25">
      <c r="A27" s="55"/>
      <c r="B27" s="55" t="s">
        <v>152</v>
      </c>
      <c r="C27" s="55" t="s">
        <v>239</v>
      </c>
      <c r="D27" s="55">
        <v>1</v>
      </c>
    </row>
  </sheetData>
  <pageMargins left="0.7" right="0.7" top="0.75" bottom="0.75" header="0.3" footer="0.3"/>
  <pageSetup scale="8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63C4-288E-467E-B253-D657196DE438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12</v>
      </c>
      <c r="B4" s="55" t="s">
        <v>158</v>
      </c>
      <c r="C4" s="55" t="s">
        <v>282</v>
      </c>
      <c r="D4" s="55">
        <v>1</v>
      </c>
      <c r="F4" s="55" t="s">
        <v>12</v>
      </c>
      <c r="G4" s="60" t="s">
        <v>147</v>
      </c>
      <c r="H4" s="55" t="s">
        <v>280</v>
      </c>
      <c r="I4" s="60">
        <v>1</v>
      </c>
    </row>
    <row r="5" spans="1:15" x14ac:dyDescent="0.25">
      <c r="A5" s="55"/>
      <c r="B5" s="55" t="s">
        <v>147</v>
      </c>
      <c r="C5" s="55" t="s">
        <v>283</v>
      </c>
      <c r="D5" s="55">
        <v>1</v>
      </c>
      <c r="F5" s="55"/>
      <c r="G5" s="55" t="s">
        <v>152</v>
      </c>
      <c r="H5" s="55" t="s">
        <v>276</v>
      </c>
      <c r="I5" s="55">
        <v>1</v>
      </c>
    </row>
    <row r="6" spans="1:15" x14ac:dyDescent="0.25">
      <c r="A6" s="55"/>
      <c r="B6" s="55" t="s">
        <v>152</v>
      </c>
      <c r="C6" s="55" t="s">
        <v>276</v>
      </c>
      <c r="D6" s="55">
        <v>1</v>
      </c>
      <c r="F6" s="55"/>
      <c r="G6" s="55" t="s">
        <v>147</v>
      </c>
      <c r="H6" s="55" t="s">
        <v>281</v>
      </c>
      <c r="I6" s="55">
        <v>1</v>
      </c>
    </row>
    <row r="7" spans="1:15" x14ac:dyDescent="0.25">
      <c r="A7" s="55"/>
      <c r="B7" s="55" t="s">
        <v>147</v>
      </c>
      <c r="C7" s="55" t="s">
        <v>277</v>
      </c>
      <c r="D7" s="55">
        <v>1</v>
      </c>
      <c r="F7" s="55"/>
      <c r="G7" s="55"/>
      <c r="H7" s="55"/>
      <c r="I7" s="55"/>
    </row>
    <row r="8" spans="1:15" x14ac:dyDescent="0.25">
      <c r="A8" s="55"/>
      <c r="B8" s="55" t="s">
        <v>152</v>
      </c>
      <c r="C8" s="55" t="s">
        <v>279</v>
      </c>
      <c r="D8" s="55">
        <v>1</v>
      </c>
      <c r="F8" s="55"/>
      <c r="G8" s="55"/>
      <c r="H8" s="55"/>
      <c r="I8" s="55"/>
    </row>
    <row r="9" spans="1:15" x14ac:dyDescent="0.25">
      <c r="A9" s="55"/>
      <c r="B9" s="55" t="s">
        <v>147</v>
      </c>
      <c r="C9" s="55" t="s">
        <v>284</v>
      </c>
      <c r="D9" s="55">
        <v>1</v>
      </c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12</v>
      </c>
      <c r="G14" s="60" t="s">
        <v>164</v>
      </c>
      <c r="H14" s="60" t="s">
        <v>275</v>
      </c>
      <c r="I14" s="60">
        <v>1</v>
      </c>
    </row>
    <row r="15" spans="1:15" x14ac:dyDescent="0.25">
      <c r="A15" s="55"/>
      <c r="B15" s="55"/>
      <c r="C15" s="55"/>
      <c r="D15" s="55"/>
      <c r="F15" s="55"/>
      <c r="G15" s="55" t="s">
        <v>152</v>
      </c>
      <c r="H15" s="55" t="s">
        <v>276</v>
      </c>
      <c r="I15" s="55">
        <v>1</v>
      </c>
    </row>
    <row r="16" spans="1:15" x14ac:dyDescent="0.25">
      <c r="F16" s="55"/>
      <c r="G16" s="55" t="s">
        <v>147</v>
      </c>
      <c r="H16" s="55" t="s">
        <v>277</v>
      </c>
      <c r="I16" s="55">
        <v>1</v>
      </c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 t="s">
        <v>164</v>
      </c>
      <c r="H17" s="55" t="s">
        <v>278</v>
      </c>
      <c r="I17" s="55">
        <v>2</v>
      </c>
    </row>
    <row r="18" spans="1:9" x14ac:dyDescent="0.25">
      <c r="F18" s="55"/>
      <c r="G18" s="55" t="s">
        <v>152</v>
      </c>
      <c r="H18" s="55" t="s">
        <v>279</v>
      </c>
      <c r="I18" s="55"/>
    </row>
    <row r="19" spans="1:9" x14ac:dyDescent="0.25">
      <c r="A19" s="55" t="s">
        <v>12</v>
      </c>
      <c r="B19" s="55" t="s">
        <v>158</v>
      </c>
      <c r="C19" s="55" t="s">
        <v>282</v>
      </c>
      <c r="D19" s="55">
        <v>1</v>
      </c>
    </row>
    <row r="20" spans="1:9" x14ac:dyDescent="0.25">
      <c r="A20" s="55"/>
      <c r="B20" s="55" t="s">
        <v>152</v>
      </c>
      <c r="C20" s="55" t="s">
        <v>276</v>
      </c>
      <c r="D20" s="55">
        <v>1</v>
      </c>
    </row>
    <row r="21" spans="1:9" x14ac:dyDescent="0.25">
      <c r="A21" s="55"/>
      <c r="B21" s="55" t="s">
        <v>147</v>
      </c>
      <c r="C21" s="55" t="s">
        <v>285</v>
      </c>
      <c r="D21" s="55">
        <v>1</v>
      </c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1D87-DEC1-4AB2-8238-BCA3679888CC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132</v>
      </c>
      <c r="B4" s="55" t="s">
        <v>147</v>
      </c>
      <c r="C4" s="55" t="s">
        <v>287</v>
      </c>
      <c r="D4" s="55">
        <v>1</v>
      </c>
      <c r="F4" s="55" t="s">
        <v>132</v>
      </c>
      <c r="G4" s="60" t="s">
        <v>147</v>
      </c>
      <c r="H4" s="55" t="s">
        <v>286</v>
      </c>
      <c r="I4" s="60">
        <v>1</v>
      </c>
    </row>
    <row r="5" spans="1:15" x14ac:dyDescent="0.25">
      <c r="A5" s="55"/>
      <c r="B5" s="55" t="s">
        <v>147</v>
      </c>
      <c r="C5" s="55" t="s">
        <v>156</v>
      </c>
      <c r="D5" s="55">
        <v>1</v>
      </c>
      <c r="F5" s="55"/>
      <c r="G5" s="55" t="s">
        <v>147</v>
      </c>
      <c r="H5" s="55" t="s">
        <v>287</v>
      </c>
      <c r="I5" s="55">
        <v>2</v>
      </c>
    </row>
    <row r="6" spans="1:15" x14ac:dyDescent="0.25">
      <c r="A6" s="55"/>
      <c r="B6" s="55" t="s">
        <v>152</v>
      </c>
      <c r="C6" s="55" t="s">
        <v>288</v>
      </c>
      <c r="D6" s="55">
        <v>1</v>
      </c>
      <c r="F6" s="55"/>
      <c r="G6" s="55" t="s">
        <v>152</v>
      </c>
      <c r="H6" s="55" t="s">
        <v>288</v>
      </c>
      <c r="I6" s="55">
        <v>1</v>
      </c>
    </row>
    <row r="7" spans="1:15" x14ac:dyDescent="0.25">
      <c r="A7" s="55"/>
      <c r="B7" s="55" t="s">
        <v>147</v>
      </c>
      <c r="C7" s="55" t="s">
        <v>292</v>
      </c>
      <c r="D7" s="55">
        <v>1</v>
      </c>
      <c r="F7" s="55"/>
      <c r="G7" s="55" t="s">
        <v>147</v>
      </c>
      <c r="H7" s="55" t="s">
        <v>292</v>
      </c>
      <c r="I7" s="55">
        <v>1</v>
      </c>
    </row>
    <row r="8" spans="1:15" x14ac:dyDescent="0.25">
      <c r="A8" s="55"/>
      <c r="B8" s="55" t="s">
        <v>147</v>
      </c>
      <c r="C8" s="55" t="s">
        <v>293</v>
      </c>
      <c r="D8" s="55">
        <v>1</v>
      </c>
      <c r="F8" s="55"/>
      <c r="G8" s="55" t="s">
        <v>147</v>
      </c>
      <c r="H8" s="55" t="s">
        <v>289</v>
      </c>
      <c r="I8" s="55">
        <v>1</v>
      </c>
    </row>
    <row r="9" spans="1:15" x14ac:dyDescent="0.25">
      <c r="A9" s="55"/>
      <c r="B9" s="55" t="s">
        <v>147</v>
      </c>
      <c r="C9" s="55" t="s">
        <v>294</v>
      </c>
      <c r="D9" s="55">
        <v>1</v>
      </c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132</v>
      </c>
      <c r="G14" s="60" t="s">
        <v>147</v>
      </c>
      <c r="H14" s="60" t="s">
        <v>290</v>
      </c>
      <c r="I14" s="60">
        <v>1</v>
      </c>
    </row>
    <row r="15" spans="1:15" x14ac:dyDescent="0.25">
      <c r="A15" s="55"/>
      <c r="B15" s="55"/>
      <c r="C15" s="55"/>
      <c r="D15" s="55"/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132</v>
      </c>
      <c r="B19" s="55" t="s">
        <v>147</v>
      </c>
      <c r="C19" s="55" t="s">
        <v>291</v>
      </c>
      <c r="D19" s="55">
        <v>1</v>
      </c>
    </row>
    <row r="20" spans="1:9" x14ac:dyDescent="0.25">
      <c r="A20" s="55"/>
      <c r="B20" s="55" t="s">
        <v>147</v>
      </c>
      <c r="C20" s="55" t="s">
        <v>292</v>
      </c>
      <c r="D20" s="55">
        <v>1</v>
      </c>
    </row>
    <row r="21" spans="1:9" x14ac:dyDescent="0.25">
      <c r="A21" s="55"/>
      <c r="B21" s="55" t="s">
        <v>147</v>
      </c>
      <c r="C21" s="55" t="s">
        <v>295</v>
      </c>
      <c r="D21" s="55">
        <v>1</v>
      </c>
    </row>
    <row r="22" spans="1:9" x14ac:dyDescent="0.25">
      <c r="A22" s="55"/>
      <c r="B22" s="55" t="s">
        <v>147</v>
      </c>
      <c r="C22" s="55" t="s">
        <v>290</v>
      </c>
      <c r="D22" s="55">
        <v>1</v>
      </c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63BD-A277-4F96-B268-61AA44E9BB59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17</v>
      </c>
      <c r="B4" s="55" t="s">
        <v>147</v>
      </c>
      <c r="C4" s="55" t="s">
        <v>302</v>
      </c>
      <c r="D4" s="55">
        <v>1</v>
      </c>
      <c r="F4" s="55" t="s">
        <v>17</v>
      </c>
      <c r="G4" s="60" t="s">
        <v>147</v>
      </c>
      <c r="H4" s="55" t="s">
        <v>296</v>
      </c>
      <c r="I4" s="60">
        <v>1</v>
      </c>
    </row>
    <row r="5" spans="1:15" x14ac:dyDescent="0.25">
      <c r="A5" s="55"/>
      <c r="B5" s="55" t="s">
        <v>147</v>
      </c>
      <c r="C5" s="55" t="s">
        <v>307</v>
      </c>
      <c r="D5" s="55">
        <v>1</v>
      </c>
      <c r="F5" s="55"/>
      <c r="G5" s="55" t="s">
        <v>164</v>
      </c>
      <c r="H5" s="55" t="s">
        <v>297</v>
      </c>
      <c r="I5" s="55">
        <v>1</v>
      </c>
    </row>
    <row r="6" spans="1:15" x14ac:dyDescent="0.25">
      <c r="A6" s="55"/>
      <c r="B6" s="55" t="s">
        <v>147</v>
      </c>
      <c r="C6" s="55" t="s">
        <v>308</v>
      </c>
      <c r="D6" s="55">
        <v>1</v>
      </c>
      <c r="F6" s="55"/>
      <c r="G6" s="55" t="s">
        <v>147</v>
      </c>
      <c r="H6" s="55" t="s">
        <v>298</v>
      </c>
      <c r="I6" s="55">
        <v>1</v>
      </c>
    </row>
    <row r="7" spans="1:15" x14ac:dyDescent="0.25">
      <c r="A7" s="55"/>
      <c r="B7" s="55" t="s">
        <v>147</v>
      </c>
      <c r="C7" s="55" t="s">
        <v>309</v>
      </c>
      <c r="D7" s="55">
        <v>1</v>
      </c>
      <c r="F7" s="55"/>
      <c r="G7" s="55" t="s">
        <v>147</v>
      </c>
      <c r="H7" s="55" t="s">
        <v>299</v>
      </c>
      <c r="I7" s="55">
        <v>1</v>
      </c>
    </row>
    <row r="8" spans="1:15" x14ac:dyDescent="0.25">
      <c r="A8" s="55"/>
      <c r="B8" s="55" t="s">
        <v>152</v>
      </c>
      <c r="C8" s="55" t="s">
        <v>310</v>
      </c>
      <c r="D8" s="55">
        <v>1</v>
      </c>
      <c r="F8" s="55"/>
      <c r="G8" s="55" t="s">
        <v>147</v>
      </c>
      <c r="H8" s="55" t="s">
        <v>300</v>
      </c>
      <c r="I8" s="55">
        <v>1</v>
      </c>
    </row>
    <row r="9" spans="1:15" x14ac:dyDescent="0.25">
      <c r="A9" s="55"/>
      <c r="B9" s="55" t="s">
        <v>147</v>
      </c>
      <c r="C9" s="55" t="s">
        <v>311</v>
      </c>
      <c r="D9" s="55">
        <v>1</v>
      </c>
      <c r="F9" s="55"/>
      <c r="G9" s="55" t="s">
        <v>147</v>
      </c>
      <c r="H9" s="55" t="s">
        <v>301</v>
      </c>
      <c r="I9" s="55">
        <v>1</v>
      </c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17</v>
      </c>
      <c r="G14" s="60" t="s">
        <v>147</v>
      </c>
      <c r="H14" s="60" t="s">
        <v>302</v>
      </c>
      <c r="I14" s="60">
        <v>1</v>
      </c>
    </row>
    <row r="15" spans="1:15" x14ac:dyDescent="0.25">
      <c r="A15" s="55"/>
      <c r="B15" s="55"/>
      <c r="C15" s="55"/>
      <c r="D15" s="55"/>
      <c r="F15" s="55"/>
      <c r="G15" s="55" t="s">
        <v>147</v>
      </c>
      <c r="H15" s="55" t="s">
        <v>303</v>
      </c>
      <c r="I15" s="55">
        <v>1</v>
      </c>
    </row>
    <row r="16" spans="1:15" x14ac:dyDescent="0.25">
      <c r="F16" s="55"/>
      <c r="G16" s="55" t="s">
        <v>147</v>
      </c>
      <c r="H16" s="55" t="s">
        <v>201</v>
      </c>
      <c r="I16" s="55">
        <v>2</v>
      </c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 t="s">
        <v>158</v>
      </c>
      <c r="H17" s="55" t="s">
        <v>304</v>
      </c>
      <c r="I17" s="55">
        <v>1</v>
      </c>
    </row>
    <row r="18" spans="1:9" x14ac:dyDescent="0.25">
      <c r="F18" s="55"/>
      <c r="G18" s="55" t="s">
        <v>158</v>
      </c>
      <c r="H18" s="55" t="s">
        <v>305</v>
      </c>
      <c r="I18" s="55">
        <v>1</v>
      </c>
    </row>
    <row r="19" spans="1:9" x14ac:dyDescent="0.25">
      <c r="A19" s="55" t="s">
        <v>14</v>
      </c>
      <c r="B19" s="55" t="s">
        <v>147</v>
      </c>
      <c r="C19" s="55" t="s">
        <v>302</v>
      </c>
      <c r="D19" s="55">
        <v>1</v>
      </c>
      <c r="F19" s="55"/>
      <c r="G19" s="55" t="s">
        <v>147</v>
      </c>
      <c r="H19" s="55" t="s">
        <v>306</v>
      </c>
      <c r="I19" s="55">
        <v>1</v>
      </c>
    </row>
    <row r="20" spans="1:9" x14ac:dyDescent="0.25">
      <c r="A20" s="55"/>
      <c r="B20" s="55" t="s">
        <v>147</v>
      </c>
      <c r="C20" s="55" t="s">
        <v>312</v>
      </c>
      <c r="D20" s="55">
        <v>1</v>
      </c>
    </row>
    <row r="21" spans="1:9" x14ac:dyDescent="0.25">
      <c r="A21" s="55"/>
      <c r="B21" s="55" t="s">
        <v>147</v>
      </c>
      <c r="C21" s="55" t="s">
        <v>313</v>
      </c>
      <c r="D21" s="55">
        <v>1</v>
      </c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B95E-20B3-413B-B566-E108C61600DC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18</v>
      </c>
      <c r="B4" s="55"/>
      <c r="C4" s="55"/>
      <c r="D4" s="55"/>
      <c r="F4" s="55" t="s">
        <v>18</v>
      </c>
      <c r="G4" s="60"/>
      <c r="H4" s="55"/>
      <c r="I4" s="60"/>
    </row>
    <row r="5" spans="1:15" x14ac:dyDescent="0.25">
      <c r="A5" s="55"/>
      <c r="B5" s="55"/>
      <c r="C5" s="55"/>
      <c r="D5" s="55"/>
      <c r="F5" s="55"/>
      <c r="G5" s="55"/>
      <c r="H5" s="55"/>
      <c r="I5" s="55"/>
    </row>
    <row r="6" spans="1:15" x14ac:dyDescent="0.25">
      <c r="A6" s="55"/>
      <c r="B6" s="55"/>
      <c r="C6" s="55"/>
      <c r="D6" s="55"/>
      <c r="F6" s="55"/>
      <c r="G6" s="55"/>
      <c r="H6" s="55"/>
      <c r="I6" s="55"/>
    </row>
    <row r="7" spans="1:15" x14ac:dyDescent="0.25">
      <c r="A7" s="55"/>
      <c r="B7" s="55"/>
      <c r="C7" s="55"/>
      <c r="D7" s="55"/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18</v>
      </c>
      <c r="G14" s="60"/>
      <c r="H14" s="60"/>
      <c r="I14" s="60"/>
    </row>
    <row r="15" spans="1:15" x14ac:dyDescent="0.25">
      <c r="A15" s="55"/>
      <c r="B15" s="55"/>
      <c r="C15" s="55"/>
      <c r="D15" s="55"/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18</v>
      </c>
      <c r="B19" s="55"/>
      <c r="C19" s="55"/>
      <c r="D19" s="55"/>
    </row>
    <row r="20" spans="1:9" x14ac:dyDescent="0.25">
      <c r="A20" s="55"/>
      <c r="B20" s="55"/>
      <c r="C20" s="55"/>
      <c r="D20" s="55"/>
    </row>
    <row r="21" spans="1:9" x14ac:dyDescent="0.25">
      <c r="A21" s="55"/>
      <c r="B21" s="55"/>
      <c r="C21" s="55"/>
      <c r="D21" s="55"/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FCFC-39C1-420F-AF2E-D019B80B9549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19</v>
      </c>
      <c r="B4" s="55" t="s">
        <v>147</v>
      </c>
      <c r="C4" s="55" t="s">
        <v>319</v>
      </c>
      <c r="D4" s="55">
        <v>1</v>
      </c>
      <c r="F4" s="55" t="s">
        <v>19</v>
      </c>
      <c r="G4" s="60" t="s">
        <v>147</v>
      </c>
      <c r="H4" s="55" t="s">
        <v>320</v>
      </c>
      <c r="I4" s="60">
        <v>1</v>
      </c>
    </row>
    <row r="5" spans="1:15" x14ac:dyDescent="0.25">
      <c r="A5" s="55"/>
      <c r="B5" s="55" t="s">
        <v>147</v>
      </c>
      <c r="C5" s="55" t="s">
        <v>320</v>
      </c>
      <c r="D5" s="55">
        <v>1</v>
      </c>
      <c r="F5" s="55"/>
      <c r="G5" s="55" t="s">
        <v>147</v>
      </c>
      <c r="H5" s="55" t="s">
        <v>315</v>
      </c>
      <c r="I5" s="55">
        <v>1</v>
      </c>
    </row>
    <row r="6" spans="1:15" x14ac:dyDescent="0.25">
      <c r="A6" s="55"/>
      <c r="B6" s="55" t="s">
        <v>147</v>
      </c>
      <c r="C6" s="55" t="s">
        <v>321</v>
      </c>
      <c r="D6" s="55">
        <v>1</v>
      </c>
      <c r="F6" s="55"/>
      <c r="G6" s="55" t="s">
        <v>147</v>
      </c>
      <c r="H6" s="55" t="s">
        <v>316</v>
      </c>
      <c r="I6" s="55">
        <v>1</v>
      </c>
    </row>
    <row r="7" spans="1:15" x14ac:dyDescent="0.25">
      <c r="A7" s="55"/>
      <c r="B7" s="55" t="s">
        <v>147</v>
      </c>
      <c r="C7" s="55" t="s">
        <v>322</v>
      </c>
      <c r="D7" s="55">
        <v>1</v>
      </c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19</v>
      </c>
      <c r="G14" s="60" t="s">
        <v>147</v>
      </c>
      <c r="H14" s="60" t="s">
        <v>314</v>
      </c>
      <c r="I14" s="60">
        <v>1</v>
      </c>
    </row>
    <row r="15" spans="1:15" x14ac:dyDescent="0.25">
      <c r="A15" s="55"/>
      <c r="B15" s="55"/>
      <c r="C15" s="55"/>
      <c r="D15" s="55"/>
      <c r="F15" s="55"/>
      <c r="G15" s="55" t="s">
        <v>158</v>
      </c>
      <c r="H15" s="55" t="s">
        <v>317</v>
      </c>
      <c r="I15" s="55">
        <v>1</v>
      </c>
    </row>
    <row r="16" spans="1:15" x14ac:dyDescent="0.25">
      <c r="F16" s="55"/>
      <c r="G16" s="55" t="s">
        <v>147</v>
      </c>
      <c r="H16" s="55" t="s">
        <v>318</v>
      </c>
      <c r="I16" s="55">
        <v>1</v>
      </c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19</v>
      </c>
      <c r="B19" s="55" t="s">
        <v>164</v>
      </c>
      <c r="C19" s="55" t="s">
        <v>323</v>
      </c>
      <c r="D19" s="55">
        <v>1</v>
      </c>
    </row>
    <row r="20" spans="1:9" x14ac:dyDescent="0.25">
      <c r="A20" s="55"/>
      <c r="B20" s="55" t="s">
        <v>147</v>
      </c>
      <c r="C20" s="55" t="s">
        <v>320</v>
      </c>
      <c r="D20" s="55">
        <v>1</v>
      </c>
    </row>
    <row r="21" spans="1:9" x14ac:dyDescent="0.25">
      <c r="A21" s="55"/>
      <c r="B21" s="55" t="s">
        <v>164</v>
      </c>
      <c r="C21" s="55" t="s">
        <v>324</v>
      </c>
      <c r="D21" s="55">
        <v>1</v>
      </c>
    </row>
    <row r="22" spans="1:9" x14ac:dyDescent="0.25">
      <c r="A22" s="55"/>
      <c r="B22" s="55" t="s">
        <v>147</v>
      </c>
      <c r="C22" s="55" t="s">
        <v>325</v>
      </c>
      <c r="D22" s="55">
        <v>1</v>
      </c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6509-0268-46C8-A0E7-7D068F3AF592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13</v>
      </c>
      <c r="B4" s="55" t="s">
        <v>147</v>
      </c>
      <c r="C4" s="55" t="s">
        <v>160</v>
      </c>
      <c r="D4" s="55">
        <v>1</v>
      </c>
      <c r="F4" s="55" t="s">
        <v>13</v>
      </c>
      <c r="G4" s="60"/>
      <c r="H4" s="55"/>
      <c r="I4" s="60"/>
    </row>
    <row r="5" spans="1:15" x14ac:dyDescent="0.25">
      <c r="A5" s="55"/>
      <c r="B5" s="55" t="s">
        <v>147</v>
      </c>
      <c r="C5" s="55" t="s">
        <v>326</v>
      </c>
      <c r="D5" s="55">
        <v>1</v>
      </c>
      <c r="F5" s="55"/>
      <c r="G5" s="55"/>
      <c r="H5" s="55"/>
      <c r="I5" s="55"/>
    </row>
    <row r="6" spans="1:15" x14ac:dyDescent="0.25">
      <c r="A6" s="55"/>
      <c r="B6" s="55" t="s">
        <v>147</v>
      </c>
      <c r="C6" s="55" t="s">
        <v>327</v>
      </c>
      <c r="D6" s="55">
        <v>1</v>
      </c>
      <c r="F6" s="55"/>
      <c r="G6" s="55"/>
      <c r="H6" s="55"/>
      <c r="I6" s="55"/>
    </row>
    <row r="7" spans="1:15" x14ac:dyDescent="0.25">
      <c r="A7" s="55"/>
      <c r="B7" s="55" t="s">
        <v>147</v>
      </c>
      <c r="C7" s="55" t="s">
        <v>328</v>
      </c>
      <c r="D7" s="55">
        <v>1</v>
      </c>
      <c r="F7" s="55"/>
      <c r="G7" s="55"/>
      <c r="H7" s="55"/>
      <c r="I7" s="55"/>
    </row>
    <row r="8" spans="1:15" x14ac:dyDescent="0.25">
      <c r="A8" s="55"/>
      <c r="B8" s="55" t="s">
        <v>147</v>
      </c>
      <c r="C8" s="55" t="s">
        <v>329</v>
      </c>
      <c r="D8" s="55">
        <v>1</v>
      </c>
      <c r="F8" s="55"/>
      <c r="G8" s="55"/>
      <c r="H8" s="55"/>
      <c r="I8" s="55"/>
    </row>
    <row r="9" spans="1:15" x14ac:dyDescent="0.25">
      <c r="A9" s="55"/>
      <c r="B9" s="55" t="s">
        <v>147</v>
      </c>
      <c r="C9" s="55" t="s">
        <v>330</v>
      </c>
      <c r="D9" s="55">
        <v>1</v>
      </c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13</v>
      </c>
      <c r="G14" s="60"/>
      <c r="H14" s="60"/>
      <c r="I14" s="60"/>
    </row>
    <row r="15" spans="1:15" x14ac:dyDescent="0.25">
      <c r="A15" s="55"/>
      <c r="B15" s="55"/>
      <c r="C15" s="55"/>
      <c r="D15" s="55"/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13</v>
      </c>
      <c r="B19" s="55" t="s">
        <v>147</v>
      </c>
      <c r="C19" s="55" t="s">
        <v>160</v>
      </c>
      <c r="D19" s="55">
        <v>1</v>
      </c>
    </row>
    <row r="20" spans="1:9" x14ac:dyDescent="0.25">
      <c r="A20" s="55"/>
      <c r="B20" s="55" t="s">
        <v>152</v>
      </c>
      <c r="C20" s="55" t="s">
        <v>331</v>
      </c>
      <c r="D20" s="55">
        <v>1</v>
      </c>
    </row>
    <row r="21" spans="1:9" x14ac:dyDescent="0.25">
      <c r="A21" s="55"/>
      <c r="B21" s="55" t="s">
        <v>147</v>
      </c>
      <c r="C21" s="55" t="s">
        <v>332</v>
      </c>
      <c r="D21" s="55">
        <v>1</v>
      </c>
    </row>
    <row r="22" spans="1:9" x14ac:dyDescent="0.25">
      <c r="A22" s="55"/>
      <c r="B22" s="55" t="s">
        <v>147</v>
      </c>
      <c r="C22" s="55" t="s">
        <v>330</v>
      </c>
      <c r="D22" s="55">
        <v>1</v>
      </c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02E8-2029-48C0-A623-B15824E2270C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97" t="s">
        <v>144</v>
      </c>
      <c r="B2" s="98" t="s">
        <v>145</v>
      </c>
      <c r="C2" s="99" t="s">
        <v>141</v>
      </c>
      <c r="D2" s="100"/>
      <c r="E2" s="67"/>
      <c r="F2" s="97" t="s">
        <v>144</v>
      </c>
      <c r="G2" s="98" t="s">
        <v>145</v>
      </c>
      <c r="H2" s="99" t="s">
        <v>142</v>
      </c>
      <c r="I2" s="100"/>
      <c r="J2" s="67"/>
      <c r="O2" s="66"/>
    </row>
    <row r="3" spans="1:15" x14ac:dyDescent="0.25">
      <c r="A3" s="101"/>
      <c r="B3" s="101"/>
      <c r="C3" s="101"/>
      <c r="D3" s="101"/>
      <c r="F3" s="101"/>
      <c r="G3" s="101"/>
      <c r="H3" s="101"/>
      <c r="I3" s="101"/>
    </row>
    <row r="4" spans="1:15" x14ac:dyDescent="0.25">
      <c r="A4" s="102" t="s">
        <v>133</v>
      </c>
      <c r="B4" s="102"/>
      <c r="C4" s="102"/>
      <c r="D4" s="102"/>
      <c r="F4" s="102" t="s">
        <v>133</v>
      </c>
      <c r="G4" s="102"/>
      <c r="H4" s="102"/>
      <c r="I4" s="102"/>
    </row>
    <row r="5" spans="1:15" x14ac:dyDescent="0.25">
      <c r="A5" s="102"/>
      <c r="B5" s="102"/>
      <c r="C5" s="102"/>
      <c r="D5" s="102"/>
      <c r="F5" s="102"/>
      <c r="G5" s="102"/>
      <c r="H5" s="102"/>
      <c r="I5" s="102"/>
    </row>
    <row r="6" spans="1:15" x14ac:dyDescent="0.25">
      <c r="A6" s="102"/>
      <c r="B6" s="102"/>
      <c r="C6" s="102"/>
      <c r="D6" s="102"/>
      <c r="F6" s="102"/>
      <c r="G6" s="102"/>
      <c r="H6" s="102"/>
      <c r="I6" s="102"/>
    </row>
    <row r="7" spans="1:15" x14ac:dyDescent="0.25">
      <c r="A7" s="102"/>
      <c r="B7" s="102"/>
      <c r="C7" s="102"/>
      <c r="D7" s="102"/>
      <c r="F7" s="102"/>
      <c r="G7" s="102"/>
      <c r="H7" s="102"/>
      <c r="I7" s="102"/>
    </row>
    <row r="8" spans="1:15" x14ac:dyDescent="0.25">
      <c r="A8" s="102"/>
      <c r="B8" s="102"/>
      <c r="C8" s="102"/>
      <c r="D8" s="102"/>
      <c r="F8" s="102"/>
      <c r="G8" s="102"/>
      <c r="H8" s="102"/>
      <c r="I8" s="102"/>
    </row>
    <row r="9" spans="1:15" x14ac:dyDescent="0.25">
      <c r="A9" s="102"/>
      <c r="B9" s="102"/>
      <c r="C9" s="102"/>
      <c r="D9" s="102"/>
      <c r="F9" s="101"/>
      <c r="G9" s="101"/>
      <c r="H9" s="101"/>
      <c r="I9" s="101"/>
    </row>
    <row r="10" spans="1:15" x14ac:dyDescent="0.25">
      <c r="A10" s="102"/>
      <c r="B10" s="102"/>
      <c r="C10" s="102"/>
      <c r="D10" s="102"/>
      <c r="F10" s="101"/>
      <c r="G10" s="101"/>
      <c r="H10" s="101"/>
      <c r="I10" s="101"/>
    </row>
    <row r="11" spans="1:15" x14ac:dyDescent="0.25">
      <c r="A11" s="102"/>
      <c r="B11" s="102"/>
      <c r="C11" s="102"/>
      <c r="D11" s="102"/>
      <c r="F11" s="101"/>
      <c r="G11" s="101"/>
      <c r="H11" s="101"/>
      <c r="I11" s="101"/>
    </row>
    <row r="12" spans="1:15" ht="15.75" x14ac:dyDescent="0.25">
      <c r="A12" s="102"/>
      <c r="B12" s="102"/>
      <c r="C12" s="102"/>
      <c r="D12" s="102"/>
      <c r="F12" s="97" t="s">
        <v>144</v>
      </c>
      <c r="G12" s="98" t="s">
        <v>145</v>
      </c>
      <c r="H12" s="99" t="s">
        <v>143</v>
      </c>
      <c r="I12" s="101"/>
    </row>
    <row r="13" spans="1:15" x14ac:dyDescent="0.25">
      <c r="A13" s="102"/>
      <c r="B13" s="102"/>
      <c r="C13" s="102"/>
      <c r="D13" s="102"/>
      <c r="F13" s="101"/>
      <c r="G13" s="101"/>
      <c r="H13" s="101"/>
      <c r="I13" s="101"/>
    </row>
    <row r="14" spans="1:15" x14ac:dyDescent="0.25">
      <c r="A14" s="102"/>
      <c r="B14" s="102"/>
      <c r="C14" s="102"/>
      <c r="D14" s="102"/>
      <c r="F14" s="102" t="s">
        <v>133</v>
      </c>
      <c r="G14" s="102"/>
      <c r="H14" s="102"/>
      <c r="I14" s="102"/>
    </row>
    <row r="15" spans="1:15" x14ac:dyDescent="0.25">
      <c r="A15" s="102"/>
      <c r="B15" s="102"/>
      <c r="C15" s="102"/>
      <c r="D15" s="102"/>
      <c r="F15" s="102"/>
      <c r="G15" s="102"/>
      <c r="H15" s="102"/>
      <c r="I15" s="102"/>
    </row>
    <row r="16" spans="1:15" x14ac:dyDescent="0.25">
      <c r="A16" s="101"/>
      <c r="B16" s="101"/>
      <c r="C16" s="101"/>
      <c r="D16" s="101"/>
      <c r="F16" s="102"/>
      <c r="G16" s="102"/>
      <c r="H16" s="102"/>
      <c r="I16" s="102"/>
    </row>
    <row r="17" spans="1:9" ht="15.75" x14ac:dyDescent="0.25">
      <c r="A17" s="103" t="s">
        <v>144</v>
      </c>
      <c r="B17" s="103" t="s">
        <v>145</v>
      </c>
      <c r="C17" s="103" t="s">
        <v>146</v>
      </c>
      <c r="D17" s="101"/>
      <c r="F17" s="102"/>
      <c r="G17" s="102"/>
      <c r="H17" s="102"/>
      <c r="I17" s="102"/>
    </row>
    <row r="18" spans="1:9" x14ac:dyDescent="0.25">
      <c r="A18" s="101"/>
      <c r="B18" s="101"/>
      <c r="C18" s="101"/>
      <c r="D18" s="101"/>
      <c r="F18" s="102"/>
      <c r="G18" s="102"/>
      <c r="H18" s="102"/>
      <c r="I18" s="102"/>
    </row>
    <row r="19" spans="1:9" x14ac:dyDescent="0.25">
      <c r="A19" s="102" t="s">
        <v>133</v>
      </c>
      <c r="B19" s="102"/>
      <c r="C19" s="102"/>
      <c r="D19" s="102"/>
    </row>
    <row r="20" spans="1:9" x14ac:dyDescent="0.25">
      <c r="A20" s="102"/>
      <c r="B20" s="102"/>
      <c r="C20" s="102"/>
      <c r="D20" s="102"/>
    </row>
    <row r="21" spans="1:9" x14ac:dyDescent="0.25">
      <c r="A21" s="102"/>
      <c r="B21" s="102"/>
      <c r="C21" s="102"/>
      <c r="D21" s="102"/>
    </row>
    <row r="22" spans="1:9" x14ac:dyDescent="0.25">
      <c r="A22" s="102"/>
      <c r="B22" s="102"/>
      <c r="C22" s="102"/>
      <c r="D22" s="102"/>
    </row>
    <row r="23" spans="1:9" x14ac:dyDescent="0.25">
      <c r="A23" s="102"/>
      <c r="B23" s="102"/>
      <c r="C23" s="102"/>
      <c r="D23" s="102"/>
    </row>
    <row r="24" spans="1:9" x14ac:dyDescent="0.25">
      <c r="A24" s="102"/>
      <c r="B24" s="102"/>
      <c r="C24" s="102"/>
      <c r="D24" s="102"/>
    </row>
    <row r="25" spans="1:9" x14ac:dyDescent="0.25">
      <c r="A25" s="102"/>
      <c r="B25" s="102"/>
      <c r="C25" s="102"/>
      <c r="D25" s="102"/>
    </row>
    <row r="26" spans="1:9" x14ac:dyDescent="0.25">
      <c r="A26" s="102"/>
      <c r="B26" s="102"/>
      <c r="C26" s="102"/>
      <c r="D26" s="102"/>
    </row>
    <row r="27" spans="1:9" x14ac:dyDescent="0.25">
      <c r="A27" s="102"/>
      <c r="B27" s="102"/>
      <c r="C27" s="102"/>
      <c r="D27" s="102"/>
    </row>
    <row r="28" spans="1:9" x14ac:dyDescent="0.25">
      <c r="A28" s="102"/>
      <c r="B28" s="102"/>
      <c r="C28" s="102"/>
      <c r="D28" s="102"/>
    </row>
  </sheetData>
  <pageMargins left="0.7" right="0.7" top="0.75" bottom="0.75" header="0.3" footer="0.3"/>
  <pageSetup scale="8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C58E-E8A1-44B7-B300-366085050C02}">
  <sheetPr>
    <pageSetUpPr fitToPage="1"/>
  </sheetPr>
  <dimension ref="A2:O28"/>
  <sheetViews>
    <sheetView tabSelected="1"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15</v>
      </c>
      <c r="B4" s="55" t="s">
        <v>147</v>
      </c>
      <c r="C4" s="55" t="s">
        <v>338</v>
      </c>
      <c r="D4" s="55">
        <v>1</v>
      </c>
      <c r="F4" s="55" t="s">
        <v>15</v>
      </c>
      <c r="G4" s="60" t="s">
        <v>147</v>
      </c>
      <c r="H4" s="55" t="s">
        <v>333</v>
      </c>
      <c r="I4" s="60">
        <v>1</v>
      </c>
    </row>
    <row r="5" spans="1:15" x14ac:dyDescent="0.25">
      <c r="A5" s="55"/>
      <c r="B5" s="55" t="s">
        <v>147</v>
      </c>
      <c r="C5" s="55" t="s">
        <v>339</v>
      </c>
      <c r="D5" s="55">
        <v>1</v>
      </c>
      <c r="F5" s="55"/>
      <c r="G5" s="55" t="s">
        <v>164</v>
      </c>
      <c r="H5" s="55" t="s">
        <v>334</v>
      </c>
      <c r="I5" s="55">
        <v>1</v>
      </c>
    </row>
    <row r="6" spans="1:15" x14ac:dyDescent="0.25">
      <c r="A6" s="55"/>
      <c r="B6" s="55"/>
      <c r="C6" s="55"/>
      <c r="D6" s="55"/>
      <c r="F6" s="55"/>
      <c r="G6" s="55"/>
      <c r="H6" s="55"/>
      <c r="I6" s="55"/>
    </row>
    <row r="7" spans="1:15" x14ac:dyDescent="0.25">
      <c r="A7" s="55"/>
      <c r="B7" s="55"/>
      <c r="C7" s="55"/>
      <c r="D7" s="55"/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15</v>
      </c>
      <c r="G14" s="60" t="s">
        <v>147</v>
      </c>
      <c r="H14" s="60" t="s">
        <v>335</v>
      </c>
      <c r="I14" s="60">
        <v>2</v>
      </c>
    </row>
    <row r="15" spans="1:15" x14ac:dyDescent="0.25">
      <c r="A15" s="55"/>
      <c r="B15" s="55"/>
      <c r="C15" s="55"/>
      <c r="D15" s="55"/>
      <c r="F15" s="55"/>
      <c r="G15" s="55" t="s">
        <v>147</v>
      </c>
      <c r="H15" s="55" t="s">
        <v>336</v>
      </c>
      <c r="I15" s="55">
        <v>1</v>
      </c>
    </row>
    <row r="16" spans="1:15" x14ac:dyDescent="0.25">
      <c r="F16" s="55"/>
      <c r="G16" s="55" t="s">
        <v>147</v>
      </c>
      <c r="H16" s="55" t="s">
        <v>337</v>
      </c>
      <c r="I16" s="55">
        <v>1</v>
      </c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 t="s">
        <v>152</v>
      </c>
      <c r="H17" s="55" t="s">
        <v>68</v>
      </c>
      <c r="I17" s="55">
        <v>1</v>
      </c>
    </row>
    <row r="18" spans="1:9" x14ac:dyDescent="0.25">
      <c r="F18" s="55"/>
      <c r="G18" s="55"/>
      <c r="H18" s="55"/>
      <c r="I18" s="55"/>
    </row>
    <row r="19" spans="1:9" x14ac:dyDescent="0.25">
      <c r="A19" s="55" t="s">
        <v>15</v>
      </c>
      <c r="B19" s="55" t="s">
        <v>152</v>
      </c>
      <c r="C19" s="55" t="s">
        <v>340</v>
      </c>
      <c r="D19" s="55">
        <v>1</v>
      </c>
    </row>
    <row r="20" spans="1:9" x14ac:dyDescent="0.25">
      <c r="A20" s="55"/>
      <c r="B20" s="55" t="s">
        <v>147</v>
      </c>
      <c r="C20" s="55" t="s">
        <v>341</v>
      </c>
      <c r="D20" s="55">
        <v>1</v>
      </c>
    </row>
    <row r="21" spans="1:9" x14ac:dyDescent="0.25">
      <c r="A21" s="55"/>
      <c r="B21" s="55" t="s">
        <v>147</v>
      </c>
      <c r="C21" s="55" t="s">
        <v>342</v>
      </c>
      <c r="D21" s="55">
        <v>1</v>
      </c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C7C6-A67B-4497-B16A-90AFF243E4B6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0</v>
      </c>
      <c r="B4" s="55" t="s">
        <v>152</v>
      </c>
      <c r="C4" s="55" t="s">
        <v>351</v>
      </c>
      <c r="D4" s="55">
        <v>1</v>
      </c>
      <c r="F4" s="55" t="s">
        <v>0</v>
      </c>
      <c r="G4" s="60" t="s">
        <v>152</v>
      </c>
      <c r="H4" s="55" t="s">
        <v>343</v>
      </c>
      <c r="I4" s="60">
        <v>1</v>
      </c>
    </row>
    <row r="5" spans="1:15" x14ac:dyDescent="0.25">
      <c r="A5" s="55"/>
      <c r="B5" s="55" t="s">
        <v>147</v>
      </c>
      <c r="C5" s="55" t="s">
        <v>352</v>
      </c>
      <c r="D5" s="55">
        <v>1</v>
      </c>
      <c r="F5" s="55"/>
      <c r="G5" s="55" t="s">
        <v>147</v>
      </c>
      <c r="H5" s="55" t="s">
        <v>344</v>
      </c>
      <c r="I5" s="55">
        <v>1</v>
      </c>
    </row>
    <row r="6" spans="1:15" x14ac:dyDescent="0.25">
      <c r="A6" s="55"/>
      <c r="B6" s="55" t="s">
        <v>147</v>
      </c>
      <c r="C6" s="55" t="s">
        <v>353</v>
      </c>
      <c r="D6" s="55">
        <v>1</v>
      </c>
      <c r="F6" s="55"/>
      <c r="G6" s="55" t="s">
        <v>147</v>
      </c>
      <c r="H6" s="55" t="s">
        <v>345</v>
      </c>
      <c r="I6" s="55">
        <v>1</v>
      </c>
    </row>
    <row r="7" spans="1:15" x14ac:dyDescent="0.25">
      <c r="A7" s="55"/>
      <c r="B7" s="55" t="s">
        <v>147</v>
      </c>
      <c r="C7" s="55" t="s">
        <v>345</v>
      </c>
      <c r="D7" s="55">
        <v>1</v>
      </c>
      <c r="F7" s="55"/>
      <c r="G7" s="55" t="s">
        <v>158</v>
      </c>
      <c r="H7" s="55" t="s">
        <v>346</v>
      </c>
      <c r="I7" s="55">
        <v>1</v>
      </c>
    </row>
    <row r="8" spans="1:15" x14ac:dyDescent="0.25">
      <c r="A8" s="55"/>
      <c r="B8" s="55" t="s">
        <v>147</v>
      </c>
      <c r="C8" s="55" t="s">
        <v>354</v>
      </c>
      <c r="D8" s="55">
        <v>1</v>
      </c>
      <c r="F8" s="55"/>
      <c r="G8" s="55" t="s">
        <v>147</v>
      </c>
      <c r="H8" s="55" t="s">
        <v>347</v>
      </c>
      <c r="I8" s="55">
        <v>1</v>
      </c>
    </row>
    <row r="9" spans="1:15" x14ac:dyDescent="0.25">
      <c r="A9" s="55"/>
      <c r="B9" s="55" t="s">
        <v>147</v>
      </c>
      <c r="C9" s="55" t="s">
        <v>355</v>
      </c>
      <c r="D9" s="55">
        <v>1</v>
      </c>
    </row>
    <row r="10" spans="1:15" x14ac:dyDescent="0.25">
      <c r="A10" s="55"/>
      <c r="B10" s="55" t="s">
        <v>147</v>
      </c>
      <c r="C10" s="55" t="s">
        <v>347</v>
      </c>
      <c r="D10" s="55">
        <v>1</v>
      </c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0</v>
      </c>
      <c r="G14" s="60" t="s">
        <v>147</v>
      </c>
      <c r="H14" s="60" t="s">
        <v>348</v>
      </c>
      <c r="I14" s="60">
        <v>1</v>
      </c>
    </row>
    <row r="15" spans="1:15" x14ac:dyDescent="0.25">
      <c r="A15" s="55"/>
      <c r="B15" s="55"/>
      <c r="C15" s="55"/>
      <c r="D15" s="55"/>
      <c r="F15" s="55"/>
      <c r="G15" s="55" t="s">
        <v>147</v>
      </c>
      <c r="H15" s="55" t="s">
        <v>349</v>
      </c>
      <c r="I15" s="55">
        <v>1</v>
      </c>
    </row>
    <row r="16" spans="1:15" x14ac:dyDescent="0.25">
      <c r="F16" s="55"/>
      <c r="G16" s="55" t="s">
        <v>147</v>
      </c>
      <c r="H16" s="55" t="s">
        <v>350</v>
      </c>
      <c r="I16" s="55">
        <v>1</v>
      </c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0</v>
      </c>
      <c r="B19" s="55" t="s">
        <v>147</v>
      </c>
      <c r="C19" s="55" t="s">
        <v>356</v>
      </c>
      <c r="D19" s="55">
        <v>1</v>
      </c>
    </row>
    <row r="20" spans="1:9" x14ac:dyDescent="0.25">
      <c r="A20" s="55"/>
      <c r="B20" s="55" t="s">
        <v>147</v>
      </c>
      <c r="C20" s="55" t="s">
        <v>357</v>
      </c>
      <c r="D20" s="55">
        <v>1</v>
      </c>
    </row>
    <row r="21" spans="1:9" x14ac:dyDescent="0.25">
      <c r="A21" s="55"/>
      <c r="B21" s="55" t="s">
        <v>147</v>
      </c>
      <c r="C21" s="55" t="s">
        <v>353</v>
      </c>
      <c r="D21" s="55">
        <v>1</v>
      </c>
    </row>
    <row r="22" spans="1:9" x14ac:dyDescent="0.25">
      <c r="A22" s="55"/>
      <c r="B22" s="55" t="s">
        <v>147</v>
      </c>
      <c r="C22" s="55" t="s">
        <v>358</v>
      </c>
      <c r="D22" s="55">
        <v>1</v>
      </c>
    </row>
    <row r="23" spans="1:9" x14ac:dyDescent="0.25">
      <c r="A23" s="55"/>
      <c r="B23" s="55" t="s">
        <v>147</v>
      </c>
      <c r="C23" s="55" t="s">
        <v>347</v>
      </c>
      <c r="D23" s="55">
        <v>1</v>
      </c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8E34-FBC7-4BF8-BC19-0C600B543FB0}">
  <sheetPr>
    <pageSetUpPr fitToPage="1"/>
  </sheetPr>
  <dimension ref="A2:O30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</v>
      </c>
      <c r="B4" s="55" t="s">
        <v>152</v>
      </c>
      <c r="C4" s="55" t="s">
        <v>378</v>
      </c>
      <c r="D4" s="55">
        <v>1</v>
      </c>
      <c r="F4" s="55" t="s">
        <v>1</v>
      </c>
      <c r="G4" s="60" t="s">
        <v>147</v>
      </c>
      <c r="H4" s="55" t="s">
        <v>359</v>
      </c>
      <c r="I4" s="60">
        <v>2</v>
      </c>
    </row>
    <row r="5" spans="1:15" x14ac:dyDescent="0.25">
      <c r="A5" s="55"/>
      <c r="B5" s="55" t="s">
        <v>158</v>
      </c>
      <c r="C5" s="55" t="s">
        <v>379</v>
      </c>
      <c r="D5" s="55">
        <v>1</v>
      </c>
      <c r="F5" s="55"/>
      <c r="G5" s="55" t="s">
        <v>147</v>
      </c>
      <c r="H5" s="55" t="s">
        <v>360</v>
      </c>
      <c r="I5" s="55">
        <v>1</v>
      </c>
    </row>
    <row r="6" spans="1:15" x14ac:dyDescent="0.25">
      <c r="A6" s="55"/>
      <c r="B6" s="55" t="s">
        <v>147</v>
      </c>
      <c r="C6" s="55" t="s">
        <v>371</v>
      </c>
      <c r="D6" s="55">
        <v>1</v>
      </c>
      <c r="F6" s="55"/>
      <c r="G6" s="55" t="s">
        <v>147</v>
      </c>
      <c r="H6" s="55" t="s">
        <v>361</v>
      </c>
      <c r="I6" s="55">
        <v>1</v>
      </c>
    </row>
    <row r="7" spans="1:15" x14ac:dyDescent="0.25">
      <c r="A7" s="55"/>
      <c r="B7" s="55" t="s">
        <v>147</v>
      </c>
      <c r="C7" s="55" t="s">
        <v>374</v>
      </c>
      <c r="D7" s="55">
        <v>3</v>
      </c>
      <c r="F7" s="55"/>
      <c r="G7" s="55" t="s">
        <v>147</v>
      </c>
      <c r="H7" s="55" t="s">
        <v>362</v>
      </c>
      <c r="I7" s="55">
        <v>2</v>
      </c>
    </row>
    <row r="8" spans="1:15" x14ac:dyDescent="0.25">
      <c r="A8" s="55"/>
      <c r="B8" s="55" t="s">
        <v>147</v>
      </c>
      <c r="C8" s="55" t="s">
        <v>380</v>
      </c>
      <c r="D8" s="55">
        <v>1</v>
      </c>
      <c r="F8" s="55"/>
      <c r="G8" s="55" t="s">
        <v>158</v>
      </c>
      <c r="H8" s="55" t="s">
        <v>363</v>
      </c>
      <c r="I8" s="55">
        <v>1</v>
      </c>
    </row>
    <row r="9" spans="1:15" x14ac:dyDescent="0.25">
      <c r="A9" s="55"/>
      <c r="B9" s="55" t="s">
        <v>147</v>
      </c>
      <c r="C9" s="55" t="s">
        <v>381</v>
      </c>
      <c r="D9" s="55">
        <v>1</v>
      </c>
      <c r="F9" s="55"/>
      <c r="G9" s="55" t="s">
        <v>147</v>
      </c>
      <c r="H9" s="55" t="s">
        <v>364</v>
      </c>
      <c r="I9" s="55">
        <v>1</v>
      </c>
    </row>
    <row r="10" spans="1:15" x14ac:dyDescent="0.25">
      <c r="A10" s="55"/>
      <c r="B10" s="55" t="s">
        <v>147</v>
      </c>
      <c r="C10" s="55" t="s">
        <v>382</v>
      </c>
      <c r="D10" s="55">
        <v>1</v>
      </c>
      <c r="F10" s="55"/>
      <c r="G10" s="55" t="s">
        <v>147</v>
      </c>
      <c r="H10" s="55" t="s">
        <v>365</v>
      </c>
      <c r="I10" s="55">
        <v>2</v>
      </c>
    </row>
    <row r="11" spans="1:15" x14ac:dyDescent="0.25">
      <c r="A11" s="55"/>
      <c r="B11" s="55" t="s">
        <v>147</v>
      </c>
      <c r="C11" s="55" t="s">
        <v>362</v>
      </c>
      <c r="D11" s="55">
        <v>2</v>
      </c>
      <c r="F11" s="55"/>
      <c r="G11" s="55" t="s">
        <v>158</v>
      </c>
      <c r="H11" s="55" t="s">
        <v>366</v>
      </c>
      <c r="I11" s="55">
        <v>1</v>
      </c>
    </row>
    <row r="12" spans="1:15" x14ac:dyDescent="0.25">
      <c r="A12" s="55"/>
      <c r="B12" s="55" t="s">
        <v>147</v>
      </c>
      <c r="C12" s="55" t="s">
        <v>383</v>
      </c>
      <c r="D12" s="55">
        <v>1</v>
      </c>
      <c r="F12" s="55"/>
      <c r="G12" s="55" t="s">
        <v>147</v>
      </c>
      <c r="H12" s="55" t="s">
        <v>367</v>
      </c>
      <c r="I12" s="55">
        <v>1</v>
      </c>
    </row>
    <row r="13" spans="1:15" x14ac:dyDescent="0.25">
      <c r="A13" s="55"/>
      <c r="B13" s="55" t="s">
        <v>147</v>
      </c>
      <c r="C13" s="55" t="s">
        <v>384</v>
      </c>
      <c r="D13" s="55">
        <v>1</v>
      </c>
      <c r="F13" s="55"/>
      <c r="G13" s="55" t="s">
        <v>147</v>
      </c>
      <c r="H13" s="55" t="s">
        <v>368</v>
      </c>
      <c r="I13" s="55">
        <v>1</v>
      </c>
    </row>
    <row r="14" spans="1:15" x14ac:dyDescent="0.25">
      <c r="A14" s="55"/>
      <c r="B14" s="55" t="s">
        <v>152</v>
      </c>
      <c r="C14" s="55" t="s">
        <v>385</v>
      </c>
      <c r="D14" s="55">
        <v>1</v>
      </c>
      <c r="F14" s="55"/>
      <c r="G14" s="55" t="s">
        <v>147</v>
      </c>
      <c r="H14" s="55" t="s">
        <v>389</v>
      </c>
      <c r="I14" s="55">
        <v>1</v>
      </c>
    </row>
    <row r="15" spans="1:15" x14ac:dyDescent="0.25">
      <c r="A15" s="55"/>
      <c r="B15" s="55" t="s">
        <v>147</v>
      </c>
      <c r="C15" s="55" t="s">
        <v>386</v>
      </c>
      <c r="D15" s="55">
        <v>1</v>
      </c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</row>
    <row r="19" spans="1:9" x14ac:dyDescent="0.25">
      <c r="A19" s="55" t="s">
        <v>1</v>
      </c>
      <c r="B19" s="55" t="s">
        <v>147</v>
      </c>
      <c r="C19" s="55" t="s">
        <v>371</v>
      </c>
      <c r="D19" s="55">
        <v>1</v>
      </c>
    </row>
    <row r="20" spans="1:9" ht="15.75" x14ac:dyDescent="0.25">
      <c r="A20" s="55"/>
      <c r="B20" s="55" t="s">
        <v>147</v>
      </c>
      <c r="C20" s="55" t="s">
        <v>387</v>
      </c>
      <c r="D20" s="55">
        <v>1</v>
      </c>
      <c r="F20" s="71" t="s">
        <v>144</v>
      </c>
      <c r="G20" s="69" t="s">
        <v>145</v>
      </c>
      <c r="H20" s="70" t="s">
        <v>143</v>
      </c>
    </row>
    <row r="21" spans="1:9" x14ac:dyDescent="0.25">
      <c r="A21" s="55"/>
      <c r="B21" s="55" t="s">
        <v>147</v>
      </c>
      <c r="C21" s="55" t="s">
        <v>388</v>
      </c>
      <c r="D21" s="55">
        <v>1</v>
      </c>
    </row>
    <row r="22" spans="1:9" x14ac:dyDescent="0.25">
      <c r="A22" s="55"/>
      <c r="B22" s="55" t="s">
        <v>147</v>
      </c>
      <c r="C22" s="55" t="s">
        <v>365</v>
      </c>
      <c r="D22" s="55">
        <v>1</v>
      </c>
      <c r="F22" s="55" t="s">
        <v>1</v>
      </c>
      <c r="G22" s="60" t="s">
        <v>147</v>
      </c>
      <c r="H22" s="60" t="s">
        <v>369</v>
      </c>
      <c r="I22" s="60">
        <v>1</v>
      </c>
    </row>
    <row r="23" spans="1:9" x14ac:dyDescent="0.25">
      <c r="A23" s="55"/>
      <c r="B23" s="55" t="s">
        <v>147</v>
      </c>
      <c r="C23" s="55" t="s">
        <v>372</v>
      </c>
      <c r="D23" s="55">
        <v>2</v>
      </c>
      <c r="F23" s="55"/>
      <c r="G23" s="55" t="s">
        <v>147</v>
      </c>
      <c r="H23" s="55" t="s">
        <v>370</v>
      </c>
      <c r="I23" s="55">
        <v>2</v>
      </c>
    </row>
    <row r="24" spans="1:9" x14ac:dyDescent="0.25">
      <c r="A24" s="55"/>
      <c r="B24" s="55" t="s">
        <v>147</v>
      </c>
      <c r="C24" s="55" t="s">
        <v>389</v>
      </c>
      <c r="D24" s="55">
        <v>1</v>
      </c>
      <c r="F24" s="55"/>
      <c r="G24" s="55" t="s">
        <v>147</v>
      </c>
      <c r="H24" s="55" t="s">
        <v>371</v>
      </c>
      <c r="I24" s="55">
        <v>1</v>
      </c>
    </row>
    <row r="25" spans="1:9" x14ac:dyDescent="0.25">
      <c r="A25" s="55"/>
      <c r="B25" s="55" t="s">
        <v>147</v>
      </c>
      <c r="C25" s="55" t="s">
        <v>386</v>
      </c>
      <c r="D25" s="55">
        <v>1</v>
      </c>
      <c r="F25" s="55"/>
      <c r="G25" s="55" t="s">
        <v>147</v>
      </c>
      <c r="H25" s="55" t="s">
        <v>372</v>
      </c>
      <c r="I25" s="55">
        <v>2</v>
      </c>
    </row>
    <row r="26" spans="1:9" x14ac:dyDescent="0.25">
      <c r="A26" s="55"/>
      <c r="B26" s="55" t="s">
        <v>147</v>
      </c>
      <c r="C26" s="55" t="s">
        <v>374</v>
      </c>
      <c r="D26" s="55">
        <v>1</v>
      </c>
      <c r="F26" s="55"/>
      <c r="G26" s="55" t="s">
        <v>147</v>
      </c>
      <c r="H26" s="55" t="s">
        <v>373</v>
      </c>
      <c r="I26" s="55">
        <v>1</v>
      </c>
    </row>
    <row r="27" spans="1:9" x14ac:dyDescent="0.25">
      <c r="A27" s="55"/>
      <c r="B27" s="55" t="s">
        <v>158</v>
      </c>
      <c r="C27" s="55" t="s">
        <v>390</v>
      </c>
      <c r="D27" s="55">
        <v>1</v>
      </c>
      <c r="F27" s="55"/>
      <c r="G27" s="55" t="s">
        <v>147</v>
      </c>
      <c r="H27" s="55" t="s">
        <v>374</v>
      </c>
      <c r="I27" s="55">
        <v>3</v>
      </c>
    </row>
    <row r="28" spans="1:9" x14ac:dyDescent="0.25">
      <c r="A28" s="55"/>
      <c r="B28" s="55" t="s">
        <v>164</v>
      </c>
      <c r="C28" s="55" t="s">
        <v>391</v>
      </c>
      <c r="D28" s="55">
        <v>1</v>
      </c>
      <c r="F28" s="55"/>
      <c r="G28" s="55" t="s">
        <v>147</v>
      </c>
      <c r="H28" s="55" t="s">
        <v>375</v>
      </c>
      <c r="I28" s="55">
        <v>1</v>
      </c>
    </row>
    <row r="29" spans="1:9" x14ac:dyDescent="0.25">
      <c r="F29" s="55"/>
      <c r="G29" s="55" t="s">
        <v>147</v>
      </c>
      <c r="H29" s="55" t="s">
        <v>376</v>
      </c>
      <c r="I29" s="55">
        <v>1</v>
      </c>
    </row>
    <row r="30" spans="1:9" x14ac:dyDescent="0.25">
      <c r="F30" s="55"/>
      <c r="G30" s="55" t="s">
        <v>147</v>
      </c>
      <c r="H30" s="55" t="s">
        <v>377</v>
      </c>
      <c r="I30" s="55">
        <v>1</v>
      </c>
    </row>
  </sheetData>
  <pageMargins left="0.7" right="0.7" top="0.75" bottom="0.75" header="0.3" footer="0.3"/>
  <pageSetup scale="8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B408-CB48-43F9-B397-E387427BB7F1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20</v>
      </c>
      <c r="B4" s="55" t="s">
        <v>147</v>
      </c>
      <c r="C4" s="55" t="s">
        <v>395</v>
      </c>
      <c r="D4" s="55">
        <v>1</v>
      </c>
      <c r="F4" s="55" t="s">
        <v>20</v>
      </c>
      <c r="G4" s="60" t="s">
        <v>152</v>
      </c>
      <c r="H4" s="55" t="s">
        <v>392</v>
      </c>
      <c r="I4" s="60">
        <v>1</v>
      </c>
    </row>
    <row r="5" spans="1:15" x14ac:dyDescent="0.25">
      <c r="A5" s="55"/>
      <c r="B5" s="55" t="s">
        <v>152</v>
      </c>
      <c r="C5" s="55" t="s">
        <v>392</v>
      </c>
      <c r="D5" s="55">
        <v>1</v>
      </c>
      <c r="F5" s="55"/>
      <c r="G5" s="55" t="s">
        <v>147</v>
      </c>
      <c r="H5" s="55" t="s">
        <v>393</v>
      </c>
      <c r="I5" s="55">
        <v>1</v>
      </c>
    </row>
    <row r="6" spans="1:15" x14ac:dyDescent="0.25">
      <c r="A6" s="55"/>
      <c r="B6" s="55" t="s">
        <v>147</v>
      </c>
      <c r="C6" s="55" t="s">
        <v>396</v>
      </c>
      <c r="D6" s="55">
        <v>1</v>
      </c>
      <c r="F6" s="55"/>
      <c r="G6" s="55" t="s">
        <v>164</v>
      </c>
      <c r="H6" s="55" t="s">
        <v>394</v>
      </c>
      <c r="I6" s="55">
        <v>1</v>
      </c>
    </row>
    <row r="7" spans="1:15" x14ac:dyDescent="0.25">
      <c r="A7" s="55"/>
      <c r="B7" s="55" t="s">
        <v>147</v>
      </c>
      <c r="C7" s="55" t="s">
        <v>397</v>
      </c>
      <c r="D7" s="55">
        <v>1</v>
      </c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20</v>
      </c>
      <c r="G14" s="60"/>
      <c r="H14" s="60"/>
      <c r="I14" s="60"/>
    </row>
    <row r="15" spans="1:15" x14ac:dyDescent="0.25">
      <c r="A15" s="55"/>
      <c r="B15" s="55"/>
      <c r="C15" s="55"/>
      <c r="D15" s="55"/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20</v>
      </c>
      <c r="B19" s="55" t="s">
        <v>147</v>
      </c>
      <c r="C19" s="55" t="s">
        <v>396</v>
      </c>
      <c r="D19" s="55">
        <v>1</v>
      </c>
    </row>
    <row r="20" spans="1:9" x14ac:dyDescent="0.25">
      <c r="A20" s="55"/>
      <c r="B20" s="55" t="s">
        <v>147</v>
      </c>
      <c r="C20" s="55" t="s">
        <v>398</v>
      </c>
      <c r="D20" s="55">
        <v>1</v>
      </c>
    </row>
    <row r="21" spans="1:9" x14ac:dyDescent="0.25">
      <c r="A21" s="55"/>
      <c r="B21" s="55"/>
      <c r="C21" s="55"/>
      <c r="D21" s="55"/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1B45-2DCB-4AA5-9FD7-269C6FDAD19F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97" t="s">
        <v>144</v>
      </c>
      <c r="B2" s="98" t="s">
        <v>145</v>
      </c>
      <c r="C2" s="99" t="s">
        <v>141</v>
      </c>
      <c r="D2" s="100"/>
      <c r="E2" s="67"/>
      <c r="F2" s="97" t="s">
        <v>144</v>
      </c>
      <c r="G2" s="98" t="s">
        <v>145</v>
      </c>
      <c r="H2" s="99" t="s">
        <v>142</v>
      </c>
      <c r="I2" s="100"/>
      <c r="J2" s="67"/>
      <c r="O2" s="66"/>
    </row>
    <row r="3" spans="1:15" x14ac:dyDescent="0.25">
      <c r="A3" s="101"/>
      <c r="B3" s="101"/>
      <c r="C3" s="101"/>
      <c r="D3" s="101"/>
      <c r="F3" s="101"/>
      <c r="G3" s="101"/>
      <c r="H3" s="101"/>
      <c r="I3" s="101"/>
    </row>
    <row r="4" spans="1:15" x14ac:dyDescent="0.25">
      <c r="A4" s="102" t="s">
        <v>134</v>
      </c>
      <c r="B4" s="102"/>
      <c r="C4" s="102"/>
      <c r="D4" s="102"/>
      <c r="F4" s="102" t="s">
        <v>134</v>
      </c>
      <c r="G4" s="102"/>
      <c r="H4" s="102"/>
      <c r="I4" s="102"/>
    </row>
    <row r="5" spans="1:15" x14ac:dyDescent="0.25">
      <c r="A5" s="102"/>
      <c r="B5" s="102"/>
      <c r="C5" s="102"/>
      <c r="D5" s="102"/>
      <c r="F5" s="102"/>
      <c r="G5" s="102"/>
      <c r="H5" s="102"/>
      <c r="I5" s="102"/>
    </row>
    <row r="6" spans="1:15" x14ac:dyDescent="0.25">
      <c r="A6" s="102"/>
      <c r="B6" s="102"/>
      <c r="C6" s="102"/>
      <c r="D6" s="102"/>
      <c r="F6" s="102"/>
      <c r="G6" s="102"/>
      <c r="H6" s="102"/>
      <c r="I6" s="102"/>
    </row>
    <row r="7" spans="1:15" x14ac:dyDescent="0.25">
      <c r="A7" s="102"/>
      <c r="B7" s="102"/>
      <c r="C7" s="102"/>
      <c r="D7" s="102"/>
      <c r="F7" s="102"/>
      <c r="G7" s="102"/>
      <c r="H7" s="102"/>
      <c r="I7" s="102"/>
    </row>
    <row r="8" spans="1:15" x14ac:dyDescent="0.25">
      <c r="A8" s="102"/>
      <c r="B8" s="102"/>
      <c r="C8" s="102"/>
      <c r="D8" s="102"/>
      <c r="F8" s="102"/>
      <c r="G8" s="102"/>
      <c r="H8" s="102"/>
      <c r="I8" s="102"/>
    </row>
    <row r="9" spans="1:15" x14ac:dyDescent="0.25">
      <c r="A9" s="102"/>
      <c r="B9" s="102"/>
      <c r="C9" s="102"/>
      <c r="D9" s="102"/>
      <c r="F9" s="101"/>
      <c r="G9" s="101"/>
      <c r="H9" s="101"/>
      <c r="I9" s="101"/>
    </row>
    <row r="10" spans="1:15" x14ac:dyDescent="0.25">
      <c r="A10" s="102"/>
      <c r="B10" s="102"/>
      <c r="C10" s="102"/>
      <c r="D10" s="102"/>
      <c r="F10" s="101"/>
      <c r="G10" s="101"/>
      <c r="H10" s="101"/>
      <c r="I10" s="101"/>
    </row>
    <row r="11" spans="1:15" x14ac:dyDescent="0.25">
      <c r="A11" s="102"/>
      <c r="B11" s="102"/>
      <c r="C11" s="102"/>
      <c r="D11" s="102"/>
      <c r="F11" s="101"/>
      <c r="G11" s="101"/>
      <c r="H11" s="101"/>
      <c r="I11" s="101"/>
    </row>
    <row r="12" spans="1:15" ht="15.75" x14ac:dyDescent="0.25">
      <c r="A12" s="102"/>
      <c r="B12" s="102"/>
      <c r="C12" s="102"/>
      <c r="D12" s="102"/>
      <c r="F12" s="97" t="s">
        <v>144</v>
      </c>
      <c r="G12" s="98" t="s">
        <v>145</v>
      </c>
      <c r="H12" s="99" t="s">
        <v>143</v>
      </c>
      <c r="I12" s="101"/>
    </row>
    <row r="13" spans="1:15" x14ac:dyDescent="0.25">
      <c r="A13" s="102"/>
      <c r="B13" s="102"/>
      <c r="C13" s="102"/>
      <c r="D13" s="102"/>
      <c r="F13" s="101"/>
      <c r="G13" s="101"/>
      <c r="H13" s="101"/>
      <c r="I13" s="101"/>
    </row>
    <row r="14" spans="1:15" x14ac:dyDescent="0.25">
      <c r="A14" s="102"/>
      <c r="B14" s="102"/>
      <c r="C14" s="102"/>
      <c r="D14" s="102"/>
      <c r="F14" s="102" t="s">
        <v>134</v>
      </c>
      <c r="G14" s="102"/>
      <c r="H14" s="102"/>
      <c r="I14" s="102"/>
    </row>
    <row r="15" spans="1:15" x14ac:dyDescent="0.25">
      <c r="A15" s="102"/>
      <c r="B15" s="102"/>
      <c r="C15" s="102"/>
      <c r="D15" s="102"/>
      <c r="F15" s="102"/>
      <c r="G15" s="102"/>
      <c r="H15" s="102"/>
      <c r="I15" s="102"/>
    </row>
    <row r="16" spans="1:15" x14ac:dyDescent="0.25">
      <c r="A16" s="101"/>
      <c r="B16" s="101"/>
      <c r="C16" s="101"/>
      <c r="D16" s="101"/>
      <c r="F16" s="102"/>
      <c r="G16" s="102"/>
      <c r="H16" s="102"/>
      <c r="I16" s="102"/>
    </row>
    <row r="17" spans="1:9" ht="15.75" x14ac:dyDescent="0.25">
      <c r="A17" s="103" t="s">
        <v>144</v>
      </c>
      <c r="B17" s="103" t="s">
        <v>145</v>
      </c>
      <c r="C17" s="103" t="s">
        <v>146</v>
      </c>
      <c r="D17" s="101"/>
      <c r="F17" s="102"/>
      <c r="G17" s="102"/>
      <c r="H17" s="102"/>
      <c r="I17" s="102"/>
    </row>
    <row r="18" spans="1:9" x14ac:dyDescent="0.25">
      <c r="A18" s="101"/>
      <c r="B18" s="101"/>
      <c r="C18" s="101"/>
      <c r="D18" s="101"/>
      <c r="F18" s="102"/>
      <c r="G18" s="102"/>
      <c r="H18" s="102"/>
      <c r="I18" s="102"/>
    </row>
    <row r="19" spans="1:9" x14ac:dyDescent="0.25">
      <c r="A19" s="102" t="s">
        <v>134</v>
      </c>
      <c r="B19" s="102"/>
      <c r="C19" s="102"/>
      <c r="D19" s="102"/>
    </row>
    <row r="20" spans="1:9" x14ac:dyDescent="0.25">
      <c r="A20" s="102"/>
      <c r="B20" s="102"/>
      <c r="C20" s="102"/>
      <c r="D20" s="102"/>
    </row>
    <row r="21" spans="1:9" x14ac:dyDescent="0.25">
      <c r="A21" s="102"/>
      <c r="B21" s="102"/>
      <c r="C21" s="102"/>
      <c r="D21" s="102"/>
    </row>
    <row r="22" spans="1:9" x14ac:dyDescent="0.25">
      <c r="A22" s="102"/>
      <c r="B22" s="102"/>
      <c r="C22" s="102"/>
      <c r="D22" s="102"/>
    </row>
    <row r="23" spans="1:9" x14ac:dyDescent="0.25">
      <c r="A23" s="102"/>
      <c r="B23" s="102"/>
      <c r="C23" s="102"/>
      <c r="D23" s="102"/>
    </row>
    <row r="24" spans="1:9" x14ac:dyDescent="0.25">
      <c r="A24" s="102"/>
      <c r="B24" s="102"/>
      <c r="C24" s="102"/>
      <c r="D24" s="102"/>
    </row>
    <row r="25" spans="1:9" x14ac:dyDescent="0.25">
      <c r="A25" s="102"/>
      <c r="B25" s="102"/>
      <c r="C25" s="102"/>
      <c r="D25" s="102"/>
    </row>
    <row r="26" spans="1:9" x14ac:dyDescent="0.25">
      <c r="A26" s="102"/>
      <c r="B26" s="102"/>
      <c r="C26" s="102"/>
      <c r="D26" s="102"/>
    </row>
    <row r="27" spans="1:9" x14ac:dyDescent="0.25">
      <c r="A27" s="102"/>
      <c r="B27" s="102"/>
      <c r="C27" s="102"/>
      <c r="D27" s="102"/>
    </row>
    <row r="28" spans="1:9" x14ac:dyDescent="0.25">
      <c r="A28" s="102"/>
      <c r="B28" s="102"/>
      <c r="C28" s="102"/>
      <c r="D28" s="102"/>
    </row>
  </sheetData>
  <pageMargins left="0.7" right="0.7" top="0.75" bottom="0.75" header="0.3" footer="0.3"/>
  <pageSetup scale="8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5970-24FE-47AA-98B5-EEB3FED6FC56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97" t="s">
        <v>144</v>
      </c>
      <c r="B2" s="98" t="s">
        <v>145</v>
      </c>
      <c r="C2" s="99" t="s">
        <v>141</v>
      </c>
      <c r="D2" s="100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3" spans="1:15" x14ac:dyDescent="0.25">
      <c r="A3" s="101"/>
      <c r="B3" s="101"/>
      <c r="C3" s="101"/>
      <c r="D3" s="101"/>
    </row>
    <row r="4" spans="1:15" x14ac:dyDescent="0.25">
      <c r="A4" s="102"/>
      <c r="B4" s="102"/>
      <c r="C4" s="102"/>
      <c r="D4" s="102"/>
      <c r="F4" s="55" t="s">
        <v>139</v>
      </c>
      <c r="G4" s="60" t="s">
        <v>147</v>
      </c>
      <c r="H4" s="55" t="s">
        <v>399</v>
      </c>
      <c r="I4" s="60">
        <v>2</v>
      </c>
    </row>
    <row r="5" spans="1:15" x14ac:dyDescent="0.25">
      <c r="A5" s="102"/>
      <c r="B5" s="102"/>
      <c r="C5" s="102"/>
      <c r="D5" s="102"/>
      <c r="F5" s="55"/>
      <c r="G5" s="55" t="s">
        <v>147</v>
      </c>
      <c r="H5" s="55" t="s">
        <v>400</v>
      </c>
      <c r="I5" s="55">
        <v>2</v>
      </c>
    </row>
    <row r="6" spans="1:15" x14ac:dyDescent="0.25">
      <c r="A6" s="102"/>
      <c r="B6" s="102"/>
      <c r="C6" s="102"/>
      <c r="D6" s="102"/>
      <c r="F6" s="55"/>
      <c r="G6" s="55" t="s">
        <v>152</v>
      </c>
      <c r="H6" s="55" t="s">
        <v>401</v>
      </c>
      <c r="I6" s="55">
        <v>1</v>
      </c>
    </row>
    <row r="7" spans="1:15" x14ac:dyDescent="0.25">
      <c r="A7" s="102"/>
      <c r="B7" s="102"/>
      <c r="C7" s="102"/>
      <c r="D7" s="102"/>
      <c r="F7" s="55"/>
      <c r="G7" s="55" t="s">
        <v>152</v>
      </c>
      <c r="H7" s="55" t="s">
        <v>402</v>
      </c>
      <c r="I7" s="55">
        <v>1</v>
      </c>
    </row>
    <row r="8" spans="1:15" x14ac:dyDescent="0.25">
      <c r="A8" s="102"/>
      <c r="B8" s="102"/>
      <c r="C8" s="102"/>
      <c r="D8" s="102"/>
      <c r="F8" s="55"/>
      <c r="G8" s="55" t="s">
        <v>147</v>
      </c>
      <c r="H8" s="55" t="s">
        <v>403</v>
      </c>
      <c r="I8" s="55">
        <v>1</v>
      </c>
    </row>
    <row r="9" spans="1:15" x14ac:dyDescent="0.25">
      <c r="A9" s="102"/>
      <c r="B9" s="102"/>
      <c r="C9" s="102"/>
      <c r="D9" s="102"/>
      <c r="F9" s="55"/>
      <c r="G9" s="55" t="s">
        <v>404</v>
      </c>
      <c r="H9" s="55" t="s">
        <v>405</v>
      </c>
      <c r="I9" s="55">
        <v>1</v>
      </c>
    </row>
    <row r="10" spans="1:15" x14ac:dyDescent="0.25">
      <c r="A10" s="102"/>
      <c r="B10" s="102"/>
      <c r="C10" s="102"/>
      <c r="D10" s="102"/>
      <c r="F10" s="55"/>
      <c r="G10" s="55" t="s">
        <v>147</v>
      </c>
      <c r="H10" s="55" t="s">
        <v>406</v>
      </c>
      <c r="I10" s="55">
        <v>1</v>
      </c>
    </row>
    <row r="11" spans="1:15" x14ac:dyDescent="0.25">
      <c r="A11" s="102"/>
      <c r="B11" s="102"/>
      <c r="C11" s="102"/>
      <c r="D11" s="102"/>
      <c r="F11" s="55"/>
      <c r="G11" s="55" t="s">
        <v>147</v>
      </c>
      <c r="H11" s="55" t="s">
        <v>407</v>
      </c>
      <c r="I11" s="55">
        <v>1</v>
      </c>
    </row>
    <row r="12" spans="1:15" x14ac:dyDescent="0.25">
      <c r="A12" s="102"/>
      <c r="B12" s="102"/>
      <c r="C12" s="102"/>
      <c r="D12" s="102"/>
    </row>
    <row r="13" spans="1:15" x14ac:dyDescent="0.25">
      <c r="A13" s="102"/>
      <c r="B13" s="102"/>
      <c r="C13" s="102"/>
      <c r="D13" s="102"/>
    </row>
    <row r="14" spans="1:15" x14ac:dyDescent="0.25">
      <c r="A14" s="102"/>
      <c r="B14" s="102"/>
      <c r="C14" s="102"/>
      <c r="D14" s="102"/>
    </row>
    <row r="15" spans="1:15" ht="15.75" x14ac:dyDescent="0.25">
      <c r="A15" s="102"/>
      <c r="B15" s="102"/>
      <c r="C15" s="102"/>
      <c r="D15" s="102"/>
      <c r="F15" s="71" t="s">
        <v>144</v>
      </c>
      <c r="G15" s="69" t="s">
        <v>145</v>
      </c>
      <c r="H15" s="70" t="s">
        <v>143</v>
      </c>
    </row>
    <row r="16" spans="1:15" x14ac:dyDescent="0.25">
      <c r="A16" s="101"/>
      <c r="B16" s="101"/>
      <c r="C16" s="101"/>
      <c r="D16" s="101"/>
    </row>
    <row r="17" spans="1:9" ht="15.75" x14ac:dyDescent="0.25">
      <c r="A17" s="103" t="s">
        <v>144</v>
      </c>
      <c r="B17" s="103" t="s">
        <v>145</v>
      </c>
      <c r="C17" s="103" t="s">
        <v>146</v>
      </c>
      <c r="D17" s="101"/>
      <c r="F17" s="55" t="s">
        <v>139</v>
      </c>
      <c r="G17" s="60" t="s">
        <v>158</v>
      </c>
      <c r="H17" s="60" t="s">
        <v>408</v>
      </c>
      <c r="I17" s="60">
        <v>2</v>
      </c>
    </row>
    <row r="18" spans="1:9" x14ac:dyDescent="0.25">
      <c r="A18" s="101"/>
      <c r="B18" s="101"/>
      <c r="C18" s="101"/>
      <c r="D18" s="101"/>
      <c r="F18" s="55"/>
      <c r="G18" s="55" t="s">
        <v>147</v>
      </c>
      <c r="H18" s="55" t="s">
        <v>409</v>
      </c>
      <c r="I18" s="55">
        <v>2</v>
      </c>
    </row>
    <row r="19" spans="1:9" x14ac:dyDescent="0.25">
      <c r="A19" s="102"/>
      <c r="B19" s="102"/>
      <c r="C19" s="102"/>
      <c r="D19" s="102"/>
      <c r="F19" s="55"/>
      <c r="G19" s="55" t="s">
        <v>147</v>
      </c>
      <c r="H19" s="55" t="s">
        <v>410</v>
      </c>
      <c r="I19" s="55">
        <v>1</v>
      </c>
    </row>
    <row r="20" spans="1:9" x14ac:dyDescent="0.25">
      <c r="A20" s="102"/>
      <c r="B20" s="102"/>
      <c r="C20" s="102"/>
      <c r="D20" s="102"/>
      <c r="F20" s="55"/>
      <c r="G20" s="55" t="s">
        <v>147</v>
      </c>
      <c r="H20" s="55" t="s">
        <v>411</v>
      </c>
      <c r="I20" s="55">
        <v>1</v>
      </c>
    </row>
    <row r="21" spans="1:9" x14ac:dyDescent="0.25">
      <c r="A21" s="102"/>
      <c r="B21" s="102"/>
      <c r="C21" s="102"/>
      <c r="D21" s="102"/>
      <c r="F21" s="55"/>
      <c r="G21" s="55" t="s">
        <v>412</v>
      </c>
      <c r="H21" s="55" t="s">
        <v>401</v>
      </c>
      <c r="I21" s="55">
        <v>1</v>
      </c>
    </row>
    <row r="22" spans="1:9" x14ac:dyDescent="0.25">
      <c r="A22" s="102"/>
      <c r="B22" s="102"/>
      <c r="C22" s="102"/>
      <c r="D22" s="102"/>
      <c r="F22" s="55"/>
      <c r="G22" s="55" t="s">
        <v>147</v>
      </c>
      <c r="H22" s="55" t="s">
        <v>413</v>
      </c>
      <c r="I22" s="55">
        <v>1</v>
      </c>
    </row>
    <row r="23" spans="1:9" x14ac:dyDescent="0.25">
      <c r="A23" s="102"/>
      <c r="B23" s="102"/>
      <c r="C23" s="102"/>
      <c r="D23" s="102"/>
      <c r="F23" s="55"/>
      <c r="G23" s="55" t="s">
        <v>147</v>
      </c>
      <c r="H23" s="55" t="s">
        <v>414</v>
      </c>
      <c r="I23" s="55">
        <v>1</v>
      </c>
    </row>
    <row r="24" spans="1:9" x14ac:dyDescent="0.25">
      <c r="A24" s="102"/>
      <c r="B24" s="102"/>
      <c r="C24" s="102"/>
      <c r="D24" s="102"/>
    </row>
    <row r="25" spans="1:9" x14ac:dyDescent="0.25">
      <c r="A25" s="102"/>
      <c r="B25" s="102"/>
      <c r="C25" s="102"/>
      <c r="D25" s="102"/>
    </row>
    <row r="26" spans="1:9" x14ac:dyDescent="0.25">
      <c r="A26" s="102"/>
      <c r="B26" s="102"/>
      <c r="C26" s="102"/>
      <c r="D26" s="102"/>
    </row>
    <row r="27" spans="1:9" x14ac:dyDescent="0.25">
      <c r="A27" s="102"/>
      <c r="B27" s="102"/>
      <c r="C27" s="102"/>
      <c r="D27" s="102"/>
    </row>
    <row r="28" spans="1:9" x14ac:dyDescent="0.25">
      <c r="A28" s="102"/>
      <c r="B28" s="102"/>
      <c r="C28" s="102"/>
      <c r="D28" s="102"/>
    </row>
  </sheetData>
  <pageMargins left="0.7" right="0.7" top="0.75" bottom="0.75" header="0.3" footer="0.3"/>
  <pageSetup scale="8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76BD-55FA-4D8E-8FC1-CABB8BDFD240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415</v>
      </c>
      <c r="B4" s="55"/>
      <c r="C4" s="55"/>
      <c r="D4" s="55"/>
      <c r="F4" s="55" t="s">
        <v>415</v>
      </c>
      <c r="G4" s="60"/>
      <c r="H4" s="55"/>
      <c r="I4" s="60"/>
    </row>
    <row r="5" spans="1:15" x14ac:dyDescent="0.25">
      <c r="A5" s="55"/>
      <c r="B5" s="55"/>
      <c r="C5" s="55"/>
      <c r="D5" s="55"/>
      <c r="F5" s="55"/>
      <c r="G5" s="55"/>
      <c r="H5" s="55"/>
      <c r="I5" s="55"/>
    </row>
    <row r="6" spans="1:15" x14ac:dyDescent="0.25">
      <c r="A6" s="55"/>
      <c r="B6" s="55"/>
      <c r="C6" s="55"/>
      <c r="D6" s="55"/>
      <c r="F6" s="55"/>
      <c r="G6" s="55"/>
      <c r="H6" s="55"/>
      <c r="I6" s="55"/>
    </row>
    <row r="7" spans="1:15" x14ac:dyDescent="0.25">
      <c r="A7" s="55"/>
      <c r="B7" s="55"/>
      <c r="C7" s="55"/>
      <c r="D7" s="55"/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415</v>
      </c>
      <c r="G14" s="60"/>
      <c r="H14" s="60"/>
      <c r="I14" s="60"/>
    </row>
    <row r="15" spans="1:15" x14ac:dyDescent="0.25">
      <c r="A15" s="55"/>
      <c r="B15" s="55"/>
      <c r="C15" s="55"/>
      <c r="D15" s="55"/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415</v>
      </c>
      <c r="B19" s="55"/>
      <c r="C19" s="55"/>
      <c r="D19" s="55"/>
    </row>
    <row r="20" spans="1:9" x14ac:dyDescent="0.25">
      <c r="A20" s="55"/>
      <c r="B20" s="55"/>
      <c r="C20" s="55"/>
      <c r="D20" s="55"/>
    </row>
    <row r="21" spans="1:9" x14ac:dyDescent="0.25">
      <c r="A21" s="55"/>
      <c r="B21" s="55"/>
      <c r="C21" s="55"/>
      <c r="D21" s="55"/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23E9-7F75-4A79-AA1C-DBFD792E7DD7}">
  <sheetPr>
    <pageSetUpPr fitToPage="1"/>
  </sheetPr>
  <dimension ref="A2:O28"/>
  <sheetViews>
    <sheetView workbookViewId="0">
      <selection activeCell="C25" sqref="C25"/>
    </sheetView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416</v>
      </c>
      <c r="B4" s="55"/>
      <c r="C4" s="55"/>
      <c r="D4" s="55"/>
      <c r="F4" s="55" t="s">
        <v>416</v>
      </c>
      <c r="G4" s="60" t="s">
        <v>147</v>
      </c>
      <c r="H4" s="55" t="s">
        <v>417</v>
      </c>
      <c r="I4" s="60">
        <v>1</v>
      </c>
    </row>
    <row r="5" spans="1:15" x14ac:dyDescent="0.25">
      <c r="A5" s="55"/>
      <c r="B5" s="55"/>
      <c r="C5" s="55"/>
      <c r="D5" s="55"/>
      <c r="F5" s="55"/>
      <c r="G5" s="55"/>
      <c r="H5" s="55"/>
      <c r="I5" s="55">
        <v>1</v>
      </c>
    </row>
    <row r="6" spans="1:15" x14ac:dyDescent="0.25">
      <c r="A6" s="55"/>
      <c r="B6" s="55"/>
      <c r="C6" s="55"/>
      <c r="D6" s="55"/>
      <c r="F6" s="55"/>
      <c r="G6" s="55"/>
      <c r="H6" s="55"/>
      <c r="I6" s="55"/>
    </row>
    <row r="7" spans="1:15" x14ac:dyDescent="0.25">
      <c r="A7" s="55"/>
      <c r="B7" s="55"/>
      <c r="C7" s="55"/>
      <c r="D7" s="55"/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416</v>
      </c>
      <c r="G14" s="60" t="s">
        <v>147</v>
      </c>
      <c r="H14" s="60" t="s">
        <v>418</v>
      </c>
      <c r="I14" s="60">
        <v>1</v>
      </c>
    </row>
    <row r="15" spans="1:15" x14ac:dyDescent="0.25">
      <c r="A15" s="55"/>
      <c r="B15" s="55"/>
      <c r="C15" s="55"/>
      <c r="D15" s="55"/>
      <c r="F15" s="55"/>
      <c r="G15" s="55"/>
      <c r="H15" s="55"/>
      <c r="I15" s="55"/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416</v>
      </c>
      <c r="B19" s="55"/>
      <c r="C19" s="55"/>
      <c r="D19" s="55"/>
    </row>
    <row r="20" spans="1:9" x14ac:dyDescent="0.25">
      <c r="A20" s="55"/>
      <c r="B20" s="55"/>
      <c r="C20" s="55"/>
      <c r="D20" s="55"/>
    </row>
    <row r="21" spans="1:9" x14ac:dyDescent="0.25">
      <c r="A21" s="55"/>
      <c r="B21" s="55"/>
      <c r="C21" s="55"/>
      <c r="D21" s="55"/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89ED-9BF4-4951-A300-EA757E478691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140</v>
      </c>
      <c r="B4" s="55"/>
      <c r="C4" s="55"/>
      <c r="D4" s="55"/>
      <c r="F4" s="55" t="s">
        <v>140</v>
      </c>
      <c r="G4" s="60"/>
      <c r="H4" s="55"/>
      <c r="I4" s="60"/>
    </row>
    <row r="5" spans="1:15" x14ac:dyDescent="0.25">
      <c r="A5" s="55"/>
      <c r="B5" s="55"/>
      <c r="C5" s="55"/>
      <c r="D5" s="55"/>
      <c r="F5" s="55"/>
      <c r="G5" s="55"/>
      <c r="H5" s="55"/>
      <c r="I5" s="55"/>
    </row>
    <row r="6" spans="1:15" x14ac:dyDescent="0.25">
      <c r="A6" s="55"/>
      <c r="B6" s="55"/>
      <c r="C6" s="55"/>
      <c r="D6" s="55"/>
      <c r="F6" s="55"/>
      <c r="G6" s="55"/>
      <c r="H6" s="55"/>
      <c r="I6" s="55"/>
    </row>
    <row r="7" spans="1:15" x14ac:dyDescent="0.25">
      <c r="A7" s="55"/>
      <c r="B7" s="55"/>
      <c r="C7" s="55"/>
      <c r="D7" s="55"/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ht="15.75" x14ac:dyDescent="0.25">
      <c r="A12" s="55"/>
      <c r="B12" s="55"/>
      <c r="C12" s="55"/>
      <c r="D12" s="55"/>
      <c r="F12" s="71" t="s">
        <v>144</v>
      </c>
      <c r="G12" s="69" t="s">
        <v>145</v>
      </c>
      <c r="H12" s="70" t="s">
        <v>143</v>
      </c>
    </row>
    <row r="13" spans="1:15" x14ac:dyDescent="0.25">
      <c r="A13" s="55"/>
      <c r="B13" s="55"/>
      <c r="C13" s="55"/>
      <c r="D13" s="55"/>
    </row>
    <row r="14" spans="1:15" x14ac:dyDescent="0.25">
      <c r="A14" s="55"/>
      <c r="B14" s="55"/>
      <c r="C14" s="55"/>
      <c r="D14" s="55"/>
      <c r="F14" s="55" t="s">
        <v>140</v>
      </c>
      <c r="G14" s="60" t="s">
        <v>147</v>
      </c>
      <c r="H14" s="60" t="s">
        <v>419</v>
      </c>
      <c r="I14" s="60">
        <v>1</v>
      </c>
    </row>
    <row r="15" spans="1:15" x14ac:dyDescent="0.25">
      <c r="A15" s="55"/>
      <c r="B15" s="55"/>
      <c r="C15" s="55"/>
      <c r="D15" s="55"/>
      <c r="F15" s="55"/>
      <c r="G15" s="55" t="s">
        <v>147</v>
      </c>
      <c r="H15" s="55" t="s">
        <v>420</v>
      </c>
      <c r="I15" s="55">
        <v>2</v>
      </c>
    </row>
    <row r="16" spans="1:15" x14ac:dyDescent="0.25">
      <c r="F16" s="55"/>
      <c r="G16" s="55"/>
      <c r="H16" s="55"/>
      <c r="I16" s="55"/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/>
      <c r="H17" s="55"/>
      <c r="I17" s="55"/>
    </row>
    <row r="18" spans="1:9" x14ac:dyDescent="0.25">
      <c r="F18" s="55"/>
      <c r="G18" s="55"/>
      <c r="H18" s="55"/>
      <c r="I18" s="55"/>
    </row>
    <row r="19" spans="1:9" x14ac:dyDescent="0.25">
      <c r="A19" s="55" t="s">
        <v>140</v>
      </c>
      <c r="B19" s="55"/>
      <c r="C19" s="55"/>
      <c r="D19" s="55"/>
    </row>
    <row r="20" spans="1:9" x14ac:dyDescent="0.25">
      <c r="A20" s="55"/>
      <c r="B20" s="55"/>
      <c r="C20" s="55"/>
      <c r="D20" s="55"/>
    </row>
    <row r="21" spans="1:9" x14ac:dyDescent="0.25">
      <c r="A21" s="55"/>
      <c r="B21" s="55"/>
      <c r="C21" s="55"/>
      <c r="D21" s="55"/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B7D3-4681-4B27-89F0-B5AC3F25CA43}">
  <sheetPr>
    <pageSetUpPr fitToPage="1"/>
  </sheetPr>
  <dimension ref="A2:O2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421</v>
      </c>
      <c r="B4" s="55"/>
      <c r="C4" s="55"/>
      <c r="D4" s="55"/>
      <c r="F4" s="55" t="s">
        <v>421</v>
      </c>
      <c r="G4" s="60" t="s">
        <v>147</v>
      </c>
      <c r="H4" s="55" t="s">
        <v>422</v>
      </c>
      <c r="I4" s="60">
        <v>1</v>
      </c>
    </row>
    <row r="5" spans="1:15" x14ac:dyDescent="0.25">
      <c r="A5" s="55"/>
      <c r="B5" s="55"/>
      <c r="C5" s="55"/>
      <c r="D5" s="55"/>
      <c r="F5" s="55"/>
      <c r="G5" s="55" t="s">
        <v>147</v>
      </c>
      <c r="H5" s="55" t="s">
        <v>423</v>
      </c>
      <c r="I5" s="55">
        <v>1</v>
      </c>
    </row>
    <row r="6" spans="1:15" x14ac:dyDescent="0.25">
      <c r="A6" s="55"/>
      <c r="B6" s="55"/>
      <c r="C6" s="55"/>
      <c r="D6" s="55"/>
      <c r="F6" s="55"/>
      <c r="G6" s="55" t="s">
        <v>147</v>
      </c>
      <c r="H6" s="55" t="s">
        <v>424</v>
      </c>
      <c r="I6" s="55">
        <v>1</v>
      </c>
    </row>
    <row r="7" spans="1:15" x14ac:dyDescent="0.25">
      <c r="A7" s="55"/>
      <c r="B7" s="55"/>
      <c r="C7" s="55"/>
      <c r="D7" s="55"/>
      <c r="F7" s="55"/>
      <c r="G7" s="55" t="s">
        <v>152</v>
      </c>
      <c r="H7" s="55" t="s">
        <v>425</v>
      </c>
      <c r="I7" s="55">
        <v>1</v>
      </c>
    </row>
    <row r="8" spans="1:15" x14ac:dyDescent="0.25">
      <c r="A8" s="55"/>
      <c r="B8" s="55"/>
      <c r="C8" s="55"/>
      <c r="D8" s="55"/>
      <c r="F8" s="55"/>
      <c r="G8" s="55" t="s">
        <v>147</v>
      </c>
      <c r="H8" s="55" t="s">
        <v>426</v>
      </c>
      <c r="I8" s="55">
        <v>1</v>
      </c>
    </row>
    <row r="9" spans="1:15" x14ac:dyDescent="0.25">
      <c r="A9" s="55"/>
      <c r="B9" s="55"/>
      <c r="C9" s="55"/>
      <c r="D9" s="55"/>
      <c r="F9" s="55"/>
      <c r="G9" s="55" t="s">
        <v>147</v>
      </c>
      <c r="H9" s="55" t="s">
        <v>427</v>
      </c>
      <c r="I9" s="55">
        <v>1</v>
      </c>
    </row>
    <row r="10" spans="1:15" x14ac:dyDescent="0.25">
      <c r="A10" s="55"/>
      <c r="B10" s="55"/>
      <c r="C10" s="55"/>
      <c r="D10" s="55"/>
    </row>
    <row r="11" spans="1:15" x14ac:dyDescent="0.25">
      <c r="A11" s="55"/>
      <c r="B11" s="55"/>
      <c r="C11" s="55"/>
      <c r="D11" s="55"/>
    </row>
    <row r="12" spans="1:15" x14ac:dyDescent="0.25">
      <c r="A12" s="55"/>
      <c r="B12" s="55"/>
      <c r="C12" s="55"/>
      <c r="D12" s="55"/>
    </row>
    <row r="13" spans="1:15" ht="15.75" x14ac:dyDescent="0.25">
      <c r="A13" s="55"/>
      <c r="B13" s="55"/>
      <c r="C13" s="55"/>
      <c r="D13" s="55"/>
      <c r="F13" s="71" t="s">
        <v>144</v>
      </c>
      <c r="G13" s="69" t="s">
        <v>145</v>
      </c>
      <c r="H13" s="70" t="s">
        <v>143</v>
      </c>
    </row>
    <row r="14" spans="1:15" x14ac:dyDescent="0.25">
      <c r="A14" s="55"/>
      <c r="B14" s="55"/>
      <c r="C14" s="55"/>
      <c r="D14" s="55"/>
    </row>
    <row r="15" spans="1:15" x14ac:dyDescent="0.25">
      <c r="A15" s="55"/>
      <c r="B15" s="55"/>
      <c r="C15" s="55"/>
      <c r="D15" s="55"/>
      <c r="F15" s="55" t="s">
        <v>421</v>
      </c>
      <c r="G15" s="60" t="s">
        <v>147</v>
      </c>
      <c r="H15" s="60" t="s">
        <v>428</v>
      </c>
      <c r="I15" s="60">
        <v>1</v>
      </c>
    </row>
    <row r="16" spans="1:15" x14ac:dyDescent="0.25">
      <c r="F16" s="55"/>
      <c r="G16" s="55" t="s">
        <v>147</v>
      </c>
      <c r="H16" s="55" t="s">
        <v>426</v>
      </c>
      <c r="I16" s="55">
        <v>1</v>
      </c>
    </row>
    <row r="17" spans="1:9" ht="15.75" x14ac:dyDescent="0.25">
      <c r="A17" s="63" t="s">
        <v>144</v>
      </c>
      <c r="B17" s="63" t="s">
        <v>145</v>
      </c>
      <c r="C17" s="64" t="s">
        <v>146</v>
      </c>
      <c r="F17" s="55"/>
      <c r="G17" s="55" t="s">
        <v>152</v>
      </c>
      <c r="H17" s="55" t="s">
        <v>429</v>
      </c>
      <c r="I17" s="55">
        <v>1</v>
      </c>
    </row>
    <row r="18" spans="1:9" x14ac:dyDescent="0.25">
      <c r="F18" s="55"/>
      <c r="G18" s="55" t="s">
        <v>147</v>
      </c>
      <c r="H18" s="55" t="s">
        <v>430</v>
      </c>
      <c r="I18" s="55">
        <v>1</v>
      </c>
    </row>
    <row r="19" spans="1:9" x14ac:dyDescent="0.25">
      <c r="A19" s="55" t="s">
        <v>421</v>
      </c>
      <c r="B19" s="55"/>
      <c r="C19" s="55"/>
      <c r="D19" s="55"/>
      <c r="F19" s="55"/>
      <c r="G19" s="55"/>
      <c r="H19" s="55"/>
      <c r="I19" s="55"/>
    </row>
    <row r="20" spans="1:9" x14ac:dyDescent="0.25">
      <c r="A20" s="55"/>
      <c r="B20" s="55"/>
      <c r="C20" s="55"/>
      <c r="D20" s="55"/>
    </row>
    <row r="21" spans="1:9" x14ac:dyDescent="0.25">
      <c r="A21" s="55"/>
      <c r="B21" s="55"/>
      <c r="C21" s="55"/>
      <c r="D21" s="55"/>
    </row>
    <row r="22" spans="1:9" x14ac:dyDescent="0.25">
      <c r="A22" s="55"/>
      <c r="B22" s="55"/>
      <c r="C22" s="55"/>
      <c r="D22" s="55"/>
    </row>
    <row r="23" spans="1:9" x14ac:dyDescent="0.25">
      <c r="A23" s="55"/>
      <c r="B23" s="55"/>
      <c r="C23" s="55"/>
      <c r="D23" s="55"/>
    </row>
    <row r="24" spans="1:9" x14ac:dyDescent="0.25">
      <c r="A24" s="55"/>
      <c r="B24" s="55"/>
      <c r="C24" s="55"/>
      <c r="D24" s="55"/>
    </row>
    <row r="25" spans="1:9" x14ac:dyDescent="0.25">
      <c r="A25" s="55"/>
      <c r="B25" s="55"/>
      <c r="C25" s="55"/>
      <c r="D25" s="55"/>
    </row>
    <row r="26" spans="1:9" x14ac:dyDescent="0.25">
      <c r="A26" s="55"/>
      <c r="B26" s="55"/>
      <c r="C26" s="55"/>
      <c r="D26" s="55"/>
    </row>
    <row r="27" spans="1:9" x14ac:dyDescent="0.25">
      <c r="A27" s="55"/>
      <c r="B27" s="55"/>
      <c r="C27" s="55"/>
      <c r="D27" s="55"/>
    </row>
    <row r="28" spans="1:9" x14ac:dyDescent="0.25">
      <c r="A28" s="55"/>
      <c r="B28" s="55"/>
      <c r="C28" s="55"/>
      <c r="D28" s="55"/>
    </row>
  </sheetData>
  <pageMargins left="0.7" right="0.7" top="0.75" bottom="0.75" header="0.3" footer="0.3"/>
  <pageSetup scale="8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028D-73AB-4E80-822E-0F75E22EF16E}">
  <sheetPr>
    <pageSetUpPr fitToPage="1"/>
  </sheetPr>
  <dimension ref="A2:O1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431</v>
      </c>
      <c r="B4" s="55"/>
      <c r="C4" s="55"/>
      <c r="D4" s="55"/>
      <c r="F4" s="55" t="s">
        <v>431</v>
      </c>
      <c r="G4" s="60"/>
      <c r="H4" s="55"/>
      <c r="I4" s="60"/>
    </row>
    <row r="5" spans="1:15" x14ac:dyDescent="0.25">
      <c r="A5" s="55"/>
      <c r="B5" s="55"/>
      <c r="C5" s="55"/>
      <c r="D5" s="55"/>
      <c r="F5" s="55"/>
      <c r="G5" s="55"/>
      <c r="H5" s="55"/>
      <c r="I5" s="55"/>
    </row>
    <row r="6" spans="1:15" x14ac:dyDescent="0.25">
      <c r="A6" s="55"/>
      <c r="B6" s="55"/>
      <c r="C6" s="55"/>
      <c r="D6" s="55"/>
      <c r="F6" s="55"/>
      <c r="G6" s="55"/>
      <c r="H6" s="55"/>
      <c r="I6" s="55"/>
    </row>
    <row r="7" spans="1:15" x14ac:dyDescent="0.25">
      <c r="A7" s="55"/>
      <c r="B7" s="55"/>
      <c r="C7" s="55"/>
      <c r="D7" s="55"/>
      <c r="F7" s="55"/>
      <c r="G7" s="55"/>
      <c r="H7" s="55"/>
      <c r="I7" s="55"/>
    </row>
    <row r="8" spans="1:15" x14ac:dyDescent="0.25">
      <c r="A8" s="55"/>
      <c r="B8" s="55"/>
      <c r="C8" s="55"/>
      <c r="D8" s="55"/>
      <c r="F8" s="55"/>
      <c r="G8" s="55"/>
      <c r="H8" s="55"/>
      <c r="I8" s="55"/>
    </row>
    <row r="9" spans="1:15" x14ac:dyDescent="0.25">
      <c r="A9" s="55"/>
      <c r="B9" s="55"/>
      <c r="C9" s="55"/>
      <c r="D9" s="55"/>
    </row>
    <row r="12" spans="1:15" ht="15.75" x14ac:dyDescent="0.25">
      <c r="A12" s="63" t="s">
        <v>144</v>
      </c>
      <c r="B12" s="63" t="s">
        <v>145</v>
      </c>
      <c r="C12" s="64" t="s">
        <v>146</v>
      </c>
      <c r="F12" s="71" t="s">
        <v>144</v>
      </c>
      <c r="G12" s="69" t="s">
        <v>145</v>
      </c>
      <c r="H12" s="70" t="s">
        <v>143</v>
      </c>
    </row>
    <row r="14" spans="1:15" x14ac:dyDescent="0.25">
      <c r="A14" s="55" t="s">
        <v>431</v>
      </c>
      <c r="B14" s="55"/>
      <c r="C14" s="55"/>
      <c r="D14" s="55"/>
      <c r="F14" s="55" t="s">
        <v>431</v>
      </c>
      <c r="G14" s="60"/>
      <c r="H14" s="60"/>
      <c r="I14" s="60"/>
    </row>
    <row r="15" spans="1:15" x14ac:dyDescent="0.25">
      <c r="A15" s="55"/>
      <c r="B15" s="55"/>
      <c r="C15" s="55"/>
      <c r="D15" s="55"/>
      <c r="F15" s="55"/>
      <c r="G15" s="55"/>
      <c r="H15" s="55"/>
      <c r="I15" s="55"/>
    </row>
    <row r="16" spans="1:15" x14ac:dyDescent="0.25">
      <c r="A16" s="55"/>
      <c r="B16" s="55"/>
      <c r="C16" s="55"/>
      <c r="D16" s="55"/>
      <c r="F16" s="55"/>
      <c r="G16" s="55"/>
      <c r="H16" s="55"/>
      <c r="I16" s="55"/>
    </row>
    <row r="17" spans="1:9" x14ac:dyDescent="0.25">
      <c r="A17" s="55"/>
      <c r="B17" s="55"/>
      <c r="C17" s="55"/>
      <c r="D17" s="55"/>
      <c r="F17" s="55"/>
      <c r="G17" s="55"/>
      <c r="H17" s="55"/>
      <c r="I17" s="55"/>
    </row>
    <row r="18" spans="1:9" x14ac:dyDescent="0.25">
      <c r="A18" s="55"/>
      <c r="B18" s="55"/>
      <c r="C18" s="55"/>
      <c r="D18" s="55"/>
      <c r="F18" s="55"/>
      <c r="G18" s="55"/>
      <c r="H18" s="55"/>
      <c r="I18" s="55"/>
    </row>
  </sheetData>
  <pageMargins left="0.7" right="0.7" top="0.75" bottom="0.75" header="0.3" footer="0.3"/>
  <pageSetup scale="8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3DD8-507C-4E94-AD68-E674C6F28798}">
  <sheetPr>
    <pageSetUpPr fitToPage="1"/>
  </sheetPr>
  <dimension ref="A2:O25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10</v>
      </c>
      <c r="B4" s="55" t="s">
        <v>147</v>
      </c>
      <c r="C4" s="55" t="s">
        <v>446</v>
      </c>
      <c r="D4" s="55">
        <v>1</v>
      </c>
      <c r="F4" s="55" t="s">
        <v>10</v>
      </c>
      <c r="G4" s="60" t="s">
        <v>147</v>
      </c>
      <c r="H4" s="55" t="s">
        <v>194</v>
      </c>
      <c r="I4" s="60">
        <v>22</v>
      </c>
    </row>
    <row r="5" spans="1:15" x14ac:dyDescent="0.25">
      <c r="A5" s="55"/>
      <c r="B5" s="55" t="s">
        <v>164</v>
      </c>
      <c r="C5" s="55" t="s">
        <v>447</v>
      </c>
      <c r="D5" s="55">
        <v>1</v>
      </c>
      <c r="F5" s="55"/>
      <c r="G5" s="55" t="s">
        <v>147</v>
      </c>
      <c r="H5" s="55" t="s">
        <v>432</v>
      </c>
      <c r="I5" s="55">
        <v>3</v>
      </c>
    </row>
    <row r="6" spans="1:15" x14ac:dyDescent="0.25">
      <c r="A6" s="55"/>
      <c r="B6" s="55" t="s">
        <v>158</v>
      </c>
      <c r="C6" s="55" t="s">
        <v>448</v>
      </c>
      <c r="D6" s="55">
        <v>1</v>
      </c>
      <c r="F6" s="55"/>
      <c r="G6" s="55" t="s">
        <v>147</v>
      </c>
      <c r="H6" s="55" t="s">
        <v>433</v>
      </c>
      <c r="I6" s="55">
        <v>1</v>
      </c>
    </row>
    <row r="7" spans="1:15" x14ac:dyDescent="0.25">
      <c r="A7" s="55"/>
      <c r="B7" s="55" t="s">
        <v>147</v>
      </c>
      <c r="C7" s="55" t="s">
        <v>433</v>
      </c>
      <c r="D7" s="55">
        <v>1</v>
      </c>
      <c r="F7" s="55"/>
      <c r="G7" s="55" t="s">
        <v>158</v>
      </c>
      <c r="H7" s="55" t="s">
        <v>434</v>
      </c>
      <c r="I7" s="55">
        <v>1</v>
      </c>
    </row>
    <row r="8" spans="1:15" x14ac:dyDescent="0.25">
      <c r="A8" s="55"/>
      <c r="B8" s="55" t="s">
        <v>147</v>
      </c>
      <c r="C8" s="55" t="s">
        <v>449</v>
      </c>
      <c r="D8" s="55">
        <v>1</v>
      </c>
      <c r="F8" s="55"/>
      <c r="G8" s="55" t="s">
        <v>147</v>
      </c>
      <c r="H8" s="55" t="s">
        <v>435</v>
      </c>
      <c r="I8" s="55">
        <v>1</v>
      </c>
    </row>
    <row r="9" spans="1:15" x14ac:dyDescent="0.25">
      <c r="A9" s="55"/>
      <c r="B9" s="60" t="s">
        <v>147</v>
      </c>
      <c r="C9" s="55" t="s">
        <v>194</v>
      </c>
      <c r="D9" s="55">
        <v>3</v>
      </c>
      <c r="F9" s="55"/>
      <c r="G9" s="55" t="s">
        <v>147</v>
      </c>
      <c r="H9" s="55" t="s">
        <v>436</v>
      </c>
      <c r="I9" s="55">
        <v>1</v>
      </c>
    </row>
    <row r="10" spans="1:15" x14ac:dyDescent="0.25">
      <c r="A10" s="55"/>
      <c r="B10" s="55" t="s">
        <v>158</v>
      </c>
      <c r="C10" s="55" t="s">
        <v>439</v>
      </c>
      <c r="D10" s="55">
        <v>1</v>
      </c>
      <c r="F10" s="55"/>
      <c r="G10" s="55" t="s">
        <v>147</v>
      </c>
      <c r="H10" s="55" t="s">
        <v>437</v>
      </c>
      <c r="I10" s="55">
        <v>1</v>
      </c>
    </row>
    <row r="11" spans="1:15" x14ac:dyDescent="0.25">
      <c r="A11" s="55"/>
      <c r="B11" s="55" t="s">
        <v>147</v>
      </c>
      <c r="C11" s="55" t="s">
        <v>450</v>
      </c>
      <c r="D11" s="55">
        <v>1</v>
      </c>
      <c r="F11" s="55"/>
      <c r="G11" s="55" t="s">
        <v>147</v>
      </c>
      <c r="H11" s="55" t="s">
        <v>438</v>
      </c>
      <c r="I11" s="55">
        <v>1</v>
      </c>
    </row>
    <row r="12" spans="1:15" x14ac:dyDescent="0.25">
      <c r="F12" s="55"/>
      <c r="G12" s="55" t="s">
        <v>158</v>
      </c>
      <c r="H12" s="55" t="s">
        <v>439</v>
      </c>
      <c r="I12" s="55">
        <v>1</v>
      </c>
    </row>
    <row r="13" spans="1:15" x14ac:dyDescent="0.25">
      <c r="F13" s="55"/>
      <c r="G13" s="55" t="s">
        <v>158</v>
      </c>
      <c r="H13" s="55" t="s">
        <v>440</v>
      </c>
      <c r="I13" s="55">
        <v>1</v>
      </c>
    </row>
    <row r="14" spans="1:15" ht="15.75" x14ac:dyDescent="0.25">
      <c r="A14" s="63" t="s">
        <v>144</v>
      </c>
      <c r="B14" s="63" t="s">
        <v>145</v>
      </c>
      <c r="C14" s="64" t="s">
        <v>146</v>
      </c>
      <c r="F14" s="55"/>
      <c r="G14" s="55" t="s">
        <v>147</v>
      </c>
      <c r="H14" s="55" t="s">
        <v>441</v>
      </c>
      <c r="I14" s="55">
        <v>1</v>
      </c>
    </row>
    <row r="16" spans="1:15" x14ac:dyDescent="0.25">
      <c r="A16" s="55" t="s">
        <v>10</v>
      </c>
      <c r="B16" s="55" t="s">
        <v>147</v>
      </c>
      <c r="C16" s="55" t="s">
        <v>451</v>
      </c>
      <c r="D16" s="55">
        <v>1</v>
      </c>
    </row>
    <row r="17" spans="1:9" ht="15.75" x14ac:dyDescent="0.25">
      <c r="A17" s="55"/>
      <c r="B17" s="55" t="s">
        <v>147</v>
      </c>
      <c r="C17" s="55" t="s">
        <v>433</v>
      </c>
      <c r="D17" s="55">
        <v>1</v>
      </c>
      <c r="F17" s="71" t="s">
        <v>144</v>
      </c>
      <c r="G17" s="69" t="s">
        <v>145</v>
      </c>
      <c r="H17" s="70" t="s">
        <v>143</v>
      </c>
    </row>
    <row r="18" spans="1:9" x14ac:dyDescent="0.25">
      <c r="A18" s="55"/>
      <c r="B18" s="55" t="s">
        <v>147</v>
      </c>
      <c r="C18" s="55" t="s">
        <v>452</v>
      </c>
      <c r="D18" s="55">
        <v>1</v>
      </c>
    </row>
    <row r="19" spans="1:9" x14ac:dyDescent="0.25">
      <c r="A19" s="55"/>
      <c r="B19" s="55" t="s">
        <v>147</v>
      </c>
      <c r="C19" s="55" t="s">
        <v>453</v>
      </c>
      <c r="D19" s="55">
        <v>1</v>
      </c>
      <c r="F19" s="55" t="s">
        <v>10</v>
      </c>
      <c r="G19" s="60" t="s">
        <v>147</v>
      </c>
      <c r="H19" s="60" t="s">
        <v>204</v>
      </c>
      <c r="I19" s="60">
        <v>20</v>
      </c>
    </row>
    <row r="20" spans="1:9" x14ac:dyDescent="0.25">
      <c r="A20" s="55"/>
      <c r="B20" s="60" t="s">
        <v>147</v>
      </c>
      <c r="C20" s="55" t="s">
        <v>194</v>
      </c>
      <c r="D20" s="55">
        <v>1</v>
      </c>
      <c r="F20" s="55"/>
      <c r="G20" s="55" t="s">
        <v>147</v>
      </c>
      <c r="H20" s="55" t="s">
        <v>435</v>
      </c>
      <c r="I20" s="55">
        <v>5</v>
      </c>
    </row>
    <row r="21" spans="1:9" x14ac:dyDescent="0.25">
      <c r="A21" s="55"/>
      <c r="B21" s="60" t="s">
        <v>147</v>
      </c>
      <c r="C21" s="60" t="s">
        <v>204</v>
      </c>
      <c r="D21" s="55">
        <v>1</v>
      </c>
      <c r="F21" s="55"/>
      <c r="G21" s="55" t="s">
        <v>147</v>
      </c>
      <c r="H21" s="55" t="s">
        <v>433</v>
      </c>
      <c r="I21" s="55">
        <v>2</v>
      </c>
    </row>
    <row r="22" spans="1:9" x14ac:dyDescent="0.25">
      <c r="A22" s="55"/>
      <c r="B22" s="55" t="s">
        <v>147</v>
      </c>
      <c r="C22" s="55" t="s">
        <v>454</v>
      </c>
      <c r="D22" s="55">
        <v>1</v>
      </c>
      <c r="F22" s="55"/>
      <c r="G22" s="55" t="s">
        <v>147</v>
      </c>
      <c r="H22" s="55" t="s">
        <v>442</v>
      </c>
      <c r="I22" s="55">
        <v>1</v>
      </c>
    </row>
    <row r="23" spans="1:9" x14ac:dyDescent="0.25">
      <c r="F23" s="55"/>
      <c r="G23" s="55" t="s">
        <v>147</v>
      </c>
      <c r="H23" s="55" t="s">
        <v>443</v>
      </c>
      <c r="I23" s="55">
        <v>1</v>
      </c>
    </row>
    <row r="24" spans="1:9" x14ac:dyDescent="0.25">
      <c r="F24" s="55"/>
      <c r="G24" s="55" t="s">
        <v>158</v>
      </c>
      <c r="H24" s="55" t="s">
        <v>444</v>
      </c>
      <c r="I24" s="55">
        <v>1</v>
      </c>
    </row>
    <row r="25" spans="1:9" x14ac:dyDescent="0.25">
      <c r="F25" s="55"/>
      <c r="G25" s="55" t="s">
        <v>147</v>
      </c>
      <c r="H25" s="55" t="s">
        <v>445</v>
      </c>
      <c r="I25" s="55">
        <v>1</v>
      </c>
    </row>
  </sheetData>
  <pageMargins left="0.7" right="0.7" top="0.75" bottom="0.75" header="0.3" footer="0.3"/>
  <pageSetup scale="8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3612-3A42-433F-9CAC-1D44EF3AD3E9}">
  <sheetPr>
    <pageSetUpPr fitToPage="1"/>
  </sheetPr>
  <dimension ref="A2:O18"/>
  <sheetViews>
    <sheetView workbookViewId="0"/>
  </sheetViews>
  <sheetFormatPr defaultRowHeight="15" x14ac:dyDescent="0.25"/>
  <cols>
    <col min="1" max="1" width="15.85546875" customWidth="1"/>
    <col min="2" max="2" width="6.28515625" bestFit="1" customWidth="1"/>
    <col min="3" max="3" width="37" customWidth="1"/>
    <col min="4" max="4" width="4" customWidth="1"/>
    <col min="6" max="6" width="10.42578125" bestFit="1" customWidth="1"/>
    <col min="7" max="7" width="6.28515625" bestFit="1" customWidth="1"/>
    <col min="8" max="8" width="37.42578125" bestFit="1" customWidth="1"/>
    <col min="9" max="9" width="5.42578125" customWidth="1"/>
    <col min="11" max="11" width="10.42578125" bestFit="1" customWidth="1"/>
    <col min="12" max="12" width="6.28515625" bestFit="1" customWidth="1"/>
    <col min="16" max="16" width="10.42578125" bestFit="1" customWidth="1"/>
    <col min="17" max="17" width="6.28515625" bestFit="1" customWidth="1"/>
    <col min="18" max="18" width="18.7109375" customWidth="1"/>
  </cols>
  <sheetData>
    <row r="2" spans="1:15" ht="15.75" x14ac:dyDescent="0.25">
      <c r="A2" s="68" t="s">
        <v>144</v>
      </c>
      <c r="B2" s="69" t="s">
        <v>145</v>
      </c>
      <c r="C2" s="70" t="s">
        <v>141</v>
      </c>
      <c r="D2" s="66"/>
      <c r="E2" s="67"/>
      <c r="F2" s="71" t="s">
        <v>144</v>
      </c>
      <c r="G2" s="69" t="s">
        <v>145</v>
      </c>
      <c r="H2" s="70" t="s">
        <v>142</v>
      </c>
      <c r="I2" s="66"/>
      <c r="J2" s="67"/>
      <c r="O2" s="66"/>
    </row>
    <row r="4" spans="1:15" x14ac:dyDescent="0.25">
      <c r="A4" s="55" t="s">
        <v>2</v>
      </c>
      <c r="B4" s="55" t="s">
        <v>164</v>
      </c>
      <c r="C4" s="55" t="s">
        <v>459</v>
      </c>
      <c r="D4" s="55">
        <v>1</v>
      </c>
      <c r="F4" s="55" t="s">
        <v>2</v>
      </c>
      <c r="G4" s="60" t="s">
        <v>147</v>
      </c>
      <c r="H4" s="55" t="s">
        <v>455</v>
      </c>
      <c r="I4" s="60">
        <v>1</v>
      </c>
    </row>
    <row r="5" spans="1:15" x14ac:dyDescent="0.25">
      <c r="A5" s="55"/>
      <c r="B5" s="55" t="s">
        <v>158</v>
      </c>
      <c r="C5" s="55" t="s">
        <v>460</v>
      </c>
      <c r="D5" s="55">
        <v>1</v>
      </c>
      <c r="F5" s="55"/>
      <c r="G5" s="55" t="s">
        <v>147</v>
      </c>
      <c r="H5" s="55" t="s">
        <v>456</v>
      </c>
      <c r="I5" s="55">
        <v>1</v>
      </c>
    </row>
    <row r="6" spans="1:15" x14ac:dyDescent="0.25">
      <c r="A6" s="55"/>
      <c r="B6" s="55" t="s">
        <v>152</v>
      </c>
      <c r="C6" s="55" t="s">
        <v>461</v>
      </c>
      <c r="D6" s="55">
        <v>1</v>
      </c>
      <c r="F6" s="55"/>
      <c r="G6" s="55"/>
      <c r="H6" s="55"/>
      <c r="I6" s="55"/>
    </row>
    <row r="7" spans="1:15" x14ac:dyDescent="0.25">
      <c r="A7" s="55"/>
      <c r="B7" s="55" t="s">
        <v>152</v>
      </c>
      <c r="C7" s="55" t="s">
        <v>462</v>
      </c>
      <c r="D7" s="55">
        <v>1</v>
      </c>
      <c r="F7" s="55"/>
      <c r="G7" s="55"/>
      <c r="H7" s="55"/>
      <c r="I7" s="55"/>
    </row>
    <row r="8" spans="1:15" x14ac:dyDescent="0.25">
      <c r="A8" s="55"/>
      <c r="B8" s="55" t="s">
        <v>164</v>
      </c>
      <c r="C8" s="55" t="s">
        <v>463</v>
      </c>
      <c r="D8" s="55">
        <v>1</v>
      </c>
      <c r="F8" s="55"/>
      <c r="G8" s="55"/>
      <c r="H8" s="55"/>
      <c r="I8" s="55"/>
    </row>
    <row r="9" spans="1:15" x14ac:dyDescent="0.25">
      <c r="A9" s="55"/>
      <c r="B9" s="55" t="s">
        <v>147</v>
      </c>
      <c r="C9" s="55" t="s">
        <v>464</v>
      </c>
      <c r="D9" s="55">
        <v>1</v>
      </c>
    </row>
    <row r="12" spans="1:15" ht="15.75" x14ac:dyDescent="0.25">
      <c r="A12" s="63" t="s">
        <v>144</v>
      </c>
      <c r="B12" s="63" t="s">
        <v>145</v>
      </c>
      <c r="C12" s="64" t="s">
        <v>146</v>
      </c>
      <c r="F12" s="71" t="s">
        <v>144</v>
      </c>
      <c r="G12" s="69" t="s">
        <v>145</v>
      </c>
      <c r="H12" s="70" t="s">
        <v>143</v>
      </c>
    </row>
    <row r="14" spans="1:15" x14ac:dyDescent="0.25">
      <c r="A14" s="55" t="s">
        <v>2</v>
      </c>
      <c r="B14" s="55" t="s">
        <v>164</v>
      </c>
      <c r="C14" s="55" t="s">
        <v>459</v>
      </c>
      <c r="D14" s="55">
        <v>1</v>
      </c>
      <c r="F14" s="55" t="s">
        <v>2</v>
      </c>
      <c r="G14" s="60" t="s">
        <v>147</v>
      </c>
      <c r="H14" s="60" t="s">
        <v>457</v>
      </c>
      <c r="I14" s="60">
        <v>1</v>
      </c>
    </row>
    <row r="15" spans="1:15" x14ac:dyDescent="0.25">
      <c r="A15" s="55"/>
      <c r="B15" s="60" t="s">
        <v>147</v>
      </c>
      <c r="C15" s="55" t="s">
        <v>455</v>
      </c>
      <c r="D15" s="60">
        <v>1</v>
      </c>
      <c r="F15" s="55"/>
      <c r="G15" s="55" t="s">
        <v>164</v>
      </c>
      <c r="H15" s="55" t="s">
        <v>458</v>
      </c>
      <c r="I15" s="55">
        <v>1</v>
      </c>
    </row>
    <row r="16" spans="1:15" x14ac:dyDescent="0.25">
      <c r="A16" s="55"/>
      <c r="B16" s="55" t="s">
        <v>164</v>
      </c>
      <c r="C16" s="55" t="s">
        <v>465</v>
      </c>
      <c r="D16" s="55">
        <v>1</v>
      </c>
      <c r="F16" s="55"/>
      <c r="G16" s="55"/>
      <c r="H16" s="55"/>
      <c r="I16" s="55"/>
    </row>
    <row r="17" spans="1:9" x14ac:dyDescent="0.25">
      <c r="A17" s="55"/>
      <c r="B17" s="55" t="s">
        <v>158</v>
      </c>
      <c r="C17" s="55" t="s">
        <v>466</v>
      </c>
      <c r="D17" s="55">
        <v>1</v>
      </c>
      <c r="F17" s="55"/>
      <c r="G17" s="55"/>
      <c r="H17" s="55"/>
      <c r="I17" s="55"/>
    </row>
    <row r="18" spans="1:9" x14ac:dyDescent="0.25">
      <c r="A18" s="55"/>
      <c r="B18" s="55"/>
      <c r="C18" s="55"/>
      <c r="D18" s="55"/>
      <c r="F18" s="55"/>
      <c r="G18" s="55"/>
      <c r="H18" s="55"/>
      <c r="I18" s="55"/>
    </row>
  </sheetData>
  <pageMargins left="0.7" right="0.7" top="0.75" bottom="0.75" header="0.3" footer="0.3"/>
  <pageSetup scale="8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71A5-25E1-4451-B0B7-CB0C1AE37849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</vt:i4>
      </vt:variant>
    </vt:vector>
  </HeadingPairs>
  <TitlesOfParts>
    <vt:vector size="33" baseType="lpstr">
      <vt:lpstr>080624 PRIM TALLY Official</vt:lpstr>
      <vt:lpstr>080624 PRIM TALLY</vt:lpstr>
      <vt:lpstr>Advance by Precinct</vt:lpstr>
      <vt:lpstr> Precinct1</vt:lpstr>
      <vt:lpstr>Advanced</vt:lpstr>
      <vt:lpstr>Adrian</vt:lpstr>
      <vt:lpstr>Banner</vt:lpstr>
      <vt:lpstr>Douglas</vt:lpstr>
      <vt:lpstr>Cedar</vt:lpstr>
      <vt:lpstr>Franklin</vt:lpstr>
      <vt:lpstr>Franklin East</vt:lpstr>
      <vt:lpstr>Garfield</vt:lpstr>
      <vt:lpstr>Grant</vt:lpstr>
      <vt:lpstr>Jefferson</vt:lpstr>
      <vt:lpstr>Liberty</vt:lpstr>
      <vt:lpstr>Liberty Northeast</vt:lpstr>
      <vt:lpstr>Lincoln</vt:lpstr>
      <vt:lpstr>Netawaka</vt:lpstr>
      <vt:lpstr>Soldier</vt:lpstr>
      <vt:lpstr>St. Creek</vt:lpstr>
      <vt:lpstr>St. Creek North</vt:lpstr>
      <vt:lpstr>Ward 1</vt:lpstr>
      <vt:lpstr>Ward 1 City Lake</vt:lpstr>
      <vt:lpstr>Ward 1 Illinois East</vt:lpstr>
      <vt:lpstr>Ward 2</vt:lpstr>
      <vt:lpstr>Ward 3</vt:lpstr>
      <vt:lpstr>Ward 3 Industrial Park</vt:lpstr>
      <vt:lpstr>Washington</vt:lpstr>
      <vt:lpstr>Whiting</vt:lpstr>
      <vt:lpstr>Sheet1</vt:lpstr>
      <vt:lpstr>'080624 PRIM TALLY'!Print_Area</vt:lpstr>
      <vt:lpstr>'080624 PRIM TALLY Official'!Print_Area</vt:lpstr>
      <vt:lpstr>'Advance by Precinct'!Print_Area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Jo Alley</dc:creator>
  <cp:lastModifiedBy>Amos, Brian</cp:lastModifiedBy>
  <cp:lastPrinted>2024-08-16T13:42:34Z</cp:lastPrinted>
  <dcterms:created xsi:type="dcterms:W3CDTF">2020-07-24T13:33:53Z</dcterms:created>
  <dcterms:modified xsi:type="dcterms:W3CDTF">2025-05-15T18:37:14Z</dcterms:modified>
</cp:coreProperties>
</file>