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9"/>
  <workbookPr/>
  <mc:AlternateContent xmlns:mc="http://schemas.openxmlformats.org/markup-compatibility/2006">
    <mc:Choice Requires="x15">
      <x15ac:absPath xmlns:x15ac="http://schemas.microsoft.com/office/spreadsheetml/2010/11/ac" url="C:\Users\david\Downloads\"/>
    </mc:Choice>
  </mc:AlternateContent>
  <xr:revisionPtr revIDLastSave="0" documentId="8_{0858A698-ABBC-41F4-9804-33C6A10F267A}" xr6:coauthVersionLast="47" xr6:coauthVersionMax="47" xr10:uidLastSave="{00000000-0000-0000-0000-000000000000}"/>
  <bookViews>
    <workbookView xWindow="-108" yWindow="-108" windowWidth="23256" windowHeight="12456" xr2:uid="{FCA1E7F1-4A58-43EE-8740-E660C89BCB2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72" i="1" l="1"/>
  <c r="V71" i="1"/>
  <c r="V68" i="1"/>
  <c r="V65" i="1"/>
  <c r="V62" i="1"/>
  <c r="V59" i="1"/>
  <c r="V56" i="1"/>
  <c r="V53" i="1"/>
  <c r="V50" i="1"/>
  <c r="V47" i="1"/>
  <c r="V44" i="1"/>
  <c r="V41" i="1"/>
  <c r="V38" i="1"/>
  <c r="V35" i="1"/>
  <c r="V32" i="1"/>
  <c r="V29" i="1"/>
  <c r="V26" i="1"/>
  <c r="V23" i="1"/>
  <c r="V20" i="1"/>
  <c r="V19" i="1"/>
  <c r="V18" i="1"/>
  <c r="V15" i="1"/>
  <c r="V12" i="1"/>
  <c r="V10" i="1"/>
  <c r="V7" i="1"/>
  <c r="V6" i="1"/>
  <c r="V4" i="1"/>
</calcChain>
</file>

<file path=xl/sharedStrings.xml><?xml version="1.0" encoding="utf-8"?>
<sst xmlns="http://schemas.openxmlformats.org/spreadsheetml/2006/main" count="95" uniqueCount="73">
  <si>
    <r>
      <t>2024 Kearny County Primary Election</t>
    </r>
    <r>
      <rPr>
        <b/>
        <sz val="12"/>
        <rFont val="Arial"/>
        <family val="2"/>
      </rPr>
      <t xml:space="preserve">                    OFFICIAL RESULTS</t>
    </r>
  </si>
  <si>
    <t xml:space="preserve">PARTY </t>
  </si>
  <si>
    <t xml:space="preserve">LAKIN CITY #1 </t>
  </si>
  <si>
    <t>LAKIN CITY #1 ADVANCE</t>
  </si>
  <si>
    <t>LAKIN TWP #1</t>
  </si>
  <si>
    <t>LAKIN TWP #1 ADVANCE</t>
  </si>
  <si>
    <t xml:space="preserve">LAKIN #2 </t>
  </si>
  <si>
    <t>LAKIN #2 ADVANCE</t>
  </si>
  <si>
    <t>DEERFIELD</t>
  </si>
  <si>
    <t>DEERFIELD ADVANCE</t>
  </si>
  <si>
    <t xml:space="preserve">SOUTHSIDE TWP </t>
  </si>
  <si>
    <t>SOUTHSIDE TWP ADVANCE</t>
  </si>
  <si>
    <t xml:space="preserve">E. HIBBARD TWP </t>
  </si>
  <si>
    <t>E. HIBBARD TWP ADVANCE</t>
  </si>
  <si>
    <t xml:space="preserve">W. HIBBARD TWP </t>
  </si>
  <si>
    <t>W. HIBBARD TWP ADVANCE</t>
  </si>
  <si>
    <t xml:space="preserve">KENDALL TWP </t>
  </si>
  <si>
    <t>KENDALL TWP ADVANCE</t>
  </si>
  <si>
    <t xml:space="preserve">HARTLAND TWP </t>
  </si>
  <si>
    <t>HARTLAND TWP ADVANCE</t>
  </si>
  <si>
    <t xml:space="preserve">TOTAL COUNTY ADVANCE </t>
  </si>
  <si>
    <t xml:space="preserve">TOTAL </t>
  </si>
  <si>
    <t>United States House of Representatives</t>
  </si>
  <si>
    <t xml:space="preserve"> </t>
  </si>
  <si>
    <t>Paul Buskirk</t>
  </si>
  <si>
    <t>DEM</t>
  </si>
  <si>
    <t>Eric Bloom</t>
  </si>
  <si>
    <t>REP</t>
  </si>
  <si>
    <t>Tracey Mann</t>
  </si>
  <si>
    <t>State Senate 39th District</t>
  </si>
  <si>
    <t>Isidro Marino</t>
  </si>
  <si>
    <t>William Clifford</t>
  </si>
  <si>
    <t>State Representative 122nd District</t>
  </si>
  <si>
    <t>Lon E. Pishney</t>
  </si>
  <si>
    <t>County Commissioner 2nd District</t>
  </si>
  <si>
    <t>Charles R (Chuck) Lane</t>
  </si>
  <si>
    <t>Rodney Edgington</t>
  </si>
  <si>
    <t>Matthew Medill</t>
  </si>
  <si>
    <t>County Commissioner 3rd District</t>
  </si>
  <si>
    <t>Randy L. Combs</t>
  </si>
  <si>
    <t>County Clerk</t>
  </si>
  <si>
    <t>Jana Jenkinon</t>
  </si>
  <si>
    <t>County Treasurer</t>
  </si>
  <si>
    <t>Jennifer M. Groth</t>
  </si>
  <si>
    <t>County Register of Deeds</t>
  </si>
  <si>
    <t>Melissa (Missie) Gerritzen</t>
  </si>
  <si>
    <t>County Attorney</t>
  </si>
  <si>
    <t>Eloy Gallegos</t>
  </si>
  <si>
    <t>County Sheriff</t>
  </si>
  <si>
    <t>Mike Fontenot</t>
  </si>
  <si>
    <t>Deerfield Township Trustee</t>
  </si>
  <si>
    <t>Melvin Webb</t>
  </si>
  <si>
    <t>Deerfield Township Treasurer</t>
  </si>
  <si>
    <t>Carol Hudson</t>
  </si>
  <si>
    <t>East Hibbard Township Treasurer</t>
  </si>
  <si>
    <t>Damon Grusing</t>
  </si>
  <si>
    <t>Hartland Township Treasurer</t>
  </si>
  <si>
    <t>Anna McPherson</t>
  </si>
  <si>
    <t>Kendall Township Treasurer</t>
  </si>
  <si>
    <t>Laura Matkin - Write in</t>
  </si>
  <si>
    <t>Lakin Township Trustee</t>
  </si>
  <si>
    <t>Gayle Ansel</t>
  </si>
  <si>
    <t>Lakin Township Treasurer</t>
  </si>
  <si>
    <t>Phyllis E. Hendrix</t>
  </si>
  <si>
    <t>Southside Township Trustee</t>
  </si>
  <si>
    <t>Garnett Hartman</t>
  </si>
  <si>
    <t>Southside Township Treasurer</t>
  </si>
  <si>
    <t>Kelsie M Hayzlett</t>
  </si>
  <si>
    <t>West Hibbard Township Trustee</t>
  </si>
  <si>
    <t>Greg Williams</t>
  </si>
  <si>
    <t>Special Question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</si>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</sst>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b/>
      <sz val="9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1"/>
      <color indexed="12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1"/>
      <color rgb="FFFF0000"/>
      <name val="Arial"/>
      <family val="2"/>
    </font>
    <font>
      <b/>
      <sz val="11"/>
      <color rgb="FF0000FF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11"/>
      <color rgb="FF92D050"/>
      <name val="Arial"/>
      <family val="2"/>
    </font>
    <font>
      <sz val="11"/>
      <color rgb="FFFF0000"/>
      <name val="Arial"/>
      <family val="2"/>
    </font>
    <font>
      <b/>
      <sz val="11"/>
      <color indexed="10"/>
      <name val="Arial"/>
      <family val="2"/>
    </font>
    <font>
      <sz val="10"/>
      <color indexed="12"/>
      <name val="Arial"/>
      <family val="2"/>
    </font>
    <font>
      <sz val="11"/>
      <color indexed="12"/>
      <name val="Arial"/>
      <family val="2"/>
    </font>
    <font>
      <sz val="11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vertical="top" wrapText="1"/>
    </xf>
    <xf numFmtId="0" fontId="2" fillId="0" borderId="1" xfId="0" applyFont="1" applyBorder="1" applyAlignment="1">
      <alignment textRotation="90" wrapText="1"/>
    </xf>
    <xf numFmtId="0" fontId="3" fillId="0" borderId="1" xfId="0" applyFont="1" applyBorder="1" applyAlignment="1">
      <alignment textRotation="90" wrapText="1"/>
    </xf>
    <xf numFmtId="0" fontId="4" fillId="0" borderId="1" xfId="0" applyFont="1" applyBorder="1" applyAlignment="1">
      <alignment textRotation="90" wrapText="1"/>
    </xf>
    <xf numFmtId="0" fontId="4" fillId="0" borderId="2" xfId="0" applyFont="1" applyBorder="1" applyAlignment="1">
      <alignment horizontal="left" wrapText="1"/>
    </xf>
    <xf numFmtId="0" fontId="5" fillId="0" borderId="2" xfId="0" applyFont="1" applyBorder="1" applyAlignment="1">
      <alignment horizontal="center" wrapText="1"/>
    </xf>
    <xf numFmtId="0" fontId="4" fillId="0" borderId="2" xfId="0" applyFont="1" applyBorder="1" applyAlignment="1">
      <alignment horizontal="right" wrapText="1"/>
    </xf>
    <xf numFmtId="0" fontId="6" fillId="0" borderId="2" xfId="0" applyFont="1" applyBorder="1" applyAlignment="1">
      <alignment horizontal="right"/>
    </xf>
    <xf numFmtId="0" fontId="7" fillId="0" borderId="0" xfId="0" applyFont="1"/>
    <xf numFmtId="0" fontId="7" fillId="0" borderId="2" xfId="0" applyFont="1" applyBorder="1" applyAlignment="1">
      <alignment horizontal="right" wrapText="1"/>
    </xf>
    <xf numFmtId="0" fontId="8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right" wrapText="1"/>
    </xf>
    <xf numFmtId="0" fontId="3" fillId="0" borderId="2" xfId="0" applyFont="1" applyBorder="1" applyAlignment="1">
      <alignment horizontal="right"/>
    </xf>
    <xf numFmtId="0" fontId="9" fillId="0" borderId="2" xfId="0" applyFont="1" applyBorder="1" applyAlignment="1">
      <alignment horizontal="center" wrapText="1"/>
    </xf>
    <xf numFmtId="0" fontId="10" fillId="0" borderId="2" xfId="0" applyFont="1" applyBorder="1" applyAlignment="1">
      <alignment horizontal="right" wrapText="1"/>
    </xf>
    <xf numFmtId="0" fontId="11" fillId="0" borderId="2" xfId="0" applyFont="1" applyBorder="1" applyAlignment="1">
      <alignment horizontal="right" wrapText="1"/>
    </xf>
    <xf numFmtId="0" fontId="2" fillId="0" borderId="2" xfId="0" applyFont="1" applyBorder="1" applyAlignment="1">
      <alignment horizontal="left" wrapText="1"/>
    </xf>
    <xf numFmtId="0" fontId="12" fillId="0" borderId="2" xfId="0" applyFont="1" applyBorder="1" applyAlignment="1">
      <alignment horizontal="center" wrapText="1"/>
    </xf>
    <xf numFmtId="0" fontId="13" fillId="0" borderId="0" xfId="0" applyFont="1"/>
    <xf numFmtId="0" fontId="14" fillId="0" borderId="2" xfId="0" applyFont="1" applyBorder="1" applyAlignment="1">
      <alignment horizontal="center" wrapText="1"/>
    </xf>
    <xf numFmtId="0" fontId="6" fillId="0" borderId="0" xfId="0" applyFont="1"/>
    <xf numFmtId="0" fontId="15" fillId="0" borderId="0" xfId="0" applyFont="1"/>
    <xf numFmtId="0" fontId="4" fillId="0" borderId="2" xfId="0" applyFont="1" applyBorder="1" applyAlignment="1">
      <alignment horizontal="left"/>
    </xf>
    <xf numFmtId="0" fontId="16" fillId="0" borderId="2" xfId="0" applyFont="1" applyBorder="1" applyAlignment="1">
      <alignment horizontal="center" wrapText="1"/>
    </xf>
    <xf numFmtId="0" fontId="7" fillId="0" borderId="2" xfId="0" applyFont="1" applyBorder="1" applyAlignment="1">
      <alignment horizontal="right"/>
    </xf>
    <xf numFmtId="0" fontId="7" fillId="0" borderId="2" xfId="0" applyFont="1" applyBorder="1" applyAlignment="1">
      <alignment horizontal="left" wrapText="1"/>
    </xf>
    <xf numFmtId="0" fontId="7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5" fillId="0" borderId="2" xfId="0" applyFont="1" applyBorder="1" applyAlignment="1">
      <alignment horizontal="right" wrapText="1"/>
    </xf>
    <xf numFmtId="0" fontId="16" fillId="0" borderId="2" xfId="0" applyFont="1" applyBorder="1" applyAlignment="1">
      <alignment horizontal="right" wrapText="1"/>
    </xf>
    <xf numFmtId="0" fontId="17" fillId="0" borderId="2" xfId="0" applyFont="1" applyBorder="1" applyAlignment="1">
      <alignment horizontal="right" wrapText="1"/>
    </xf>
    <xf numFmtId="0" fontId="7" fillId="0" borderId="0" xfId="0" applyFont="1" applyAlignment="1">
      <alignment horizontal="right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right" wrapText="1"/>
    </xf>
    <xf numFmtId="0" fontId="6" fillId="0" borderId="0" xfId="0" applyFont="1" applyAlignment="1">
      <alignment horizontal="right"/>
    </xf>
    <xf numFmtId="0" fontId="3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DB0FB-4367-41D3-AEED-5869E5ECD370}">
  <dimension ref="A1:W73"/>
  <sheetViews>
    <sheetView tabSelected="1" workbookViewId="0">
      <selection sqref="A1:W73"/>
    </sheetView>
  </sheetViews>
  <sheetFormatPr defaultRowHeight="14.45"/>
  <sheetData>
    <row r="1" spans="1:23" ht="126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</row>
    <row r="2" spans="1:23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</row>
    <row r="3" spans="1:23" ht="97.15">
      <c r="A3" s="5" t="s">
        <v>22</v>
      </c>
      <c r="B3" s="6"/>
      <c r="C3" s="7" t="s">
        <v>23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8"/>
      <c r="W3" s="9"/>
    </row>
    <row r="4" spans="1:23" ht="28.15">
      <c r="A4" s="10" t="s">
        <v>24</v>
      </c>
      <c r="B4" s="11" t="s">
        <v>25</v>
      </c>
      <c r="C4" s="12">
        <v>12</v>
      </c>
      <c r="D4" s="12"/>
      <c r="E4" s="12"/>
      <c r="F4" s="12"/>
      <c r="G4" s="12">
        <v>5</v>
      </c>
      <c r="H4" s="12">
        <v>2</v>
      </c>
      <c r="I4" s="12">
        <v>7</v>
      </c>
      <c r="J4" s="12">
        <v>1</v>
      </c>
      <c r="K4" s="12">
        <v>1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3">
        <f>SUM(C4:U4)</f>
        <v>28</v>
      </c>
      <c r="W4" s="9"/>
    </row>
    <row r="5" spans="1:23">
      <c r="A5" s="10"/>
      <c r="B5" s="6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3"/>
      <c r="W5" s="9"/>
    </row>
    <row r="6" spans="1:23" ht="28.15">
      <c r="A6" s="10" t="s">
        <v>26</v>
      </c>
      <c r="B6" s="14" t="s">
        <v>27</v>
      </c>
      <c r="C6" s="12">
        <v>18</v>
      </c>
      <c r="D6" s="12"/>
      <c r="E6" s="12">
        <v>4</v>
      </c>
      <c r="F6" s="12"/>
      <c r="G6" s="12">
        <v>13</v>
      </c>
      <c r="H6" s="12">
        <v>4</v>
      </c>
      <c r="I6" s="12">
        <v>6</v>
      </c>
      <c r="J6" s="12">
        <v>1</v>
      </c>
      <c r="K6" s="12"/>
      <c r="L6" s="12"/>
      <c r="M6" s="12"/>
      <c r="N6" s="12"/>
      <c r="O6" s="12">
        <v>1</v>
      </c>
      <c r="P6" s="12"/>
      <c r="Q6" s="12">
        <v>1</v>
      </c>
      <c r="R6" s="12"/>
      <c r="S6" s="12">
        <v>1</v>
      </c>
      <c r="T6" s="12">
        <v>1</v>
      </c>
      <c r="U6" s="12"/>
      <c r="V6" s="13">
        <f t="shared" ref="V6:V72" si="0">SUM(C6:U6)</f>
        <v>50</v>
      </c>
      <c r="W6" s="9"/>
    </row>
    <row r="7" spans="1:23" ht="28.15">
      <c r="A7" s="10" t="s">
        <v>28</v>
      </c>
      <c r="B7" s="14" t="s">
        <v>27</v>
      </c>
      <c r="C7" s="12">
        <v>120</v>
      </c>
      <c r="D7" s="12">
        <v>19</v>
      </c>
      <c r="E7" s="12">
        <v>28</v>
      </c>
      <c r="F7" s="12">
        <v>4</v>
      </c>
      <c r="G7" s="12">
        <v>90</v>
      </c>
      <c r="H7" s="12">
        <v>23</v>
      </c>
      <c r="I7" s="12">
        <v>49</v>
      </c>
      <c r="J7" s="12">
        <v>1</v>
      </c>
      <c r="K7" s="12">
        <v>35</v>
      </c>
      <c r="L7" s="12">
        <v>4</v>
      </c>
      <c r="M7" s="12">
        <v>11</v>
      </c>
      <c r="N7" s="12">
        <v>8</v>
      </c>
      <c r="O7" s="12">
        <v>2</v>
      </c>
      <c r="P7" s="12"/>
      <c r="Q7" s="12">
        <v>5</v>
      </c>
      <c r="R7" s="12"/>
      <c r="S7" s="12">
        <v>13</v>
      </c>
      <c r="T7" s="12">
        <v>5</v>
      </c>
      <c r="U7" s="12"/>
      <c r="V7" s="13">
        <f t="shared" si="0"/>
        <v>417</v>
      </c>
      <c r="W7" s="9"/>
    </row>
    <row r="8" spans="1:23">
      <c r="A8" s="10"/>
      <c r="B8" s="14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3"/>
      <c r="W8" s="9"/>
    </row>
    <row r="9" spans="1:23" ht="55.9">
      <c r="A9" s="5" t="s">
        <v>29</v>
      </c>
      <c r="B9" s="14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3"/>
      <c r="W9" s="9"/>
    </row>
    <row r="10" spans="1:23" ht="28.15">
      <c r="A10" s="10" t="s">
        <v>30</v>
      </c>
      <c r="B10" s="11" t="s">
        <v>25</v>
      </c>
      <c r="C10" s="12">
        <v>13</v>
      </c>
      <c r="D10" s="12"/>
      <c r="E10" s="12"/>
      <c r="F10" s="12"/>
      <c r="G10" s="12">
        <v>8</v>
      </c>
      <c r="H10" s="12">
        <v>2</v>
      </c>
      <c r="I10" s="12">
        <v>4</v>
      </c>
      <c r="J10" s="12">
        <v>1</v>
      </c>
      <c r="K10" s="12">
        <v>1</v>
      </c>
      <c r="L10" s="12"/>
      <c r="M10" s="12"/>
      <c r="N10" s="12"/>
      <c r="O10" s="12"/>
      <c r="P10" s="12"/>
      <c r="Q10" s="12"/>
      <c r="R10" s="12">
        <v>1</v>
      </c>
      <c r="S10" s="12"/>
      <c r="T10" s="12"/>
      <c r="U10" s="12"/>
      <c r="V10" s="13">
        <f t="shared" si="0"/>
        <v>30</v>
      </c>
      <c r="W10" s="9"/>
    </row>
    <row r="11" spans="1:23">
      <c r="A11" s="15"/>
      <c r="B11" s="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3"/>
      <c r="W11" s="9"/>
    </row>
    <row r="12" spans="1:23" ht="24">
      <c r="A12" s="15" t="s">
        <v>31</v>
      </c>
      <c r="B12" s="14" t="s">
        <v>27</v>
      </c>
      <c r="C12" s="12">
        <v>140</v>
      </c>
      <c r="D12" s="12">
        <v>19</v>
      </c>
      <c r="E12" s="12">
        <v>33</v>
      </c>
      <c r="F12" s="12">
        <v>4</v>
      </c>
      <c r="G12" s="12">
        <v>103</v>
      </c>
      <c r="H12" s="12">
        <v>25</v>
      </c>
      <c r="I12" s="12">
        <v>53</v>
      </c>
      <c r="J12" s="12">
        <v>2</v>
      </c>
      <c r="K12" s="12">
        <v>31</v>
      </c>
      <c r="L12" s="12">
        <v>4</v>
      </c>
      <c r="M12" s="12">
        <v>11</v>
      </c>
      <c r="N12" s="12">
        <v>7</v>
      </c>
      <c r="O12" s="12">
        <v>3</v>
      </c>
      <c r="P12" s="12"/>
      <c r="Q12" s="12">
        <v>5</v>
      </c>
      <c r="R12" s="12"/>
      <c r="S12" s="12">
        <v>13</v>
      </c>
      <c r="T12" s="12">
        <v>5</v>
      </c>
      <c r="U12" s="12"/>
      <c r="V12" s="13">
        <f t="shared" si="0"/>
        <v>458</v>
      </c>
      <c r="W12" s="9"/>
    </row>
    <row r="13" spans="1:23">
      <c r="A13" s="10"/>
      <c r="B13" s="6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3"/>
      <c r="W13" s="9"/>
    </row>
    <row r="14" spans="1:23" ht="69.599999999999994">
      <c r="A14" s="5" t="s">
        <v>32</v>
      </c>
      <c r="B14" s="6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3"/>
      <c r="W14" s="9"/>
    </row>
    <row r="15" spans="1:23" ht="30.6">
      <c r="A15" s="16" t="s">
        <v>33</v>
      </c>
      <c r="B15" s="14" t="s">
        <v>27</v>
      </c>
      <c r="C15" s="12">
        <v>114</v>
      </c>
      <c r="D15" s="12">
        <v>20</v>
      </c>
      <c r="E15" s="12">
        <v>31</v>
      </c>
      <c r="F15" s="12">
        <v>4</v>
      </c>
      <c r="G15" s="12">
        <v>96</v>
      </c>
      <c r="H15" s="12">
        <v>26</v>
      </c>
      <c r="I15" s="12">
        <v>48</v>
      </c>
      <c r="J15" s="12">
        <v>2</v>
      </c>
      <c r="K15" s="12">
        <v>30</v>
      </c>
      <c r="L15" s="12">
        <v>4</v>
      </c>
      <c r="M15" s="12">
        <v>11</v>
      </c>
      <c r="N15" s="12">
        <v>5</v>
      </c>
      <c r="O15" s="12">
        <v>3</v>
      </c>
      <c r="P15" s="12"/>
      <c r="Q15" s="12">
        <v>5</v>
      </c>
      <c r="R15" s="12"/>
      <c r="S15" s="12">
        <v>13</v>
      </c>
      <c r="T15" s="12">
        <v>5</v>
      </c>
      <c r="U15" s="12"/>
      <c r="V15" s="13">
        <f t="shared" si="0"/>
        <v>417</v>
      </c>
      <c r="W15" s="9"/>
    </row>
    <row r="16" spans="1:23" ht="15.6">
      <c r="A16" s="16"/>
      <c r="B16" s="6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3"/>
      <c r="W16" s="9"/>
    </row>
    <row r="17" spans="1:23" ht="78">
      <c r="A17" s="17" t="s">
        <v>34</v>
      </c>
      <c r="B17" s="6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3"/>
      <c r="W17" s="9"/>
    </row>
    <row r="18" spans="1:23" ht="60.6">
      <c r="A18" s="16" t="s">
        <v>35</v>
      </c>
      <c r="B18" s="6" t="s">
        <v>27</v>
      </c>
      <c r="C18" s="12"/>
      <c r="D18" s="12"/>
      <c r="E18" s="12"/>
      <c r="F18" s="12"/>
      <c r="G18" s="12">
        <v>53</v>
      </c>
      <c r="H18" s="12">
        <v>12</v>
      </c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>
        <v>3</v>
      </c>
      <c r="T18" s="12">
        <v>1</v>
      </c>
      <c r="U18" s="12"/>
      <c r="V18" s="13">
        <f t="shared" si="0"/>
        <v>69</v>
      </c>
      <c r="W18" s="9"/>
    </row>
    <row r="19" spans="1:23" ht="45.6">
      <c r="A19" s="16" t="s">
        <v>36</v>
      </c>
      <c r="B19" s="6" t="s">
        <v>27</v>
      </c>
      <c r="C19" s="12"/>
      <c r="D19" s="12"/>
      <c r="E19" s="12"/>
      <c r="F19" s="12"/>
      <c r="G19" s="12">
        <v>32</v>
      </c>
      <c r="H19" s="12">
        <v>8</v>
      </c>
      <c r="I19" s="12"/>
      <c r="J19" s="12"/>
      <c r="K19" s="12"/>
      <c r="L19" s="12"/>
      <c r="M19" s="12"/>
      <c r="N19" s="12"/>
      <c r="O19" s="12"/>
      <c r="P19" s="12"/>
      <c r="Q19" s="12">
        <v>6</v>
      </c>
      <c r="R19" s="12"/>
      <c r="S19" s="12">
        <v>11</v>
      </c>
      <c r="T19" s="12">
        <v>3</v>
      </c>
      <c r="U19" s="12"/>
      <c r="V19" s="13">
        <f t="shared" si="0"/>
        <v>60</v>
      </c>
      <c r="W19" s="9"/>
    </row>
    <row r="20" spans="1:23" ht="45.6">
      <c r="A20" s="16" t="s">
        <v>37</v>
      </c>
      <c r="B20" s="6" t="s">
        <v>27</v>
      </c>
      <c r="C20" s="12"/>
      <c r="D20" s="12"/>
      <c r="E20" s="12"/>
      <c r="F20" s="12"/>
      <c r="G20" s="12">
        <v>20</v>
      </c>
      <c r="H20" s="12">
        <v>8</v>
      </c>
      <c r="I20" s="12"/>
      <c r="J20" s="12"/>
      <c r="K20" s="12"/>
      <c r="L20" s="12"/>
      <c r="M20" s="12"/>
      <c r="N20" s="12"/>
      <c r="O20" s="12"/>
      <c r="P20" s="12"/>
      <c r="Q20" s="12">
        <v>1</v>
      </c>
      <c r="R20" s="12"/>
      <c r="S20" s="12"/>
      <c r="T20" s="12">
        <v>2</v>
      </c>
      <c r="U20" s="12"/>
      <c r="V20" s="13">
        <f t="shared" si="0"/>
        <v>31</v>
      </c>
      <c r="W20" s="9"/>
    </row>
    <row r="21" spans="1:23" ht="15.6">
      <c r="A21" s="16"/>
      <c r="B21" s="6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3"/>
      <c r="W21" s="9"/>
    </row>
    <row r="22" spans="1:23" ht="78">
      <c r="A22" s="17" t="s">
        <v>38</v>
      </c>
      <c r="B22" s="18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3"/>
      <c r="W22" s="9"/>
    </row>
    <row r="23" spans="1:23" ht="45.6">
      <c r="A23" s="16" t="s">
        <v>39</v>
      </c>
      <c r="B23" s="14" t="s">
        <v>27</v>
      </c>
      <c r="C23" s="12"/>
      <c r="D23" s="12"/>
      <c r="E23" s="12"/>
      <c r="F23" s="12"/>
      <c r="G23" s="12"/>
      <c r="H23" s="12"/>
      <c r="I23" s="12">
        <v>53</v>
      </c>
      <c r="J23" s="12">
        <v>2</v>
      </c>
      <c r="K23" s="12">
        <v>31</v>
      </c>
      <c r="L23" s="12">
        <v>4</v>
      </c>
      <c r="M23" s="12">
        <v>10</v>
      </c>
      <c r="N23" s="12">
        <v>7</v>
      </c>
      <c r="O23" s="12">
        <v>3</v>
      </c>
      <c r="P23" s="12"/>
      <c r="Q23" s="12"/>
      <c r="R23" s="12"/>
      <c r="S23" s="12"/>
      <c r="T23" s="12"/>
      <c r="U23" s="12"/>
      <c r="V23" s="13">
        <f t="shared" si="0"/>
        <v>110</v>
      </c>
      <c r="W23" s="9"/>
    </row>
    <row r="24" spans="1:23">
      <c r="A24" s="5"/>
      <c r="B24" s="6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3"/>
      <c r="W24" s="19"/>
    </row>
    <row r="25" spans="1:23" ht="28.15">
      <c r="A25" s="5" t="s">
        <v>40</v>
      </c>
      <c r="B25" s="6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3"/>
      <c r="W25" s="19"/>
    </row>
    <row r="26" spans="1:23" ht="42">
      <c r="A26" s="10" t="s">
        <v>41</v>
      </c>
      <c r="B26" s="14" t="s">
        <v>27</v>
      </c>
      <c r="C26" s="12">
        <v>139</v>
      </c>
      <c r="D26" s="12">
        <v>20</v>
      </c>
      <c r="E26" s="12">
        <v>34</v>
      </c>
      <c r="F26" s="12">
        <v>3</v>
      </c>
      <c r="G26" s="12">
        <v>104</v>
      </c>
      <c r="H26" s="12">
        <v>26</v>
      </c>
      <c r="I26" s="12">
        <v>52</v>
      </c>
      <c r="J26" s="12">
        <v>2</v>
      </c>
      <c r="K26" s="12">
        <v>33</v>
      </c>
      <c r="L26" s="12">
        <v>4</v>
      </c>
      <c r="M26" s="12">
        <v>11</v>
      </c>
      <c r="N26" s="12">
        <v>10</v>
      </c>
      <c r="O26" s="12">
        <v>3</v>
      </c>
      <c r="P26" s="12"/>
      <c r="Q26" s="12">
        <v>7</v>
      </c>
      <c r="R26" s="12"/>
      <c r="S26" s="12">
        <v>14</v>
      </c>
      <c r="T26" s="12">
        <v>6</v>
      </c>
      <c r="U26" s="12"/>
      <c r="V26" s="13">
        <f t="shared" si="0"/>
        <v>468</v>
      </c>
      <c r="W26" s="19"/>
    </row>
    <row r="27" spans="1:23">
      <c r="A27" s="10"/>
      <c r="B27" s="20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3"/>
    </row>
    <row r="28" spans="1:23" ht="42">
      <c r="A28" s="5" t="s">
        <v>42</v>
      </c>
      <c r="B28" s="6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3"/>
    </row>
    <row r="29" spans="1:23" ht="28.15">
      <c r="A29" s="10" t="s">
        <v>43</v>
      </c>
      <c r="B29" s="14" t="s">
        <v>27</v>
      </c>
      <c r="C29" s="12">
        <v>128</v>
      </c>
      <c r="D29" s="12">
        <v>19</v>
      </c>
      <c r="E29" s="12">
        <v>30</v>
      </c>
      <c r="F29" s="12">
        <v>2</v>
      </c>
      <c r="G29" s="12">
        <v>98</v>
      </c>
      <c r="H29" s="12">
        <v>22</v>
      </c>
      <c r="I29" s="12">
        <v>51</v>
      </c>
      <c r="J29" s="12">
        <v>2</v>
      </c>
      <c r="K29" s="12">
        <v>24</v>
      </c>
      <c r="L29" s="12">
        <v>4</v>
      </c>
      <c r="M29" s="12">
        <v>11</v>
      </c>
      <c r="N29" s="12">
        <v>8</v>
      </c>
      <c r="O29" s="12">
        <v>2</v>
      </c>
      <c r="P29" s="12"/>
      <c r="Q29" s="12">
        <v>6</v>
      </c>
      <c r="R29" s="12"/>
      <c r="S29" s="12">
        <v>14</v>
      </c>
      <c r="T29" s="12">
        <v>6</v>
      </c>
      <c r="U29" s="12"/>
      <c r="V29" s="13">
        <f t="shared" si="0"/>
        <v>427</v>
      </c>
    </row>
    <row r="30" spans="1:23">
      <c r="A30" s="10"/>
      <c r="B30" s="11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3"/>
    </row>
    <row r="31" spans="1:23" ht="55.9">
      <c r="A31" s="5" t="s">
        <v>44</v>
      </c>
      <c r="B31" s="6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3"/>
    </row>
    <row r="32" spans="1:23" ht="55.9">
      <c r="A32" s="10" t="s">
        <v>45</v>
      </c>
      <c r="B32" s="14" t="s">
        <v>27</v>
      </c>
      <c r="C32" s="8">
        <v>135</v>
      </c>
      <c r="D32" s="8">
        <v>20</v>
      </c>
      <c r="E32" s="8">
        <v>32</v>
      </c>
      <c r="F32" s="8">
        <v>4</v>
      </c>
      <c r="G32" s="8">
        <v>101</v>
      </c>
      <c r="H32" s="8">
        <v>27</v>
      </c>
      <c r="I32" s="8">
        <v>51</v>
      </c>
      <c r="J32" s="8">
        <v>2</v>
      </c>
      <c r="K32" s="8">
        <v>30</v>
      </c>
      <c r="L32" s="8">
        <v>4</v>
      </c>
      <c r="M32" s="8">
        <v>11</v>
      </c>
      <c r="N32" s="8">
        <v>8</v>
      </c>
      <c r="O32" s="8">
        <v>3</v>
      </c>
      <c r="P32" s="8"/>
      <c r="Q32" s="8">
        <v>7</v>
      </c>
      <c r="R32" s="8"/>
      <c r="S32" s="8">
        <v>14</v>
      </c>
      <c r="T32" s="8">
        <v>6</v>
      </c>
      <c r="U32" s="8"/>
      <c r="V32" s="13">
        <f t="shared" si="0"/>
        <v>455</v>
      </c>
      <c r="W32" s="21"/>
    </row>
    <row r="33" spans="1:23">
      <c r="A33" s="5"/>
      <c r="B33" s="6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3"/>
      <c r="W33" s="22"/>
    </row>
    <row r="34" spans="1:23" ht="42">
      <c r="A34" s="5" t="s">
        <v>46</v>
      </c>
      <c r="B34" s="11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3"/>
      <c r="W34" s="22"/>
    </row>
    <row r="35" spans="1:23" ht="28.15">
      <c r="A35" s="10" t="s">
        <v>47</v>
      </c>
      <c r="B35" s="6" t="s">
        <v>27</v>
      </c>
      <c r="C35" s="12">
        <v>107</v>
      </c>
      <c r="D35" s="12">
        <v>18</v>
      </c>
      <c r="E35" s="12">
        <v>29</v>
      </c>
      <c r="F35" s="12">
        <v>2</v>
      </c>
      <c r="G35" s="12">
        <v>92</v>
      </c>
      <c r="H35" s="12">
        <v>24</v>
      </c>
      <c r="I35" s="12">
        <v>46</v>
      </c>
      <c r="J35" s="12">
        <v>2</v>
      </c>
      <c r="K35" s="12">
        <v>26</v>
      </c>
      <c r="L35" s="12">
        <v>4</v>
      </c>
      <c r="M35" s="12">
        <v>9</v>
      </c>
      <c r="N35" s="12">
        <v>5</v>
      </c>
      <c r="O35" s="12">
        <v>2</v>
      </c>
      <c r="P35" s="12"/>
      <c r="Q35" s="12">
        <v>5</v>
      </c>
      <c r="R35" s="12"/>
      <c r="S35" s="12">
        <v>13</v>
      </c>
      <c r="T35" s="12">
        <v>4</v>
      </c>
      <c r="U35" s="12"/>
      <c r="V35" s="13">
        <f t="shared" si="0"/>
        <v>388</v>
      </c>
      <c r="W35" s="22"/>
    </row>
    <row r="36" spans="1:23">
      <c r="A36" s="10"/>
      <c r="B36" s="20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3"/>
      <c r="W36" s="22"/>
    </row>
    <row r="37" spans="1:23" ht="28.15">
      <c r="A37" s="5" t="s">
        <v>48</v>
      </c>
      <c r="B37" s="6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3"/>
      <c r="W37" s="22"/>
    </row>
    <row r="38" spans="1:23" ht="28.15">
      <c r="A38" s="10" t="s">
        <v>49</v>
      </c>
      <c r="B38" s="6" t="s">
        <v>27</v>
      </c>
      <c r="C38" s="8">
        <v>135</v>
      </c>
      <c r="D38" s="8">
        <v>19</v>
      </c>
      <c r="E38" s="8">
        <v>34</v>
      </c>
      <c r="F38" s="8">
        <v>4</v>
      </c>
      <c r="G38" s="8">
        <v>98</v>
      </c>
      <c r="H38" s="8">
        <v>23</v>
      </c>
      <c r="I38" s="8">
        <v>53</v>
      </c>
      <c r="J38" s="8">
        <v>2</v>
      </c>
      <c r="K38" s="8">
        <v>30</v>
      </c>
      <c r="L38" s="8">
        <v>2</v>
      </c>
      <c r="M38" s="8">
        <v>11</v>
      </c>
      <c r="N38" s="8">
        <v>5</v>
      </c>
      <c r="O38" s="8">
        <v>2</v>
      </c>
      <c r="P38" s="8"/>
      <c r="Q38" s="8">
        <v>7</v>
      </c>
      <c r="R38" s="8"/>
      <c r="S38" s="8">
        <v>13</v>
      </c>
      <c r="T38" s="8">
        <v>6</v>
      </c>
      <c r="U38" s="8"/>
      <c r="V38" s="13">
        <f t="shared" si="0"/>
        <v>444</v>
      </c>
      <c r="W38" s="21"/>
    </row>
    <row r="39" spans="1:23">
      <c r="A39" s="10"/>
      <c r="B39" s="20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3"/>
      <c r="W39" s="22"/>
    </row>
    <row r="40" spans="1:23" ht="69.599999999999994">
      <c r="A40" s="5" t="s">
        <v>50</v>
      </c>
      <c r="B40" s="14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3"/>
      <c r="W40" s="22"/>
    </row>
    <row r="41" spans="1:23" ht="28.15">
      <c r="A41" s="10" t="s">
        <v>51</v>
      </c>
      <c r="B41" s="14" t="s">
        <v>27</v>
      </c>
      <c r="C41" s="12"/>
      <c r="D41" s="12"/>
      <c r="E41" s="12"/>
      <c r="F41" s="12"/>
      <c r="G41" s="12"/>
      <c r="H41" s="12"/>
      <c r="I41" s="12">
        <v>52</v>
      </c>
      <c r="J41" s="12">
        <v>2</v>
      </c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3">
        <f t="shared" si="0"/>
        <v>54</v>
      </c>
      <c r="W41" s="21"/>
    </row>
    <row r="42" spans="1:23">
      <c r="A42" s="7"/>
      <c r="B42" s="20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3"/>
      <c r="W42" s="22"/>
    </row>
    <row r="43" spans="1:23" ht="83.45">
      <c r="A43" s="5" t="s">
        <v>52</v>
      </c>
      <c r="B43" s="20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13"/>
      <c r="W43" s="21"/>
    </row>
    <row r="44" spans="1:23" ht="28.15">
      <c r="A44" s="10" t="s">
        <v>53</v>
      </c>
      <c r="B44" s="6" t="s">
        <v>27</v>
      </c>
      <c r="C44" s="12"/>
      <c r="D44" s="12"/>
      <c r="E44" s="12"/>
      <c r="F44" s="12"/>
      <c r="G44" s="12"/>
      <c r="H44" s="12"/>
      <c r="I44" s="12">
        <v>50</v>
      </c>
      <c r="J44" s="12">
        <v>2</v>
      </c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3">
        <f t="shared" si="0"/>
        <v>52</v>
      </c>
      <c r="W44" s="22"/>
    </row>
    <row r="45" spans="1:23">
      <c r="A45" s="5"/>
      <c r="B45" s="6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3"/>
      <c r="W45" s="22"/>
    </row>
    <row r="46" spans="1:23">
      <c r="A46" s="23" t="s">
        <v>54</v>
      </c>
      <c r="B46" s="24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3"/>
      <c r="W46" s="22"/>
    </row>
    <row r="47" spans="1:23">
      <c r="A47" s="25" t="s">
        <v>55</v>
      </c>
      <c r="B47" s="6" t="s">
        <v>27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8">
        <v>11</v>
      </c>
      <c r="N47" s="8">
        <v>8</v>
      </c>
      <c r="O47" s="8"/>
      <c r="P47" s="8"/>
      <c r="Q47" s="8"/>
      <c r="R47" s="8"/>
      <c r="S47" s="8"/>
      <c r="T47" s="8"/>
      <c r="U47" s="8"/>
      <c r="V47" s="13">
        <f t="shared" si="0"/>
        <v>19</v>
      </c>
      <c r="W47" s="21"/>
    </row>
    <row r="48" spans="1:23">
      <c r="A48" s="25"/>
      <c r="B48" s="24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13"/>
      <c r="W48" s="21"/>
    </row>
    <row r="49" spans="1:23" ht="83.45">
      <c r="A49" s="5" t="s">
        <v>56</v>
      </c>
      <c r="B49" s="24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3"/>
      <c r="W49" s="22"/>
    </row>
    <row r="50" spans="1:23" ht="42">
      <c r="A50" s="10" t="s">
        <v>57</v>
      </c>
      <c r="B50" s="14" t="s">
        <v>27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>
        <v>13</v>
      </c>
      <c r="T50" s="12">
        <v>5</v>
      </c>
      <c r="U50" s="12"/>
      <c r="V50" s="13">
        <f t="shared" si="0"/>
        <v>18</v>
      </c>
      <c r="W50" s="22"/>
    </row>
    <row r="51" spans="1:23">
      <c r="A51" s="26"/>
      <c r="B51" s="27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3"/>
      <c r="W51" s="22"/>
    </row>
    <row r="52" spans="1:23" ht="69.599999999999994">
      <c r="A52" s="5" t="s">
        <v>58</v>
      </c>
      <c r="B52" s="27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3"/>
      <c r="W52" s="22"/>
    </row>
    <row r="53" spans="1:23" ht="42">
      <c r="A53" s="10" t="s">
        <v>59</v>
      </c>
      <c r="B53" s="27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>
        <v>3</v>
      </c>
      <c r="S53" s="12"/>
      <c r="T53" s="12"/>
      <c r="U53" s="12"/>
      <c r="V53" s="13">
        <f t="shared" si="0"/>
        <v>3</v>
      </c>
      <c r="W53" s="22"/>
    </row>
    <row r="54" spans="1:23">
      <c r="A54" s="10"/>
      <c r="B54" s="27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3"/>
      <c r="W54" s="22"/>
    </row>
    <row r="55" spans="1:23" ht="55.9">
      <c r="A55" s="5" t="s">
        <v>60</v>
      </c>
      <c r="B55" s="24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3"/>
      <c r="W55" s="22"/>
    </row>
    <row r="56" spans="1:23" ht="28.15">
      <c r="A56" s="10" t="s">
        <v>61</v>
      </c>
      <c r="B56" s="6" t="s">
        <v>27</v>
      </c>
      <c r="C56" s="8">
        <v>138</v>
      </c>
      <c r="D56" s="8">
        <v>20</v>
      </c>
      <c r="E56" s="8">
        <v>34</v>
      </c>
      <c r="F56" s="8">
        <v>4</v>
      </c>
      <c r="G56" s="8">
        <v>103</v>
      </c>
      <c r="H56" s="8">
        <v>27</v>
      </c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13">
        <f t="shared" si="0"/>
        <v>326</v>
      </c>
      <c r="W56" s="21"/>
    </row>
    <row r="57" spans="1:23">
      <c r="A57" s="10"/>
      <c r="B57" s="27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3"/>
      <c r="W57" s="22"/>
    </row>
    <row r="58" spans="1:23" ht="69.599999999999994">
      <c r="A58" s="5" t="s">
        <v>62</v>
      </c>
      <c r="B58" s="27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3"/>
      <c r="W58" s="21"/>
    </row>
    <row r="59" spans="1:23" ht="42">
      <c r="A59" s="10" t="s">
        <v>63</v>
      </c>
      <c r="B59" s="6" t="s">
        <v>27</v>
      </c>
      <c r="C59" s="8">
        <v>137</v>
      </c>
      <c r="D59" s="8">
        <v>20</v>
      </c>
      <c r="E59" s="8">
        <v>34</v>
      </c>
      <c r="F59" s="8">
        <v>4</v>
      </c>
      <c r="G59" s="8">
        <v>104</v>
      </c>
      <c r="H59" s="8">
        <v>27</v>
      </c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13">
        <f t="shared" si="0"/>
        <v>326</v>
      </c>
      <c r="W59" s="21"/>
    </row>
    <row r="60" spans="1:23">
      <c r="A60" s="26"/>
      <c r="B60" s="24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13"/>
      <c r="W60" s="21"/>
    </row>
    <row r="61" spans="1:23" ht="69.599999999999994">
      <c r="A61" s="5" t="s">
        <v>64</v>
      </c>
      <c r="B61" s="2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13"/>
      <c r="W61" s="21"/>
    </row>
    <row r="62" spans="1:23" ht="28.15">
      <c r="A62" s="10" t="s">
        <v>65</v>
      </c>
      <c r="B62" s="14" t="s">
        <v>27</v>
      </c>
      <c r="C62" s="12"/>
      <c r="D62" s="12"/>
      <c r="E62" s="12"/>
      <c r="F62" s="12"/>
      <c r="G62" s="12"/>
      <c r="H62" s="12"/>
      <c r="I62" s="12"/>
      <c r="J62" s="12"/>
      <c r="K62" s="12">
        <v>29</v>
      </c>
      <c r="L62" s="12">
        <v>4</v>
      </c>
      <c r="M62" s="12"/>
      <c r="N62" s="12"/>
      <c r="O62" s="12"/>
      <c r="P62" s="12"/>
      <c r="Q62" s="12"/>
      <c r="R62" s="12"/>
      <c r="S62" s="12"/>
      <c r="T62" s="12"/>
      <c r="U62" s="12"/>
      <c r="V62" s="13">
        <f t="shared" si="0"/>
        <v>33</v>
      </c>
      <c r="W62" s="22"/>
    </row>
    <row r="63" spans="1:23">
      <c r="A63" s="26"/>
      <c r="B63" s="24"/>
      <c r="C63" s="8"/>
      <c r="D63" s="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8"/>
      <c r="V63" s="13"/>
      <c r="W63" s="22"/>
    </row>
    <row r="64" spans="1:23" ht="83.45">
      <c r="A64" s="5" t="s">
        <v>66</v>
      </c>
      <c r="B64" s="24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8"/>
      <c r="V64" s="13"/>
      <c r="W64" s="21"/>
    </row>
    <row r="65" spans="1:23" ht="28.15">
      <c r="A65" s="10" t="s">
        <v>67</v>
      </c>
      <c r="B65" s="6" t="s">
        <v>27</v>
      </c>
      <c r="C65" s="28"/>
      <c r="D65" s="28"/>
      <c r="E65" s="28"/>
      <c r="F65" s="28"/>
      <c r="G65" s="28"/>
      <c r="H65" s="28"/>
      <c r="I65" s="28"/>
      <c r="J65" s="28"/>
      <c r="K65" s="28">
        <v>29</v>
      </c>
      <c r="L65" s="28">
        <v>4</v>
      </c>
      <c r="M65" s="28"/>
      <c r="N65" s="28"/>
      <c r="O65" s="28"/>
      <c r="P65" s="28"/>
      <c r="Q65" s="28"/>
      <c r="R65" s="28"/>
      <c r="S65" s="28"/>
      <c r="T65" s="28"/>
      <c r="U65" s="8"/>
      <c r="V65" s="13">
        <f t="shared" si="0"/>
        <v>33</v>
      </c>
      <c r="W65" s="22"/>
    </row>
    <row r="66" spans="1:23">
      <c r="A66" s="10"/>
      <c r="B66" s="24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3"/>
      <c r="W66" s="22"/>
    </row>
    <row r="67" spans="1:23" ht="69.599999999999994">
      <c r="A67" s="5" t="s">
        <v>68</v>
      </c>
      <c r="B67" s="24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3"/>
      <c r="W67" s="22"/>
    </row>
    <row r="68" spans="1:23" ht="28.15">
      <c r="A68" s="10" t="s">
        <v>69</v>
      </c>
      <c r="B68" s="29" t="s">
        <v>27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>
        <v>3</v>
      </c>
      <c r="P68" s="12"/>
      <c r="Q68" s="12"/>
      <c r="R68" s="12"/>
      <c r="S68" s="12"/>
      <c r="T68" s="12"/>
      <c r="U68" s="12"/>
      <c r="V68" s="13">
        <f t="shared" si="0"/>
        <v>3</v>
      </c>
      <c r="W68" s="22"/>
    </row>
    <row r="69" spans="1:23">
      <c r="A69" s="10"/>
      <c r="B69" s="30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3"/>
      <c r="W69" s="22"/>
    </row>
    <row r="70" spans="1:23" ht="42">
      <c r="A70" s="5" t="s">
        <v>70</v>
      </c>
      <c r="B70" s="30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3"/>
      <c r="W70" s="22"/>
    </row>
    <row r="71" spans="1:23">
      <c r="A71" s="10" t="s">
        <v>71</v>
      </c>
      <c r="B71" s="30"/>
      <c r="C71" s="12">
        <v>117</v>
      </c>
      <c r="D71" s="12">
        <v>24</v>
      </c>
      <c r="E71" s="12">
        <v>30</v>
      </c>
      <c r="F71" s="12">
        <v>3</v>
      </c>
      <c r="G71" s="12">
        <v>86</v>
      </c>
      <c r="H71" s="12">
        <v>17</v>
      </c>
      <c r="I71" s="12">
        <v>52</v>
      </c>
      <c r="J71" s="12">
        <v>3</v>
      </c>
      <c r="K71" s="12">
        <v>20</v>
      </c>
      <c r="L71" s="12">
        <v>3</v>
      </c>
      <c r="M71" s="12">
        <v>10</v>
      </c>
      <c r="N71" s="12">
        <v>5</v>
      </c>
      <c r="O71" s="12">
        <v>3</v>
      </c>
      <c r="P71" s="12"/>
      <c r="Q71" s="12">
        <v>3</v>
      </c>
      <c r="R71" s="12"/>
      <c r="S71" s="12">
        <v>8</v>
      </c>
      <c r="T71" s="12">
        <v>2</v>
      </c>
      <c r="U71" s="12"/>
      <c r="V71" s="8">
        <f t="shared" si="0"/>
        <v>386</v>
      </c>
      <c r="W71" s="22"/>
    </row>
    <row r="72" spans="1:23">
      <c r="A72" s="10" t="s">
        <v>72</v>
      </c>
      <c r="B72" s="31"/>
      <c r="C72" s="12">
        <v>50</v>
      </c>
      <c r="D72" s="12">
        <v>2</v>
      </c>
      <c r="E72" s="12">
        <v>8</v>
      </c>
      <c r="F72" s="12">
        <v>2</v>
      </c>
      <c r="G72" s="12">
        <v>33</v>
      </c>
      <c r="H72" s="12">
        <v>14</v>
      </c>
      <c r="I72" s="12">
        <v>9</v>
      </c>
      <c r="J72" s="12"/>
      <c r="K72" s="12">
        <v>17</v>
      </c>
      <c r="L72" s="12">
        <v>1</v>
      </c>
      <c r="M72" s="12">
        <v>1</v>
      </c>
      <c r="N72" s="12">
        <v>2</v>
      </c>
      <c r="O72" s="12"/>
      <c r="P72" s="12"/>
      <c r="Q72" s="12">
        <v>4</v>
      </c>
      <c r="R72" s="12">
        <v>1</v>
      </c>
      <c r="S72" s="12">
        <v>6</v>
      </c>
      <c r="T72" s="12">
        <v>3</v>
      </c>
      <c r="U72" s="12"/>
      <c r="V72" s="8">
        <f t="shared" si="0"/>
        <v>153</v>
      </c>
      <c r="W72" s="22"/>
    </row>
    <row r="73" spans="1:23">
      <c r="A73" s="32"/>
      <c r="B73" s="33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5"/>
      <c r="W73" s="22"/>
    </row>
  </sheetData>
  <mergeCells count="1">
    <mergeCell ref="A2:V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Kelsie Yakel</dc:creator>
  <cp:keywords/>
  <dc:description/>
  <cp:lastModifiedBy>Hernandez, David</cp:lastModifiedBy>
  <cp:revision/>
  <dcterms:created xsi:type="dcterms:W3CDTF">2024-09-10T21:34:12Z</dcterms:created>
  <dcterms:modified xsi:type="dcterms:W3CDTF">2024-09-10T21:55:35Z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2024-09-10T21:34:45Z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aaff2abd-a309-4075-9222-703e8c9ee3ee</vt:lpwstr>
  </property>
  <property fmtid="{D5CDD505-2E9C-101B-9397-08002B2CF9AE}" pid="7" name="MSIP_Label_defa4170-0d19-0005-0004-bc88714345d2_ActionId">
    <vt:lpwstr>4a29ed66-2d09-4ede-bdf9-4dd7c8ee79e2</vt:lpwstr>
  </property>
  <property fmtid="{D5CDD505-2E9C-101B-9397-08002B2CF9AE}" pid="8" name="MSIP_Label_defa4170-0d19-0005-0004-bc88714345d2_ContentBits">
    <vt:lpwstr>0</vt:lpwstr>
  </property>
</Properties>
</file>