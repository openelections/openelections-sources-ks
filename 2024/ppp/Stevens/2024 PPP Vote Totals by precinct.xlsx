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/>
  <mc:AlternateContent xmlns:mc="http://schemas.openxmlformats.org/markup-compatibility/2006">
    <mc:Choice Requires="x15">
      <x15ac:absPath xmlns:x15ac="http://schemas.microsoft.com/office/spreadsheetml/2010/11/ac" url="X:\Elections\2024\PPP 3-19-24\"/>
    </mc:Choice>
  </mc:AlternateContent>
  <xr:revisionPtr revIDLastSave="0" documentId="13_ncr:1_{FFB71C96-3FE8-4A46-833E-335297E8F591}" xr6:coauthVersionLast="47" xr6:coauthVersionMax="47" xr10:uidLastSave="{00000000-0000-0000-0000-000000000000}"/>
  <bookViews>
    <workbookView xWindow="-120" yWindow="-120" windowWidth="29040" windowHeight="15840" xr2:uid="{AF330F53-F5C1-42E9-BF2F-959964D4010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L17" i="1"/>
  <c r="K17" i="1"/>
  <c r="J17" i="1"/>
  <c r="F17" i="1"/>
  <c r="E17" i="1"/>
  <c r="D17" i="1"/>
  <c r="N17" i="1" s="1"/>
  <c r="C17" i="1"/>
  <c r="N16" i="1"/>
  <c r="M15" i="1"/>
  <c r="L15" i="1"/>
  <c r="K15" i="1"/>
  <c r="F15" i="1"/>
  <c r="D15" i="1"/>
  <c r="C15" i="1"/>
  <c r="N15" i="1" s="1"/>
  <c r="M14" i="1"/>
  <c r="L14" i="1"/>
  <c r="K14" i="1"/>
  <c r="J14" i="1"/>
  <c r="I14" i="1"/>
  <c r="F14" i="1"/>
  <c r="C14" i="1"/>
  <c r="N14" i="1" s="1"/>
  <c r="M13" i="1"/>
  <c r="L13" i="1"/>
  <c r="K13" i="1"/>
  <c r="J13" i="1"/>
  <c r="I13" i="1"/>
  <c r="H13" i="1"/>
  <c r="G13" i="1"/>
  <c r="F13" i="1"/>
  <c r="E13" i="1"/>
  <c r="D13" i="1"/>
  <c r="C13" i="1"/>
  <c r="N13" i="1" s="1"/>
  <c r="M10" i="1"/>
  <c r="L10" i="1"/>
  <c r="K10" i="1"/>
  <c r="J10" i="1"/>
  <c r="I10" i="1"/>
  <c r="H10" i="1"/>
  <c r="N10" i="1" s="1"/>
  <c r="G10" i="1"/>
  <c r="F10" i="1"/>
  <c r="E10" i="1"/>
  <c r="D10" i="1"/>
  <c r="M9" i="1"/>
  <c r="L9" i="1"/>
  <c r="K9" i="1"/>
  <c r="J9" i="1"/>
  <c r="I9" i="1"/>
  <c r="H9" i="1"/>
  <c r="N9" i="1" s="1"/>
  <c r="G9" i="1"/>
  <c r="F9" i="1"/>
  <c r="E9" i="1"/>
  <c r="D9" i="1"/>
  <c r="C9" i="1"/>
  <c r="M8" i="1"/>
  <c r="L8" i="1"/>
  <c r="K8" i="1"/>
  <c r="J8" i="1"/>
  <c r="I8" i="1"/>
  <c r="H8" i="1"/>
  <c r="N8" i="1" s="1"/>
  <c r="G8" i="1"/>
  <c r="F8" i="1"/>
  <c r="E8" i="1"/>
  <c r="D8" i="1"/>
  <c r="C8" i="1"/>
  <c r="M7" i="1"/>
  <c r="L7" i="1"/>
  <c r="K7" i="1"/>
  <c r="J7" i="1"/>
  <c r="I7" i="1"/>
  <c r="H7" i="1"/>
  <c r="N7" i="1" s="1"/>
  <c r="G7" i="1"/>
  <c r="F7" i="1"/>
  <c r="E7" i="1"/>
  <c r="D7" i="1"/>
  <c r="C7" i="1"/>
  <c r="M6" i="1"/>
  <c r="L6" i="1"/>
  <c r="K6" i="1"/>
  <c r="I6" i="1"/>
  <c r="G6" i="1"/>
  <c r="F6" i="1"/>
  <c r="N6" i="1" s="1"/>
  <c r="D6" i="1"/>
  <c r="C6" i="1"/>
</calcChain>
</file>

<file path=xl/sharedStrings.xml><?xml version="1.0" encoding="utf-8"?>
<sst xmlns="http://schemas.openxmlformats.org/spreadsheetml/2006/main" count="43" uniqueCount="34">
  <si>
    <t>PP2024 - March 19, 2024 / 19 de marzo de 2024</t>
  </si>
  <si>
    <r>
      <t>Votes Cast/</t>
    </r>
    <r>
      <rPr>
        <b/>
        <i/>
        <sz val="10"/>
        <rFont val="Arial"/>
        <family val="2"/>
      </rPr>
      <t>Votos emitidos:</t>
    </r>
  </si>
  <si>
    <r>
      <t>Percentage/</t>
    </r>
    <r>
      <rPr>
        <b/>
        <i/>
        <sz val="10"/>
        <rFont val="Arial"/>
        <family val="2"/>
      </rPr>
      <t>Porcentaje</t>
    </r>
    <r>
      <rPr>
        <b/>
        <sz val="10"/>
        <rFont val="Arial"/>
        <family val="2"/>
      </rPr>
      <t>:  6%</t>
    </r>
  </si>
  <si>
    <r>
      <t>Registered Voters/</t>
    </r>
    <r>
      <rPr>
        <b/>
        <i/>
        <sz val="10"/>
        <rFont val="Arial"/>
        <family val="2"/>
      </rPr>
      <t>Votantes registrados:</t>
    </r>
  </si>
  <si>
    <r>
      <t>Name of Person Voted for/</t>
    </r>
    <r>
      <rPr>
        <b/>
        <i/>
        <sz val="10"/>
        <rFont val="Arial"/>
        <family val="2"/>
      </rPr>
      <t>Nombre de la persona por la que votó</t>
    </r>
  </si>
  <si>
    <r>
      <t xml:space="preserve">Party/ </t>
    </r>
    <r>
      <rPr>
        <b/>
        <i/>
        <sz val="10"/>
        <rFont val="Arial"/>
        <family val="2"/>
      </rPr>
      <t>Político</t>
    </r>
  </si>
  <si>
    <t>Banner</t>
  </si>
  <si>
    <t>Center 1</t>
  </si>
  <si>
    <t>Center 2</t>
  </si>
  <si>
    <t>Harmony</t>
  </si>
  <si>
    <t>Hugoton 1</t>
  </si>
  <si>
    <t>Hugoton 2</t>
  </si>
  <si>
    <t>Hugoton 3</t>
  </si>
  <si>
    <t>Pioneer</t>
  </si>
  <si>
    <t>Moscow</t>
  </si>
  <si>
    <t>Voorhees</t>
  </si>
  <si>
    <t>West Center</t>
  </si>
  <si>
    <t>TOTAL</t>
  </si>
  <si>
    <r>
      <t>PRESIDENTIAL PRIMARY/</t>
    </r>
    <r>
      <rPr>
        <b/>
        <i/>
        <sz val="11"/>
        <color theme="1"/>
        <rFont val="Aptos Narrow"/>
        <family val="2"/>
        <scheme val="minor"/>
      </rPr>
      <t>PRIMARIA PRESIDENCIAL</t>
    </r>
  </si>
  <si>
    <r>
      <t>Democratic/</t>
    </r>
    <r>
      <rPr>
        <b/>
        <i/>
        <sz val="11"/>
        <color theme="1"/>
        <rFont val="Aptos Narrow"/>
        <family val="2"/>
        <scheme val="minor"/>
      </rPr>
      <t>Demócrata</t>
    </r>
  </si>
  <si>
    <t>Joseph R Biden Jr</t>
  </si>
  <si>
    <t>D</t>
  </si>
  <si>
    <t>Jason Michael Palmer</t>
  </si>
  <si>
    <t>Dean Phillips</t>
  </si>
  <si>
    <t>Marianne Williamson</t>
  </si>
  <si>
    <r>
      <t>None of the names shown/</t>
    </r>
    <r>
      <rPr>
        <i/>
        <sz val="11"/>
        <color theme="1"/>
        <rFont val="Aptos Narrow"/>
        <family val="2"/>
        <scheme val="minor"/>
      </rPr>
      <t>Ninguno de los nombres mostrados</t>
    </r>
  </si>
  <si>
    <r>
      <t>Republican/</t>
    </r>
    <r>
      <rPr>
        <b/>
        <i/>
        <sz val="11"/>
        <color theme="1"/>
        <rFont val="Aptos Narrow"/>
        <family val="2"/>
        <scheme val="minor"/>
      </rPr>
      <t>Republicano</t>
    </r>
  </si>
  <si>
    <t>Ryan L. Binkley</t>
  </si>
  <si>
    <t>R</t>
  </si>
  <si>
    <t>Ron DeSantis</t>
  </si>
  <si>
    <t>Nikki R. Haley</t>
  </si>
  <si>
    <t>Donald J. Trump</t>
  </si>
  <si>
    <r>
      <t>Provisional Votes Cast/</t>
    </r>
    <r>
      <rPr>
        <i/>
        <sz val="10"/>
        <color theme="1"/>
        <rFont val="Arial"/>
        <family val="2"/>
      </rPr>
      <t>Votos provisionales emitidos</t>
    </r>
    <r>
      <rPr>
        <sz val="10"/>
        <color theme="1"/>
        <rFont val="Arial"/>
        <family val="2"/>
      </rPr>
      <t>:     2</t>
    </r>
  </si>
  <si>
    <r>
      <t>Provisional Votes Counted/</t>
    </r>
    <r>
      <rPr>
        <i/>
        <sz val="10"/>
        <color theme="1"/>
        <rFont val="Arial"/>
        <family val="2"/>
      </rPr>
      <t>Votos provisionales contados</t>
    </r>
    <r>
      <rPr>
        <sz val="10"/>
        <color theme="1"/>
        <rFont val="Arial"/>
        <family val="2"/>
      </rPr>
      <t>:    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</si>
</sst>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1"/>
      <color theme="1"/>
      <name val="Aptos Narrow"/>
      <family val="2"/>
      <scheme val="minor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5" fillId="2" borderId="1" xfId="0" applyFont="1" applyFill="1" applyBorder="1" applyAlignment="1">
      <alignment horizontal="center" textRotation="60"/>
    </xf>
    <xf numFmtId="0" fontId="5" fillId="0" borderId="1" xfId="0" applyFont="1" applyBorder="1" applyAlignment="1">
      <alignment horizontal="center" textRotation="60"/>
    </xf>
    <xf numFmtId="0" fontId="1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4" borderId="2" xfId="0" applyFill="1" applyBorder="1"/>
    <xf numFmtId="0" fontId="7" fillId="3" borderId="3" xfId="0" applyFont="1" applyFill="1" applyBorder="1" applyAlignment="1">
      <alignment horizontal="center"/>
    </xf>
    <xf numFmtId="0" fontId="0" fillId="0" borderId="2" xfId="0" applyBorder="1"/>
    <xf numFmtId="0" fontId="8" fillId="0" borderId="3" xfId="0" applyFont="1" applyBorder="1" applyAlignment="1">
      <alignment horizontal="center"/>
    </xf>
    <xf numFmtId="0" fontId="0" fillId="2" borderId="2" xfId="0" applyFill="1" applyBorder="1"/>
    <xf numFmtId="0" fontId="7" fillId="3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07CAC-0CB3-40CC-99EB-9E505631D5C1}">
  <dimension ref="A1:N21"/>
  <sheetViews>
    <sheetView tabSelected="1" workbookViewId="0">
      <selection activeCell="K24" sqref="K24"/>
    </sheetView>
  </sheetViews>
  <sheetFormatPr defaultRowHeight="15"/>
  <sheetData>
    <row r="1" spans="1:14" ht="15.75">
      <c r="A1" s="1" t="s">
        <v>0</v>
      </c>
      <c r="B1" s="2" t="s">
        <v>1</v>
      </c>
      <c r="C1" s="1"/>
      <c r="D1" s="1"/>
      <c r="E1" s="1"/>
      <c r="F1" s="1"/>
      <c r="G1" s="19">
        <v>197</v>
      </c>
      <c r="H1" s="19"/>
      <c r="I1" s="1"/>
      <c r="J1" s="3" t="s">
        <v>2</v>
      </c>
      <c r="K1" s="1"/>
      <c r="L1" s="1"/>
      <c r="M1" s="1"/>
      <c r="N1" s="1"/>
    </row>
    <row r="2" spans="1:14" ht="15.75">
      <c r="A2" s="1"/>
      <c r="B2" s="2" t="s">
        <v>3</v>
      </c>
      <c r="C2" s="1"/>
      <c r="D2" s="1"/>
      <c r="E2" s="1"/>
      <c r="F2" s="1"/>
      <c r="G2" s="1"/>
      <c r="H2" s="1"/>
      <c r="I2" s="20">
        <v>3272</v>
      </c>
      <c r="J2" s="20"/>
      <c r="K2" s="1"/>
      <c r="L2" s="1"/>
      <c r="M2" s="1"/>
      <c r="N2" s="1"/>
    </row>
    <row r="3" spans="1:14" ht="102.75">
      <c r="A3" s="4" t="s">
        <v>4</v>
      </c>
      <c r="B3" s="4" t="s">
        <v>5</v>
      </c>
      <c r="C3" s="5" t="s">
        <v>6</v>
      </c>
      <c r="D3" s="6" t="s">
        <v>7</v>
      </c>
      <c r="E3" s="5" t="s">
        <v>8</v>
      </c>
      <c r="F3" s="6" t="s">
        <v>9</v>
      </c>
      <c r="G3" s="5" t="s">
        <v>10</v>
      </c>
      <c r="H3" s="6" t="s">
        <v>11</v>
      </c>
      <c r="I3" s="5" t="s">
        <v>12</v>
      </c>
      <c r="J3" s="6" t="s">
        <v>13</v>
      </c>
      <c r="K3" s="5" t="s">
        <v>14</v>
      </c>
      <c r="L3" s="6" t="s">
        <v>15</v>
      </c>
      <c r="M3" s="6" t="s">
        <v>16</v>
      </c>
      <c r="N3" s="6" t="s">
        <v>17</v>
      </c>
    </row>
    <row r="4" spans="1:14">
      <c r="A4" s="7" t="s">
        <v>18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/>
    </row>
    <row r="5" spans="1:14">
      <c r="A5" s="7" t="s">
        <v>19</v>
      </c>
      <c r="B5" s="11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10"/>
    </row>
    <row r="6" spans="1:14">
      <c r="A6" s="12" t="s">
        <v>20</v>
      </c>
      <c r="B6" s="13" t="s">
        <v>21</v>
      </c>
      <c r="C6" s="14">
        <f>SUM(C28,C41,C54,C67)</f>
        <v>0</v>
      </c>
      <c r="D6" s="14">
        <f t="shared" ref="D6:M6" si="0">SUM(D28,D41,D54,D67)</f>
        <v>0</v>
      </c>
      <c r="E6" s="14">
        <v>1</v>
      </c>
      <c r="F6" s="14">
        <f t="shared" si="0"/>
        <v>0</v>
      </c>
      <c r="G6" s="14">
        <f t="shared" si="0"/>
        <v>0</v>
      </c>
      <c r="H6" s="14">
        <v>2</v>
      </c>
      <c r="I6" s="14">
        <f t="shared" si="0"/>
        <v>0</v>
      </c>
      <c r="J6" s="14">
        <v>1</v>
      </c>
      <c r="K6" s="14">
        <f t="shared" si="0"/>
        <v>0</v>
      </c>
      <c r="L6" s="14">
        <f t="shared" si="0"/>
        <v>0</v>
      </c>
      <c r="M6" s="14">
        <f t="shared" si="0"/>
        <v>0</v>
      </c>
      <c r="N6" s="9">
        <f>SUM(C6:L6)</f>
        <v>4</v>
      </c>
    </row>
    <row r="7" spans="1:14">
      <c r="A7" s="12" t="s">
        <v>22</v>
      </c>
      <c r="B7" s="13" t="s">
        <v>21</v>
      </c>
      <c r="C7" s="14">
        <f>SUM(C26,C39,C52,C65)</f>
        <v>0</v>
      </c>
      <c r="D7" s="14">
        <f t="shared" ref="D7:M8" si="1">SUM(D26,D39,D52,D65)</f>
        <v>0</v>
      </c>
      <c r="E7" s="14">
        <f t="shared" si="1"/>
        <v>0</v>
      </c>
      <c r="F7" s="14">
        <f t="shared" si="1"/>
        <v>0</v>
      </c>
      <c r="G7" s="14">
        <f t="shared" si="1"/>
        <v>0</v>
      </c>
      <c r="H7" s="14">
        <f t="shared" si="1"/>
        <v>0</v>
      </c>
      <c r="I7" s="14">
        <f t="shared" si="1"/>
        <v>0</v>
      </c>
      <c r="J7" s="14">
        <f t="shared" si="1"/>
        <v>0</v>
      </c>
      <c r="K7" s="14">
        <f t="shared" si="1"/>
        <v>0</v>
      </c>
      <c r="L7" s="14">
        <f t="shared" si="1"/>
        <v>0</v>
      </c>
      <c r="M7" s="14">
        <f t="shared" si="1"/>
        <v>0</v>
      </c>
      <c r="N7" s="9">
        <f>SUM(C7:L7)</f>
        <v>0</v>
      </c>
    </row>
    <row r="8" spans="1:14">
      <c r="A8" s="12" t="s">
        <v>23</v>
      </c>
      <c r="B8" s="13" t="s">
        <v>21</v>
      </c>
      <c r="C8" s="14">
        <f>SUM(C27,C40,C53,C66)</f>
        <v>0</v>
      </c>
      <c r="D8" s="14">
        <f t="shared" si="1"/>
        <v>0</v>
      </c>
      <c r="E8" s="14">
        <f t="shared" si="1"/>
        <v>0</v>
      </c>
      <c r="F8" s="14">
        <f t="shared" si="1"/>
        <v>0</v>
      </c>
      <c r="G8" s="14">
        <f t="shared" si="1"/>
        <v>0</v>
      </c>
      <c r="H8" s="14">
        <f t="shared" si="1"/>
        <v>0</v>
      </c>
      <c r="I8" s="14">
        <f t="shared" si="1"/>
        <v>0</v>
      </c>
      <c r="J8" s="14">
        <f t="shared" si="1"/>
        <v>0</v>
      </c>
      <c r="K8" s="14">
        <f t="shared" si="1"/>
        <v>0</v>
      </c>
      <c r="L8" s="14">
        <f t="shared" si="1"/>
        <v>0</v>
      </c>
      <c r="M8" s="14">
        <f t="shared" si="1"/>
        <v>0</v>
      </c>
      <c r="N8" s="9">
        <f>SUM(C8:L8)</f>
        <v>0</v>
      </c>
    </row>
    <row r="9" spans="1:14">
      <c r="A9" s="12" t="s">
        <v>24</v>
      </c>
      <c r="B9" s="13" t="s">
        <v>21</v>
      </c>
      <c r="C9" s="14">
        <f>SUM(C25,C38,C51,C64)</f>
        <v>0</v>
      </c>
      <c r="D9" s="14">
        <f t="shared" ref="D9:M9" si="2">SUM(D25,D38,D51,D64)</f>
        <v>0</v>
      </c>
      <c r="E9" s="14">
        <f t="shared" si="2"/>
        <v>0</v>
      </c>
      <c r="F9" s="14">
        <f t="shared" si="2"/>
        <v>0</v>
      </c>
      <c r="G9" s="14">
        <f t="shared" si="2"/>
        <v>0</v>
      </c>
      <c r="H9" s="14">
        <f t="shared" si="2"/>
        <v>0</v>
      </c>
      <c r="I9" s="14">
        <f t="shared" si="2"/>
        <v>0</v>
      </c>
      <c r="J9" s="14">
        <f t="shared" si="2"/>
        <v>0</v>
      </c>
      <c r="K9" s="14">
        <f t="shared" si="2"/>
        <v>0</v>
      </c>
      <c r="L9" s="14">
        <f t="shared" si="2"/>
        <v>0</v>
      </c>
      <c r="M9" s="14">
        <f t="shared" si="2"/>
        <v>0</v>
      </c>
      <c r="N9" s="9">
        <f>SUM(C9:L9)</f>
        <v>0</v>
      </c>
    </row>
    <row r="10" spans="1:14">
      <c r="A10" s="12" t="s">
        <v>25</v>
      </c>
      <c r="B10" s="13" t="s">
        <v>21</v>
      </c>
      <c r="C10" s="14">
        <v>1</v>
      </c>
      <c r="D10" s="14">
        <f t="shared" ref="D10:M10" si="3">SUM(D29,D42,D55,D68)</f>
        <v>0</v>
      </c>
      <c r="E10" s="14">
        <f t="shared" si="3"/>
        <v>0</v>
      </c>
      <c r="F10" s="14">
        <f t="shared" si="3"/>
        <v>0</v>
      </c>
      <c r="G10" s="14">
        <f t="shared" si="3"/>
        <v>0</v>
      </c>
      <c r="H10" s="14">
        <f t="shared" si="3"/>
        <v>0</v>
      </c>
      <c r="I10" s="14">
        <f t="shared" si="3"/>
        <v>0</v>
      </c>
      <c r="J10" s="14">
        <f t="shared" si="3"/>
        <v>0</v>
      </c>
      <c r="K10" s="14">
        <f t="shared" si="3"/>
        <v>0</v>
      </c>
      <c r="L10" s="14">
        <f t="shared" si="3"/>
        <v>0</v>
      </c>
      <c r="M10" s="14">
        <f t="shared" si="3"/>
        <v>0</v>
      </c>
      <c r="N10" s="9">
        <f>SUM(C10:L10)</f>
        <v>1</v>
      </c>
    </row>
    <row r="11" spans="1:14">
      <c r="A11" s="7"/>
      <c r="B11" s="11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>
      <c r="A12" s="7" t="s">
        <v>26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10"/>
    </row>
    <row r="13" spans="1:14">
      <c r="A13" s="12" t="s">
        <v>27</v>
      </c>
      <c r="B13" s="16" t="s">
        <v>28</v>
      </c>
      <c r="C13" s="14">
        <f>SUM(C34,C47,C60,C73)</f>
        <v>0</v>
      </c>
      <c r="D13" s="14">
        <f t="shared" ref="D13:M13" si="4">SUM(D34,D47,D60,D73)</f>
        <v>0</v>
      </c>
      <c r="E13" s="14">
        <f t="shared" si="4"/>
        <v>0</v>
      </c>
      <c r="F13" s="14">
        <f t="shared" si="4"/>
        <v>0</v>
      </c>
      <c r="G13" s="14">
        <f t="shared" si="4"/>
        <v>0</v>
      </c>
      <c r="H13" s="14">
        <f t="shared" si="4"/>
        <v>0</v>
      </c>
      <c r="I13" s="14">
        <f t="shared" si="4"/>
        <v>0</v>
      </c>
      <c r="J13" s="14">
        <f t="shared" si="4"/>
        <v>0</v>
      </c>
      <c r="K13" s="14">
        <f t="shared" si="4"/>
        <v>0</v>
      </c>
      <c r="L13" s="14">
        <f t="shared" si="4"/>
        <v>0</v>
      </c>
      <c r="M13" s="14">
        <f t="shared" si="4"/>
        <v>0</v>
      </c>
      <c r="N13" s="9">
        <f t="shared" ref="N13:N15" si="5">SUM(C13:M13)</f>
        <v>0</v>
      </c>
    </row>
    <row r="14" spans="1:14">
      <c r="A14" s="12" t="s">
        <v>29</v>
      </c>
      <c r="B14" s="16" t="s">
        <v>28</v>
      </c>
      <c r="C14" s="14">
        <f>SUM(C33,C46,C59,C72)</f>
        <v>0</v>
      </c>
      <c r="D14" s="14">
        <v>1</v>
      </c>
      <c r="E14" s="14">
        <v>1</v>
      </c>
      <c r="F14" s="14">
        <f t="shared" ref="F14:M14" si="6">SUM(F33,F46,F59,F72)</f>
        <v>0</v>
      </c>
      <c r="G14" s="14">
        <v>1</v>
      </c>
      <c r="H14" s="14">
        <v>2</v>
      </c>
      <c r="I14" s="14">
        <f t="shared" si="6"/>
        <v>0</v>
      </c>
      <c r="J14" s="14">
        <f t="shared" si="6"/>
        <v>0</v>
      </c>
      <c r="K14" s="14">
        <f t="shared" si="6"/>
        <v>0</v>
      </c>
      <c r="L14" s="14">
        <f t="shared" si="6"/>
        <v>0</v>
      </c>
      <c r="M14" s="14">
        <f t="shared" si="6"/>
        <v>0</v>
      </c>
      <c r="N14" s="9">
        <f t="shared" si="5"/>
        <v>5</v>
      </c>
    </row>
    <row r="15" spans="1:14">
      <c r="A15" s="12" t="s">
        <v>30</v>
      </c>
      <c r="B15" s="16" t="s">
        <v>28</v>
      </c>
      <c r="C15" s="14">
        <f>SUM(C32,C45,C58,C71)</f>
        <v>0</v>
      </c>
      <c r="D15" s="14">
        <f t="shared" ref="D15:M15" si="7">SUM(D32,D45,D58,D71)</f>
        <v>0</v>
      </c>
      <c r="E15" s="14">
        <v>1</v>
      </c>
      <c r="F15" s="14">
        <f t="shared" si="7"/>
        <v>0</v>
      </c>
      <c r="G15" s="14">
        <v>2</v>
      </c>
      <c r="H15" s="14">
        <v>2</v>
      </c>
      <c r="I15" s="14">
        <v>1</v>
      </c>
      <c r="J15" s="14">
        <v>1</v>
      </c>
      <c r="K15" s="14">
        <f t="shared" si="7"/>
        <v>0</v>
      </c>
      <c r="L15" s="14">
        <f t="shared" si="7"/>
        <v>0</v>
      </c>
      <c r="M15" s="14">
        <f t="shared" si="7"/>
        <v>0</v>
      </c>
      <c r="N15" s="9">
        <f t="shared" si="5"/>
        <v>7</v>
      </c>
    </row>
    <row r="16" spans="1:14">
      <c r="A16" s="12" t="s">
        <v>31</v>
      </c>
      <c r="B16" s="16" t="s">
        <v>28</v>
      </c>
      <c r="C16" s="14">
        <v>7</v>
      </c>
      <c r="D16" s="14">
        <v>2</v>
      </c>
      <c r="E16" s="14">
        <v>16</v>
      </c>
      <c r="F16" s="14">
        <v>1</v>
      </c>
      <c r="G16" s="14">
        <v>35</v>
      </c>
      <c r="H16" s="14">
        <v>41</v>
      </c>
      <c r="I16" s="14">
        <v>33</v>
      </c>
      <c r="J16" s="14">
        <v>9</v>
      </c>
      <c r="K16" s="14">
        <v>16</v>
      </c>
      <c r="L16" s="14">
        <v>5</v>
      </c>
      <c r="M16" s="14">
        <v>4</v>
      </c>
      <c r="N16" s="9">
        <f>SUM(C16:M16)</f>
        <v>169</v>
      </c>
    </row>
    <row r="17" spans="1:14">
      <c r="A17" s="12" t="s">
        <v>25</v>
      </c>
      <c r="B17" s="16" t="s">
        <v>28</v>
      </c>
      <c r="C17" s="14">
        <f>SUM(C35,C48,C61,C74)</f>
        <v>0</v>
      </c>
      <c r="D17" s="14">
        <f t="shared" ref="D17:M17" si="8">SUM(D35,D48,D61,D74)</f>
        <v>0</v>
      </c>
      <c r="E17" s="14">
        <f t="shared" si="8"/>
        <v>0</v>
      </c>
      <c r="F17" s="14">
        <f t="shared" si="8"/>
        <v>0</v>
      </c>
      <c r="G17" s="14">
        <v>2</v>
      </c>
      <c r="H17" s="14">
        <v>3</v>
      </c>
      <c r="I17" s="14">
        <v>3</v>
      </c>
      <c r="J17" s="14">
        <f t="shared" si="8"/>
        <v>0</v>
      </c>
      <c r="K17" s="14">
        <f t="shared" si="8"/>
        <v>0</v>
      </c>
      <c r="L17" s="14">
        <f t="shared" si="8"/>
        <v>0</v>
      </c>
      <c r="M17" s="14">
        <f t="shared" si="8"/>
        <v>0</v>
      </c>
      <c r="N17" s="9">
        <f>SUM(C17:M17)</f>
        <v>8</v>
      </c>
    </row>
    <row r="18" spans="1:14">
      <c r="A18" s="9"/>
      <c r="B18" s="15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</row>
    <row r="19" spans="1:14">
      <c r="B19" s="17"/>
    </row>
    <row r="20" spans="1:14">
      <c r="B20" s="18" t="s">
        <v>32</v>
      </c>
    </row>
    <row r="21" spans="1:14">
      <c r="B21" s="18" t="s">
        <v>33</v>
      </c>
    </row>
  </sheetData>
  <mergeCells count="2">
    <mergeCell ref="G1:H1"/>
    <mergeCell ref="I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Amy Jo Tharp</dc:creator>
  <cp:keywords/>
  <dc:description/>
  <cp:lastModifiedBy>Hernandez, David</cp:lastModifiedBy>
  <cp:revision/>
  <dcterms:created xsi:type="dcterms:W3CDTF">2024-05-16T16:07:42Z</dcterms:created>
  <dcterms:modified xsi:type="dcterms:W3CDTF">2024-06-08T00:16:43Z</dcterms:modified>
  <cp:category/>
  <cp:contentStatus/>
</cp:coreProperties>
</file>