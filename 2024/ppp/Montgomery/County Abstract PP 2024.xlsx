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bstrats SP\"/>
    </mc:Choice>
  </mc:AlternateContent>
  <xr:revisionPtr revIDLastSave="0" documentId="13_ncr:1_{DF28FB75-9156-4ED9-BF79-46A653C2E156}" xr6:coauthVersionLast="47" xr6:coauthVersionMax="47" xr10:uidLastSave="{00000000-0000-0000-0000-000000000000}"/>
  <bookViews>
    <workbookView xWindow="0" yWindow="0" windowWidth="28800" windowHeight="11925" xr2:uid="{E3B3EB6C-3614-4BE1-881E-02797BC42D1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H73" i="1"/>
  <c r="I73" i="1"/>
  <c r="J73" i="1"/>
  <c r="L73" i="1"/>
  <c r="M73" i="1"/>
  <c r="N73" i="1"/>
  <c r="O73" i="1"/>
  <c r="P73" i="1"/>
  <c r="F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<sst xmlns="http://schemas.openxmlformats.org/spreadsheetml/2006/main" count="157" uniqueCount="145">
  <si>
    <t>MONTGOMERY COUNTY</t>
  </si>
  <si>
    <t>PRESIDENTIAL PERFERENCE PRIMARY MARCH 19, 2024</t>
  </si>
  <si>
    <t>DEMOCRATIC US PRESIDENT</t>
  </si>
  <si>
    <t>REPUBLICAN US PRESIDENT</t>
  </si>
  <si>
    <t>TOTAL</t>
  </si>
  <si>
    <t>VTD</t>
  </si>
  <si>
    <t>Marianne Williamson- D</t>
  </si>
  <si>
    <t>Jason Michael Palmer-D</t>
  </si>
  <si>
    <t>Dean Phillips- D</t>
  </si>
  <si>
    <t>Joseph R Biden Jr- D</t>
  </si>
  <si>
    <t>None of the names shown- D</t>
  </si>
  <si>
    <t>Donald J. Trump- R</t>
  </si>
  <si>
    <t>Nikki R. Haley-R</t>
  </si>
  <si>
    <t>Ron DeSantis- R</t>
  </si>
  <si>
    <t>Ryan L. Binkley-R</t>
  </si>
  <si>
    <t>None of the Names Shown- R</t>
  </si>
  <si>
    <t>VOTES</t>
  </si>
  <si>
    <t>CODES</t>
  </si>
  <si>
    <t>City/Twp</t>
  </si>
  <si>
    <t>WARD AND PRECINCT</t>
  </si>
  <si>
    <t>00001A</t>
  </si>
  <si>
    <t>CANEY</t>
  </si>
  <si>
    <t>FIRST WARD/PRECINCT ONE</t>
  </si>
  <si>
    <t>FIRST WARD/PRECINCT TWO</t>
  </si>
  <si>
    <t>00001B</t>
  </si>
  <si>
    <t>FIRST WARD/PRECINCT TWO EXC A H12</t>
  </si>
  <si>
    <t>000020</t>
  </si>
  <si>
    <t>SECOND WARD/PRECINCT ONE</t>
  </si>
  <si>
    <t>000030</t>
  </si>
  <si>
    <t>THIRD WARD/PRECINCT ONE</t>
  </si>
  <si>
    <t>THIRD WARD/PRECINCT TWO</t>
  </si>
  <si>
    <t>THIRD WARD/PRECINCT TWO EXC A</t>
  </si>
  <si>
    <t>000040</t>
  </si>
  <si>
    <t>FOURTH WARD/PRECINCT ONE</t>
  </si>
  <si>
    <t>FOURTH WARD/PRECINCT TWO</t>
  </si>
  <si>
    <t>FOURTH WARD/PRECINCT TWO EXC A</t>
  </si>
  <si>
    <t>FOURTH WARD/PRECINCT TWO EXC B</t>
  </si>
  <si>
    <t>000090</t>
  </si>
  <si>
    <t>CHERRYVALE</t>
  </si>
  <si>
    <t>FIRST WARD</t>
  </si>
  <si>
    <t>000100</t>
  </si>
  <si>
    <t>SECOND WARD</t>
  </si>
  <si>
    <t>000110</t>
  </si>
  <si>
    <t>COFFEYVILLE</t>
  </si>
  <si>
    <t>FIRST PRECINCT</t>
  </si>
  <si>
    <t>WARD ONE PRECINCT ONE EXC 2</t>
  </si>
  <si>
    <t>000120</t>
  </si>
  <si>
    <t>SECOND PRECINCT</t>
  </si>
  <si>
    <t>000130</t>
  </si>
  <si>
    <t>THIRD PRECINCT</t>
  </si>
  <si>
    <t>000140</t>
  </si>
  <si>
    <t>FOURTH PRECINCT</t>
  </si>
  <si>
    <t>000150</t>
  </si>
  <si>
    <t>FIFTH PRECINCT</t>
  </si>
  <si>
    <t>000160</t>
  </si>
  <si>
    <t>SIXTH PRECINCT</t>
  </si>
  <si>
    <t>000170</t>
  </si>
  <si>
    <t>SEVENTH PRECINCT</t>
  </si>
  <si>
    <t>000180</t>
  </si>
  <si>
    <t>EIGHTH PRECINCT</t>
  </si>
  <si>
    <t>000190</t>
  </si>
  <si>
    <t>NINTH PRECINCT</t>
  </si>
  <si>
    <t>000200</t>
  </si>
  <si>
    <t>TENTH PRECINCT</t>
  </si>
  <si>
    <t>000210</t>
  </si>
  <si>
    <t>ELEVENTH PRECINCT</t>
  </si>
  <si>
    <t>000220</t>
  </si>
  <si>
    <t>TWELFTH PRECINCT</t>
  </si>
  <si>
    <t>000230</t>
  </si>
  <si>
    <t>THIRTEENTH PRECINCT</t>
  </si>
  <si>
    <t>000270</t>
  </si>
  <si>
    <t>INDEPENDENCE</t>
  </si>
  <si>
    <t>000280</t>
  </si>
  <si>
    <t>000290</t>
  </si>
  <si>
    <t>000300</t>
  </si>
  <si>
    <t>SECOND WARD/PRECINCT TWO</t>
  </si>
  <si>
    <t>000310</t>
  </si>
  <si>
    <t>00032A</t>
  </si>
  <si>
    <t>THIRD WARD/PRECINCT TWO H11</t>
  </si>
  <si>
    <t>THIRD WARD/PRECINCT TWO H12</t>
  </si>
  <si>
    <t>000330</t>
  </si>
  <si>
    <t>000340</t>
  </si>
  <si>
    <t>000350</t>
  </si>
  <si>
    <t>FIFTH WARD/PRECINCT ONE</t>
  </si>
  <si>
    <t>000360</t>
  </si>
  <si>
    <t>FIFTH WARD/PRECINCT TWO</t>
  </si>
  <si>
    <t>120020</t>
  </si>
  <si>
    <t>SIXTH WARD/PRECINCT ONE H12</t>
  </si>
  <si>
    <t>120030</t>
  </si>
  <si>
    <t>SIXTH WARD/PRECINCT ONE H12C</t>
  </si>
  <si>
    <t>120040</t>
  </si>
  <si>
    <t>SIXTH WARD/PRECINCT TWO H11</t>
  </si>
  <si>
    <t>12004A</t>
  </si>
  <si>
    <t>SIXTH WARD/PRECINCT TWO H11A</t>
  </si>
  <si>
    <t>120050</t>
  </si>
  <si>
    <t>SIXTH WARD/PRECINCT TWO H11B</t>
  </si>
  <si>
    <t>12005A</t>
  </si>
  <si>
    <t>SIXTH WARD/PRECINCT TWO H12</t>
  </si>
  <si>
    <t>SIXTH WARD/PRECINCT TWO H12B</t>
  </si>
  <si>
    <t>000050</t>
  </si>
  <si>
    <t>HAVANA PRECINCT</t>
  </si>
  <si>
    <t>000060</t>
  </si>
  <si>
    <t>TYRO PRECINCT</t>
  </si>
  <si>
    <t>000070</t>
  </si>
  <si>
    <t>CHEROKEE</t>
  </si>
  <si>
    <t>000080</t>
  </si>
  <si>
    <t>CHERRY</t>
  </si>
  <si>
    <t>000240</t>
  </si>
  <si>
    <t>DRUM CREEK</t>
  </si>
  <si>
    <t>FAWN CREEK</t>
  </si>
  <si>
    <t>DEARING CITY</t>
  </si>
  <si>
    <t>000250</t>
  </si>
  <si>
    <t>DEARING PRECINCT</t>
  </si>
  <si>
    <t>000260</t>
  </si>
  <si>
    <t>TYRO PRECINCT H11</t>
  </si>
  <si>
    <t>TYRO PRECINCT H12</t>
  </si>
  <si>
    <t>120060</t>
  </si>
  <si>
    <t xml:space="preserve">INDEPENDENCE </t>
  </si>
  <si>
    <t>FIRST PRECINCT H11</t>
  </si>
  <si>
    <t>120070</t>
  </si>
  <si>
    <t>FIRST PRECINCT H12</t>
  </si>
  <si>
    <t>900050</t>
  </si>
  <si>
    <t>FIRST PRECINCT ENCLAVE H12</t>
  </si>
  <si>
    <t>120090</t>
  </si>
  <si>
    <t>SECOND PRECINCT PART A H12</t>
  </si>
  <si>
    <t>00040C</t>
  </si>
  <si>
    <t>SECOND PRECINCT PART C H11</t>
  </si>
  <si>
    <t>000410</t>
  </si>
  <si>
    <t>LIBERTY</t>
  </si>
  <si>
    <t>000420</t>
  </si>
  <si>
    <t>LOUISBURG</t>
  </si>
  <si>
    <t>000430</t>
  </si>
  <si>
    <t>PARKER</t>
  </si>
  <si>
    <t>00044A</t>
  </si>
  <si>
    <t>00044B</t>
  </si>
  <si>
    <t>SECOND PRECINCT ENCLAVE H11</t>
  </si>
  <si>
    <t>000450</t>
  </si>
  <si>
    <t>RUTLAND</t>
  </si>
  <si>
    <t>120100</t>
  </si>
  <si>
    <t>SYCAMORE</t>
  </si>
  <si>
    <t>000470</t>
  </si>
  <si>
    <t>WEST CHERRY</t>
  </si>
  <si>
    <t xml:space="preserve">                     TOTAL COUNTY VOTES</t>
  </si>
  <si>
    <t>HAND COUNT BALLOTS</t>
  </si>
  <si>
    <t>PROVISIONAL BALLOTS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</si>
</sst>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EF86-9621-49F9-B027-6E61DCB079EF}">
  <sheetPr>
    <pageSetUpPr fitToPage="1"/>
  </sheetPr>
  <dimension ref="A1:R76"/>
  <sheetViews>
    <sheetView tabSelected="1" workbookViewId="0">
      <pane ySplit="5" topLeftCell="A66" activePane="bottomLeft" state="frozen"/>
      <selection pane="bottomLeft" activeCell="A76" sqref="A76"/>
    </sheetView>
  </sheetViews>
  <sheetFormatPr defaultRowHeight="15"/>
  <cols>
    <col min="1" max="1" width="9.85546875" customWidth="1"/>
    <col min="2" max="2" width="10.85546875" customWidth="1"/>
    <col min="3" max="3" width="26.5703125" bestFit="1" customWidth="1"/>
    <col min="4" max="4" width="36.140625" bestFit="1" customWidth="1"/>
    <col min="5" max="5" width="2.42578125" style="11" customWidth="1"/>
    <col min="6" max="6" width="23" style="2" bestFit="1" customWidth="1"/>
    <col min="7" max="7" width="22.5703125" style="2" bestFit="1" customWidth="1"/>
    <col min="8" max="8" width="15.140625" style="2" bestFit="1" customWidth="1"/>
    <col min="9" max="9" width="18.85546875" style="2" bestFit="1" customWidth="1"/>
    <col min="10" max="10" width="27.140625" style="2" bestFit="1" customWidth="1"/>
    <col min="11" max="11" width="1.7109375" style="11" customWidth="1"/>
    <col min="12" max="12" width="17.7109375" style="2" bestFit="1" customWidth="1"/>
    <col min="13" max="13" width="15.140625" style="2" bestFit="1" customWidth="1"/>
    <col min="14" max="14" width="15" style="2" bestFit="1" customWidth="1"/>
    <col min="15" max="15" width="16.140625" style="2" bestFit="1" customWidth="1"/>
    <col min="16" max="16" width="27.42578125" style="2" bestFit="1" customWidth="1"/>
    <col min="17" max="17" width="2" style="11" customWidth="1"/>
  </cols>
  <sheetData>
    <row r="1" spans="1:18" ht="25.5" customHeight="1">
      <c r="A1" s="1" t="s">
        <v>0</v>
      </c>
    </row>
    <row r="2" spans="1:18" ht="17.25" customHeight="1">
      <c r="A2" s="1" t="s">
        <v>1</v>
      </c>
      <c r="B2" s="1"/>
      <c r="C2" s="1"/>
      <c r="D2" s="1"/>
      <c r="E2" s="12"/>
      <c r="F2" s="20" t="s">
        <v>2</v>
      </c>
      <c r="G2" s="20"/>
      <c r="H2" s="20"/>
      <c r="I2" s="20"/>
      <c r="J2" s="20"/>
      <c r="L2" s="20" t="s">
        <v>3</v>
      </c>
      <c r="M2" s="20"/>
      <c r="N2" s="20"/>
      <c r="O2" s="20"/>
      <c r="P2" s="20"/>
      <c r="Q2" s="12"/>
      <c r="R2" s="1"/>
    </row>
    <row r="4" spans="1:18">
      <c r="A4" s="3" t="s">
        <v>4</v>
      </c>
      <c r="B4" s="4" t="s">
        <v>5</v>
      </c>
      <c r="C4" s="3"/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</row>
    <row r="5" spans="1:18" ht="15.75">
      <c r="A5" s="3" t="s">
        <v>16</v>
      </c>
      <c r="B5" s="4" t="s">
        <v>17</v>
      </c>
      <c r="C5" s="5" t="s">
        <v>18</v>
      </c>
      <c r="D5" s="5" t="s">
        <v>19</v>
      </c>
      <c r="E5" s="14"/>
      <c r="F5" s="13"/>
      <c r="G5" s="13"/>
      <c r="H5" s="13"/>
      <c r="I5" s="13"/>
      <c r="J5" s="13"/>
      <c r="L5" s="13"/>
      <c r="M5" s="13"/>
      <c r="N5" s="13"/>
      <c r="O5" s="13"/>
      <c r="P5" s="13"/>
    </row>
    <row r="6" spans="1:18">
      <c r="A6" s="3">
        <v>32</v>
      </c>
      <c r="B6" s="6" t="s">
        <v>20</v>
      </c>
      <c r="C6" s="3" t="s">
        <v>21</v>
      </c>
      <c r="D6" t="s">
        <v>22</v>
      </c>
      <c r="F6" s="2">
        <v>0</v>
      </c>
      <c r="G6" s="2">
        <v>0</v>
      </c>
      <c r="H6" s="2">
        <v>1</v>
      </c>
      <c r="I6" s="2">
        <v>3</v>
      </c>
      <c r="J6" s="2">
        <v>0</v>
      </c>
      <c r="L6" s="2">
        <v>25</v>
      </c>
      <c r="M6" s="2">
        <v>1</v>
      </c>
      <c r="N6" s="2">
        <v>0</v>
      </c>
      <c r="O6" s="2">
        <v>0</v>
      </c>
      <c r="P6" s="2">
        <v>2</v>
      </c>
    </row>
    <row r="7" spans="1:18">
      <c r="A7" s="3">
        <f t="shared" ref="A7:A16" si="0">SUM(F7:AQ7)</f>
        <v>1</v>
      </c>
      <c r="B7" s="6" t="s">
        <v>20</v>
      </c>
      <c r="C7" s="3"/>
      <c r="D7" t="s">
        <v>23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8">
      <c r="A8" s="3">
        <f t="shared" si="0"/>
        <v>0</v>
      </c>
      <c r="B8" s="6" t="s">
        <v>24</v>
      </c>
      <c r="C8" s="3"/>
      <c r="D8" t="s">
        <v>25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8">
      <c r="A9" s="3">
        <f t="shared" si="0"/>
        <v>17</v>
      </c>
      <c r="B9" s="6" t="s">
        <v>26</v>
      </c>
      <c r="C9" s="3"/>
      <c r="D9" t="s">
        <v>27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L9" s="2">
        <v>14</v>
      </c>
      <c r="M9" s="2">
        <v>2</v>
      </c>
      <c r="N9" s="2">
        <v>0</v>
      </c>
      <c r="O9" s="2">
        <v>0</v>
      </c>
      <c r="P9" s="2">
        <v>0</v>
      </c>
    </row>
    <row r="10" spans="1:18">
      <c r="A10" s="3">
        <f t="shared" si="0"/>
        <v>19</v>
      </c>
      <c r="B10" s="6" t="s">
        <v>28</v>
      </c>
      <c r="C10" s="3"/>
      <c r="D10" t="s">
        <v>29</v>
      </c>
      <c r="F10" s="2">
        <v>0</v>
      </c>
      <c r="G10" s="2">
        <v>0</v>
      </c>
      <c r="H10" s="2">
        <v>0</v>
      </c>
      <c r="I10" s="2">
        <v>2</v>
      </c>
      <c r="J10" s="2">
        <v>0</v>
      </c>
      <c r="L10" s="2">
        <v>12</v>
      </c>
      <c r="M10" s="2">
        <v>3</v>
      </c>
      <c r="N10" s="2">
        <v>0</v>
      </c>
      <c r="O10" s="2">
        <v>2</v>
      </c>
      <c r="P10" s="2">
        <v>0</v>
      </c>
    </row>
    <row r="11" spans="1:18">
      <c r="A11" s="3">
        <f t="shared" si="0"/>
        <v>0</v>
      </c>
      <c r="B11" s="6" t="s">
        <v>28</v>
      </c>
      <c r="C11" s="3"/>
      <c r="D11" t="s">
        <v>30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8">
      <c r="A12" s="3">
        <f t="shared" si="0"/>
        <v>0</v>
      </c>
      <c r="B12" s="6"/>
      <c r="C12" s="3"/>
      <c r="D12" s="7" t="s">
        <v>31</v>
      </c>
      <c r="E12" s="15"/>
      <c r="F12" s="2">
        <v>0</v>
      </c>
      <c r="G12" s="2">
        <v>0</v>
      </c>
      <c r="H12" s="2">
        <v>0</v>
      </c>
      <c r="I12" s="2">
        <v>0</v>
      </c>
      <c r="J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8">
      <c r="A13" s="3">
        <f t="shared" si="0"/>
        <v>25</v>
      </c>
      <c r="B13" s="6" t="s">
        <v>32</v>
      </c>
      <c r="C13" s="3"/>
      <c r="D13" t="s">
        <v>33</v>
      </c>
      <c r="F13" s="2">
        <v>1</v>
      </c>
      <c r="G13" s="2">
        <v>0</v>
      </c>
      <c r="H13" s="2">
        <v>0</v>
      </c>
      <c r="I13" s="2">
        <v>3</v>
      </c>
      <c r="J13" s="2">
        <v>0</v>
      </c>
      <c r="L13" s="2">
        <v>18</v>
      </c>
      <c r="M13" s="2">
        <v>1</v>
      </c>
      <c r="N13" s="2">
        <v>0</v>
      </c>
      <c r="O13" s="2">
        <v>0</v>
      </c>
      <c r="P13" s="2">
        <v>2</v>
      </c>
    </row>
    <row r="14" spans="1:18">
      <c r="A14" s="3">
        <f t="shared" si="0"/>
        <v>1</v>
      </c>
      <c r="B14" s="6" t="s">
        <v>32</v>
      </c>
      <c r="C14" s="3"/>
      <c r="D14" t="s">
        <v>34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8">
      <c r="A15" s="3">
        <f t="shared" si="0"/>
        <v>0</v>
      </c>
      <c r="B15" s="6"/>
      <c r="C15" s="3"/>
      <c r="D15" s="7" t="s">
        <v>35</v>
      </c>
      <c r="E15" s="15"/>
      <c r="F15" s="2">
        <v>0</v>
      </c>
      <c r="G15" s="2">
        <v>0</v>
      </c>
      <c r="H15" s="2">
        <v>0</v>
      </c>
      <c r="I15" s="2">
        <v>0</v>
      </c>
      <c r="J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8">
      <c r="A16" s="3">
        <f t="shared" si="0"/>
        <v>0</v>
      </c>
      <c r="B16" s="6"/>
      <c r="C16" s="3"/>
      <c r="D16" s="7" t="s">
        <v>36</v>
      </c>
      <c r="E16" s="15"/>
      <c r="F16" s="2">
        <v>0</v>
      </c>
      <c r="G16" s="2">
        <v>0</v>
      </c>
      <c r="H16" s="2">
        <v>0</v>
      </c>
      <c r="I16" s="2">
        <v>0</v>
      </c>
      <c r="J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>
      <c r="A17" s="3">
        <f>SUM(F17:AQ17)</f>
        <v>56</v>
      </c>
      <c r="B17" s="6" t="s">
        <v>37</v>
      </c>
      <c r="C17" s="3" t="s">
        <v>38</v>
      </c>
      <c r="D17" t="s">
        <v>39</v>
      </c>
      <c r="F17" s="2">
        <v>1</v>
      </c>
      <c r="G17" s="2">
        <v>0</v>
      </c>
      <c r="H17" s="2">
        <v>0</v>
      </c>
      <c r="I17" s="2">
        <v>10</v>
      </c>
      <c r="J17" s="2">
        <v>0</v>
      </c>
      <c r="L17" s="2">
        <v>38</v>
      </c>
      <c r="M17" s="2">
        <v>3</v>
      </c>
      <c r="N17" s="2">
        <v>1</v>
      </c>
      <c r="O17" s="2">
        <v>0</v>
      </c>
      <c r="P17" s="2">
        <v>3</v>
      </c>
    </row>
    <row r="18" spans="1:16">
      <c r="A18" s="3">
        <f>SUM(F18:AQ18)</f>
        <v>44</v>
      </c>
      <c r="B18" s="6" t="s">
        <v>40</v>
      </c>
      <c r="C18" s="3"/>
      <c r="D18" t="s">
        <v>41</v>
      </c>
      <c r="F18" s="2">
        <v>0</v>
      </c>
      <c r="G18" s="2">
        <v>0</v>
      </c>
      <c r="H18" s="2">
        <v>0</v>
      </c>
      <c r="I18" s="2">
        <v>1</v>
      </c>
      <c r="J18" s="2">
        <v>4</v>
      </c>
      <c r="L18" s="2">
        <v>36</v>
      </c>
      <c r="M18" s="2">
        <v>2</v>
      </c>
      <c r="N18" s="2">
        <v>0</v>
      </c>
      <c r="O18" s="2">
        <v>0</v>
      </c>
      <c r="P18" s="2">
        <v>1</v>
      </c>
    </row>
    <row r="19" spans="1:16">
      <c r="A19" s="3">
        <f>SUM(F19:AQ19)</f>
        <v>2</v>
      </c>
      <c r="B19" s="6" t="s">
        <v>42</v>
      </c>
      <c r="C19" s="3" t="s">
        <v>43</v>
      </c>
      <c r="D19" t="s">
        <v>44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</row>
    <row r="20" spans="1:16">
      <c r="A20" s="3">
        <f t="shared" ref="A20:A32" si="1">SUM(F20:AQ20)</f>
        <v>0</v>
      </c>
      <c r="B20" s="6"/>
      <c r="C20" s="3"/>
      <c r="D20" s="7" t="s">
        <v>45</v>
      </c>
      <c r="E20" s="15"/>
      <c r="F20" s="2">
        <v>0</v>
      </c>
      <c r="G20" s="2">
        <v>0</v>
      </c>
      <c r="H20" s="2">
        <v>0</v>
      </c>
      <c r="I20" s="2">
        <v>0</v>
      </c>
      <c r="J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>
      <c r="A21" s="3">
        <f t="shared" si="1"/>
        <v>13</v>
      </c>
      <c r="B21" s="6" t="s">
        <v>46</v>
      </c>
      <c r="C21" s="3"/>
      <c r="D21" t="s">
        <v>47</v>
      </c>
      <c r="F21" s="2">
        <v>0</v>
      </c>
      <c r="G21" s="2">
        <v>0</v>
      </c>
      <c r="H21" s="2">
        <v>0</v>
      </c>
      <c r="I21" s="2">
        <v>4</v>
      </c>
      <c r="J21" s="2">
        <v>0</v>
      </c>
      <c r="L21" s="2">
        <v>9</v>
      </c>
      <c r="M21" s="2">
        <v>0</v>
      </c>
      <c r="N21" s="2">
        <v>0</v>
      </c>
      <c r="O21" s="2">
        <v>0</v>
      </c>
      <c r="P21" s="2">
        <v>0</v>
      </c>
    </row>
    <row r="22" spans="1:16">
      <c r="A22" s="3">
        <f t="shared" si="1"/>
        <v>15</v>
      </c>
      <c r="B22" s="6" t="s">
        <v>48</v>
      </c>
      <c r="C22" s="3"/>
      <c r="D22" t="s">
        <v>49</v>
      </c>
      <c r="F22" s="2">
        <v>1</v>
      </c>
      <c r="G22" s="2">
        <v>0</v>
      </c>
      <c r="H22" s="2">
        <v>1</v>
      </c>
      <c r="I22" s="2">
        <v>2</v>
      </c>
      <c r="J22" s="2">
        <v>2</v>
      </c>
      <c r="L22" s="2">
        <v>9</v>
      </c>
      <c r="M22" s="2">
        <v>0</v>
      </c>
      <c r="N22" s="2">
        <v>0</v>
      </c>
      <c r="O22" s="2">
        <v>0</v>
      </c>
      <c r="P22" s="2">
        <v>0</v>
      </c>
    </row>
    <row r="23" spans="1:16">
      <c r="A23" s="3">
        <f t="shared" si="1"/>
        <v>21</v>
      </c>
      <c r="B23" s="6" t="s">
        <v>50</v>
      </c>
      <c r="C23" s="3"/>
      <c r="D23" t="s">
        <v>51</v>
      </c>
      <c r="F23" s="2">
        <v>0</v>
      </c>
      <c r="G23" s="2">
        <v>0</v>
      </c>
      <c r="H23" s="2">
        <v>0</v>
      </c>
      <c r="I23" s="2">
        <v>4</v>
      </c>
      <c r="J23" s="2">
        <v>0</v>
      </c>
      <c r="L23" s="2">
        <v>13</v>
      </c>
      <c r="M23" s="2">
        <v>0</v>
      </c>
      <c r="N23" s="2">
        <v>0</v>
      </c>
      <c r="O23" s="2">
        <v>1</v>
      </c>
      <c r="P23" s="2">
        <v>3</v>
      </c>
    </row>
    <row r="24" spans="1:16">
      <c r="A24" s="3">
        <f t="shared" si="1"/>
        <v>23</v>
      </c>
      <c r="B24" s="6" t="s">
        <v>52</v>
      </c>
      <c r="C24" s="3"/>
      <c r="D24" t="s">
        <v>53</v>
      </c>
      <c r="F24" s="2">
        <v>0</v>
      </c>
      <c r="G24" s="2">
        <v>0</v>
      </c>
      <c r="H24" s="2">
        <v>0</v>
      </c>
      <c r="I24" s="2">
        <v>7</v>
      </c>
      <c r="J24" s="2">
        <v>1</v>
      </c>
      <c r="L24" s="2">
        <v>10</v>
      </c>
      <c r="M24" s="2">
        <v>4</v>
      </c>
      <c r="N24" s="2">
        <v>0</v>
      </c>
      <c r="O24" s="2">
        <v>0</v>
      </c>
      <c r="P24" s="2">
        <v>1</v>
      </c>
    </row>
    <row r="25" spans="1:16">
      <c r="A25" s="3">
        <f t="shared" si="1"/>
        <v>4</v>
      </c>
      <c r="B25" s="6" t="s">
        <v>54</v>
      </c>
      <c r="C25" s="3"/>
      <c r="D25" t="s">
        <v>55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L25" s="2">
        <v>4</v>
      </c>
      <c r="M25" s="2">
        <v>0</v>
      </c>
      <c r="N25" s="2">
        <v>0</v>
      </c>
      <c r="O25" s="2">
        <v>0</v>
      </c>
      <c r="P25" s="2">
        <v>0</v>
      </c>
    </row>
    <row r="26" spans="1:16">
      <c r="A26" s="3">
        <f t="shared" si="1"/>
        <v>14</v>
      </c>
      <c r="B26" s="6" t="s">
        <v>56</v>
      </c>
      <c r="C26" s="3"/>
      <c r="D26" t="s">
        <v>57</v>
      </c>
      <c r="F26" s="2">
        <v>0</v>
      </c>
      <c r="G26" s="2">
        <v>0</v>
      </c>
      <c r="H26" s="2">
        <v>0</v>
      </c>
      <c r="I26" s="2">
        <v>1</v>
      </c>
      <c r="J26" s="2">
        <v>2</v>
      </c>
      <c r="L26" s="2">
        <v>9</v>
      </c>
      <c r="M26" s="2">
        <v>1</v>
      </c>
      <c r="N26" s="2">
        <v>0</v>
      </c>
      <c r="O26" s="2">
        <v>0</v>
      </c>
      <c r="P26" s="2">
        <v>1</v>
      </c>
    </row>
    <row r="27" spans="1:16">
      <c r="A27" s="3">
        <f t="shared" si="1"/>
        <v>9</v>
      </c>
      <c r="B27" s="6" t="s">
        <v>58</v>
      </c>
      <c r="C27" s="3"/>
      <c r="D27" t="s">
        <v>59</v>
      </c>
      <c r="F27" s="2">
        <v>0</v>
      </c>
      <c r="G27" s="2">
        <v>0</v>
      </c>
      <c r="H27" s="2">
        <v>0</v>
      </c>
      <c r="I27" s="2">
        <v>3</v>
      </c>
      <c r="J27" s="2">
        <v>0</v>
      </c>
      <c r="L27" s="2">
        <v>6</v>
      </c>
      <c r="M27" s="2">
        <v>0</v>
      </c>
      <c r="N27" s="2">
        <v>0</v>
      </c>
      <c r="O27" s="2">
        <v>0</v>
      </c>
      <c r="P27" s="2">
        <v>0</v>
      </c>
    </row>
    <row r="28" spans="1:16">
      <c r="A28" s="3">
        <f t="shared" si="1"/>
        <v>4</v>
      </c>
      <c r="B28" s="6" t="s">
        <v>60</v>
      </c>
      <c r="C28" s="3"/>
      <c r="D28" t="s">
        <v>61</v>
      </c>
      <c r="F28" s="2">
        <v>0</v>
      </c>
      <c r="G28" s="2">
        <v>0</v>
      </c>
      <c r="H28" s="2">
        <v>0</v>
      </c>
      <c r="I28" s="2">
        <v>2</v>
      </c>
      <c r="J28" s="2">
        <v>0</v>
      </c>
      <c r="L28" s="2">
        <v>2</v>
      </c>
      <c r="M28" s="2">
        <v>0</v>
      </c>
      <c r="N28" s="2">
        <v>0</v>
      </c>
      <c r="O28" s="2">
        <v>0</v>
      </c>
      <c r="P28" s="2">
        <v>0</v>
      </c>
    </row>
    <row r="29" spans="1:16">
      <c r="A29" s="3">
        <f t="shared" si="1"/>
        <v>22</v>
      </c>
      <c r="B29" s="6" t="s">
        <v>62</v>
      </c>
      <c r="C29" s="3"/>
      <c r="D29" t="s">
        <v>63</v>
      </c>
      <c r="F29" s="2">
        <v>0</v>
      </c>
      <c r="G29" s="2">
        <v>0</v>
      </c>
      <c r="H29" s="2">
        <v>0</v>
      </c>
      <c r="I29" s="2">
        <v>3</v>
      </c>
      <c r="J29" s="2">
        <v>0</v>
      </c>
      <c r="L29" s="2">
        <v>18</v>
      </c>
      <c r="M29" s="2">
        <v>1</v>
      </c>
      <c r="N29" s="2">
        <v>0</v>
      </c>
      <c r="O29" s="2">
        <v>0</v>
      </c>
      <c r="P29" s="2">
        <v>0</v>
      </c>
    </row>
    <row r="30" spans="1:16">
      <c r="A30" s="3">
        <f t="shared" si="1"/>
        <v>27</v>
      </c>
      <c r="B30" s="6" t="s">
        <v>64</v>
      </c>
      <c r="C30" s="3"/>
      <c r="D30" t="s">
        <v>65</v>
      </c>
      <c r="F30" s="2">
        <v>0</v>
      </c>
      <c r="G30" s="2">
        <v>0</v>
      </c>
      <c r="H30" s="2">
        <v>0</v>
      </c>
      <c r="I30" s="2">
        <v>7</v>
      </c>
      <c r="J30" s="2">
        <v>0</v>
      </c>
      <c r="L30" s="2">
        <v>19</v>
      </c>
      <c r="M30" s="2">
        <v>0</v>
      </c>
      <c r="N30" s="2">
        <v>1</v>
      </c>
      <c r="O30" s="2">
        <v>0</v>
      </c>
      <c r="P30" s="2">
        <v>0</v>
      </c>
    </row>
    <row r="31" spans="1:16">
      <c r="A31" s="3">
        <f t="shared" si="1"/>
        <v>69</v>
      </c>
      <c r="B31" s="6" t="s">
        <v>66</v>
      </c>
      <c r="C31" s="3"/>
      <c r="D31" t="s">
        <v>67</v>
      </c>
      <c r="F31" s="2">
        <v>0</v>
      </c>
      <c r="G31" s="2">
        <v>0</v>
      </c>
      <c r="H31" s="2">
        <v>0</v>
      </c>
      <c r="I31" s="2">
        <v>16</v>
      </c>
      <c r="J31" s="2">
        <v>2</v>
      </c>
      <c r="L31" s="2">
        <v>39</v>
      </c>
      <c r="M31" s="2">
        <v>4</v>
      </c>
      <c r="N31" s="2">
        <v>3</v>
      </c>
      <c r="O31" s="2">
        <v>1</v>
      </c>
      <c r="P31" s="2">
        <v>4</v>
      </c>
    </row>
    <row r="32" spans="1:16">
      <c r="A32" s="3">
        <f t="shared" si="1"/>
        <v>48</v>
      </c>
      <c r="B32" s="6" t="s">
        <v>68</v>
      </c>
      <c r="C32" s="3"/>
      <c r="D32" t="s">
        <v>69</v>
      </c>
      <c r="F32" s="2">
        <v>0</v>
      </c>
      <c r="G32" s="2">
        <v>1</v>
      </c>
      <c r="H32" s="2">
        <v>1</v>
      </c>
      <c r="I32" s="2">
        <v>3</v>
      </c>
      <c r="J32" s="2">
        <v>1</v>
      </c>
      <c r="L32" s="2">
        <v>39</v>
      </c>
      <c r="M32" s="2">
        <v>1</v>
      </c>
      <c r="N32" s="2">
        <v>0</v>
      </c>
      <c r="O32" s="2">
        <v>0</v>
      </c>
      <c r="P32" s="2">
        <v>2</v>
      </c>
    </row>
    <row r="33" spans="1:16">
      <c r="A33" s="3">
        <f>SUM(F33:AQ33)</f>
        <v>28</v>
      </c>
      <c r="B33" s="6" t="s">
        <v>70</v>
      </c>
      <c r="C33" s="3" t="s">
        <v>71</v>
      </c>
      <c r="D33" t="s">
        <v>22</v>
      </c>
      <c r="F33" s="2">
        <v>1</v>
      </c>
      <c r="G33" s="2">
        <v>0</v>
      </c>
      <c r="H33" s="2">
        <v>0</v>
      </c>
      <c r="I33" s="2">
        <v>3</v>
      </c>
      <c r="J33" s="2">
        <v>0</v>
      </c>
      <c r="L33" s="2">
        <v>15</v>
      </c>
      <c r="M33" s="2">
        <v>6</v>
      </c>
      <c r="N33" s="2">
        <v>1</v>
      </c>
      <c r="O33" s="2">
        <v>0</v>
      </c>
      <c r="P33" s="2">
        <v>2</v>
      </c>
    </row>
    <row r="34" spans="1:16">
      <c r="A34" s="3">
        <f t="shared" ref="A34:A72" si="2">SUM(F34:AQ34)</f>
        <v>41</v>
      </c>
      <c r="B34" s="6" t="s">
        <v>72</v>
      </c>
      <c r="C34" s="3"/>
      <c r="D34" t="s">
        <v>23</v>
      </c>
      <c r="F34" s="2">
        <v>0</v>
      </c>
      <c r="G34" s="2">
        <v>0</v>
      </c>
      <c r="H34" s="2">
        <v>0</v>
      </c>
      <c r="I34" s="2">
        <v>5</v>
      </c>
      <c r="J34" s="2">
        <v>2</v>
      </c>
      <c r="L34" s="2">
        <v>30</v>
      </c>
      <c r="M34" s="2">
        <v>3</v>
      </c>
      <c r="N34" s="2">
        <v>0</v>
      </c>
      <c r="O34" s="2">
        <v>0</v>
      </c>
      <c r="P34" s="2">
        <v>1</v>
      </c>
    </row>
    <row r="35" spans="1:16">
      <c r="A35" s="3">
        <f t="shared" si="2"/>
        <v>14</v>
      </c>
      <c r="B35" s="6" t="s">
        <v>73</v>
      </c>
      <c r="C35" s="3"/>
      <c r="D35" t="s">
        <v>27</v>
      </c>
      <c r="F35" s="2">
        <v>0</v>
      </c>
      <c r="G35" s="2">
        <v>0</v>
      </c>
      <c r="H35" s="2">
        <v>0</v>
      </c>
      <c r="I35" s="2">
        <v>6</v>
      </c>
      <c r="J35" s="2">
        <v>1</v>
      </c>
      <c r="L35" s="2">
        <v>5</v>
      </c>
      <c r="M35" s="2">
        <v>1</v>
      </c>
      <c r="N35" s="2">
        <v>1</v>
      </c>
      <c r="O35" s="2">
        <v>0</v>
      </c>
      <c r="P35" s="2">
        <v>0</v>
      </c>
    </row>
    <row r="36" spans="1:16">
      <c r="A36" s="3">
        <f t="shared" si="2"/>
        <v>11</v>
      </c>
      <c r="B36" s="6" t="s">
        <v>74</v>
      </c>
      <c r="C36" s="3"/>
      <c r="D36" t="s">
        <v>75</v>
      </c>
      <c r="F36" s="2">
        <v>0</v>
      </c>
      <c r="G36" s="2">
        <v>0</v>
      </c>
      <c r="H36" s="2">
        <v>0</v>
      </c>
      <c r="I36" s="2">
        <v>3</v>
      </c>
      <c r="J36" s="2">
        <v>0</v>
      </c>
      <c r="L36" s="2">
        <v>8</v>
      </c>
      <c r="M36" s="2">
        <v>0</v>
      </c>
      <c r="N36" s="2">
        <v>0</v>
      </c>
      <c r="O36" s="2">
        <v>0</v>
      </c>
      <c r="P36" s="2">
        <v>0</v>
      </c>
    </row>
    <row r="37" spans="1:16">
      <c r="A37" s="3">
        <f t="shared" si="2"/>
        <v>28</v>
      </c>
      <c r="B37" s="6" t="s">
        <v>76</v>
      </c>
      <c r="C37" s="3"/>
      <c r="D37" t="s">
        <v>29</v>
      </c>
      <c r="F37" s="2">
        <v>0</v>
      </c>
      <c r="G37" s="2">
        <v>0</v>
      </c>
      <c r="H37" s="2">
        <v>0</v>
      </c>
      <c r="I37" s="2">
        <v>3</v>
      </c>
      <c r="J37" s="2">
        <v>1</v>
      </c>
      <c r="L37" s="2">
        <v>19</v>
      </c>
      <c r="M37" s="2">
        <v>4</v>
      </c>
      <c r="N37" s="2">
        <v>1</v>
      </c>
      <c r="O37" s="2">
        <v>0</v>
      </c>
      <c r="P37" s="2">
        <v>0</v>
      </c>
    </row>
    <row r="38" spans="1:16">
      <c r="A38" s="3">
        <f t="shared" si="2"/>
        <v>8</v>
      </c>
      <c r="B38" s="6" t="s">
        <v>77</v>
      </c>
      <c r="C38" s="3"/>
      <c r="D38" s="7" t="s">
        <v>78</v>
      </c>
      <c r="E38" s="15"/>
      <c r="F38" s="2">
        <v>0</v>
      </c>
      <c r="G38" s="2">
        <v>0</v>
      </c>
      <c r="H38" s="2">
        <v>0</v>
      </c>
      <c r="I38" s="2">
        <v>1</v>
      </c>
      <c r="J38" s="2">
        <v>0</v>
      </c>
      <c r="L38" s="2">
        <v>4</v>
      </c>
      <c r="M38" s="2">
        <v>1</v>
      </c>
      <c r="N38" s="2">
        <v>0</v>
      </c>
      <c r="O38" s="2">
        <v>0</v>
      </c>
      <c r="P38" s="2">
        <v>2</v>
      </c>
    </row>
    <row r="39" spans="1:16">
      <c r="A39" s="3">
        <f t="shared" si="2"/>
        <v>6</v>
      </c>
      <c r="B39" s="6"/>
      <c r="C39" s="3"/>
      <c r="D39" s="7" t="s">
        <v>79</v>
      </c>
      <c r="E39" s="15"/>
      <c r="F39" s="2">
        <v>0</v>
      </c>
      <c r="G39" s="2">
        <v>0</v>
      </c>
      <c r="H39" s="2">
        <v>0</v>
      </c>
      <c r="I39" s="2">
        <v>2</v>
      </c>
      <c r="J39" s="2">
        <v>0</v>
      </c>
      <c r="L39" s="2">
        <v>3</v>
      </c>
      <c r="M39" s="2">
        <v>0</v>
      </c>
      <c r="N39" s="2">
        <v>0</v>
      </c>
      <c r="O39" s="2">
        <v>0</v>
      </c>
      <c r="P39" s="2">
        <v>1</v>
      </c>
    </row>
    <row r="40" spans="1:16">
      <c r="A40" s="3">
        <f t="shared" si="2"/>
        <v>26</v>
      </c>
      <c r="B40" s="6" t="s">
        <v>80</v>
      </c>
      <c r="C40" s="3"/>
      <c r="D40" t="s">
        <v>33</v>
      </c>
      <c r="F40" s="2">
        <v>0</v>
      </c>
      <c r="G40" s="2">
        <v>0</v>
      </c>
      <c r="H40" s="2">
        <v>0</v>
      </c>
      <c r="I40" s="2">
        <v>6</v>
      </c>
      <c r="J40" s="2">
        <v>0</v>
      </c>
      <c r="L40" s="2">
        <v>17</v>
      </c>
      <c r="M40" s="2">
        <v>2</v>
      </c>
      <c r="N40" s="2">
        <v>0</v>
      </c>
      <c r="O40" s="2">
        <v>0</v>
      </c>
      <c r="P40" s="2">
        <v>1</v>
      </c>
    </row>
    <row r="41" spans="1:16">
      <c r="A41" s="3">
        <f t="shared" si="2"/>
        <v>10</v>
      </c>
      <c r="B41" s="6" t="s">
        <v>81</v>
      </c>
      <c r="C41" s="3"/>
      <c r="D41" t="s">
        <v>34</v>
      </c>
      <c r="F41" s="2">
        <v>1</v>
      </c>
      <c r="G41" s="2">
        <v>0</v>
      </c>
      <c r="H41" s="2">
        <v>0</v>
      </c>
      <c r="I41" s="2">
        <v>3</v>
      </c>
      <c r="J41" s="2">
        <v>0</v>
      </c>
      <c r="L41" s="2">
        <v>5</v>
      </c>
      <c r="M41" s="2">
        <v>0</v>
      </c>
      <c r="N41" s="2">
        <v>0</v>
      </c>
      <c r="O41" s="2">
        <v>0</v>
      </c>
      <c r="P41" s="2">
        <v>1</v>
      </c>
    </row>
    <row r="42" spans="1:16">
      <c r="A42" s="3">
        <f t="shared" si="2"/>
        <v>16</v>
      </c>
      <c r="B42" s="6" t="s">
        <v>82</v>
      </c>
      <c r="C42" s="3"/>
      <c r="D42" t="s">
        <v>83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L42" s="2">
        <v>10</v>
      </c>
      <c r="M42" s="2">
        <v>0</v>
      </c>
      <c r="N42" s="2">
        <v>1</v>
      </c>
      <c r="O42" s="2">
        <v>0</v>
      </c>
      <c r="P42" s="2">
        <v>4</v>
      </c>
    </row>
    <row r="43" spans="1:16">
      <c r="A43" s="3">
        <f t="shared" si="2"/>
        <v>24</v>
      </c>
      <c r="B43" s="6" t="s">
        <v>84</v>
      </c>
      <c r="C43" s="3"/>
      <c r="D43" t="s">
        <v>85</v>
      </c>
      <c r="F43" s="2">
        <v>0</v>
      </c>
      <c r="G43" s="2">
        <v>0</v>
      </c>
      <c r="H43" s="2">
        <v>0</v>
      </c>
      <c r="I43" s="2">
        <v>6</v>
      </c>
      <c r="J43" s="2">
        <v>0</v>
      </c>
      <c r="L43" s="2">
        <v>14</v>
      </c>
      <c r="M43" s="2">
        <v>3</v>
      </c>
      <c r="N43" s="2">
        <v>0</v>
      </c>
      <c r="O43" s="2">
        <v>1</v>
      </c>
      <c r="P43" s="2">
        <v>0</v>
      </c>
    </row>
    <row r="44" spans="1:16">
      <c r="A44" s="3">
        <f t="shared" si="2"/>
        <v>68</v>
      </c>
      <c r="B44" s="6" t="s">
        <v>86</v>
      </c>
      <c r="C44" s="3"/>
      <c r="D44" t="s">
        <v>87</v>
      </c>
      <c r="F44" s="2">
        <v>0</v>
      </c>
      <c r="G44" s="2">
        <v>0</v>
      </c>
      <c r="H44" s="2">
        <v>1</v>
      </c>
      <c r="I44" s="2">
        <v>9</v>
      </c>
      <c r="J44" s="2">
        <v>1</v>
      </c>
      <c r="L44" s="2">
        <v>49</v>
      </c>
      <c r="M44" s="2">
        <v>3</v>
      </c>
      <c r="N44" s="2">
        <v>0</v>
      </c>
      <c r="O44" s="2">
        <v>1</v>
      </c>
      <c r="P44" s="2">
        <v>4</v>
      </c>
    </row>
    <row r="45" spans="1:16">
      <c r="A45" s="3">
        <f t="shared" si="2"/>
        <v>13</v>
      </c>
      <c r="B45" s="6" t="s">
        <v>88</v>
      </c>
      <c r="C45" s="3"/>
      <c r="D45" t="s">
        <v>89</v>
      </c>
      <c r="F45" s="2">
        <v>1</v>
      </c>
      <c r="G45" s="2">
        <v>0</v>
      </c>
      <c r="H45" s="2">
        <v>0</v>
      </c>
      <c r="I45" s="2">
        <v>2</v>
      </c>
      <c r="J45" s="2">
        <v>0</v>
      </c>
      <c r="L45" s="2">
        <v>9</v>
      </c>
      <c r="M45" s="2">
        <v>1</v>
      </c>
      <c r="N45" s="2">
        <v>0</v>
      </c>
      <c r="O45" s="2">
        <v>0</v>
      </c>
      <c r="P45" s="2">
        <v>0</v>
      </c>
    </row>
    <row r="46" spans="1:16">
      <c r="A46" s="3">
        <f t="shared" si="2"/>
        <v>37</v>
      </c>
      <c r="B46" s="6" t="s">
        <v>90</v>
      </c>
      <c r="C46" s="3"/>
      <c r="D46" t="s">
        <v>91</v>
      </c>
      <c r="F46" s="2">
        <v>0</v>
      </c>
      <c r="G46" s="2">
        <v>0</v>
      </c>
      <c r="H46" s="2">
        <v>0</v>
      </c>
      <c r="I46" s="2">
        <v>5</v>
      </c>
      <c r="J46" s="2">
        <v>0</v>
      </c>
      <c r="L46" s="2">
        <v>18</v>
      </c>
      <c r="M46" s="2">
        <v>11</v>
      </c>
      <c r="N46" s="2">
        <v>1</v>
      </c>
      <c r="O46" s="2">
        <v>0</v>
      </c>
      <c r="P46" s="2">
        <v>2</v>
      </c>
    </row>
    <row r="47" spans="1:16">
      <c r="A47" s="3">
        <f t="shared" si="2"/>
        <v>15</v>
      </c>
      <c r="B47" s="6" t="s">
        <v>92</v>
      </c>
      <c r="C47" s="3"/>
      <c r="D47" t="s">
        <v>93</v>
      </c>
      <c r="F47" s="2">
        <v>0</v>
      </c>
      <c r="G47" s="2">
        <v>0</v>
      </c>
      <c r="H47" s="2">
        <v>0</v>
      </c>
      <c r="I47" s="2">
        <v>4</v>
      </c>
      <c r="J47" s="2">
        <v>0</v>
      </c>
      <c r="L47" s="2">
        <v>4</v>
      </c>
      <c r="M47" s="2">
        <v>5</v>
      </c>
      <c r="N47" s="2">
        <v>1</v>
      </c>
      <c r="O47" s="2">
        <v>0</v>
      </c>
      <c r="P47" s="2">
        <v>1</v>
      </c>
    </row>
    <row r="48" spans="1:16">
      <c r="A48" s="3">
        <f t="shared" si="2"/>
        <v>3</v>
      </c>
      <c r="B48" s="6" t="s">
        <v>94</v>
      </c>
      <c r="C48" s="3"/>
      <c r="D48" t="s">
        <v>95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L48" s="2">
        <v>2</v>
      </c>
      <c r="M48" s="2">
        <v>0</v>
      </c>
      <c r="N48" s="2">
        <v>0</v>
      </c>
      <c r="O48" s="2">
        <v>1</v>
      </c>
      <c r="P48" s="2">
        <v>0</v>
      </c>
    </row>
    <row r="49" spans="1:16">
      <c r="A49" s="3">
        <f t="shared" si="2"/>
        <v>11</v>
      </c>
      <c r="B49" s="6" t="s">
        <v>96</v>
      </c>
      <c r="C49" s="3"/>
      <c r="D49" t="s">
        <v>97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L49" s="2">
        <v>10</v>
      </c>
      <c r="M49" s="2">
        <v>0</v>
      </c>
      <c r="N49" s="2">
        <v>0</v>
      </c>
      <c r="O49" s="2">
        <v>0</v>
      </c>
      <c r="P49" s="2">
        <v>0</v>
      </c>
    </row>
    <row r="50" spans="1:16">
      <c r="A50" s="3">
        <f t="shared" si="2"/>
        <v>6</v>
      </c>
      <c r="B50" s="6"/>
      <c r="C50" s="3"/>
      <c r="D50" t="s">
        <v>98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L50" s="2">
        <v>4</v>
      </c>
      <c r="M50" s="2">
        <v>1</v>
      </c>
      <c r="N50" s="2">
        <v>0</v>
      </c>
      <c r="O50" s="2">
        <v>1</v>
      </c>
      <c r="P50" s="2">
        <v>0</v>
      </c>
    </row>
    <row r="51" spans="1:16">
      <c r="A51" s="3">
        <f t="shared" si="2"/>
        <v>33</v>
      </c>
      <c r="B51" s="6" t="s">
        <v>99</v>
      </c>
      <c r="C51" s="3" t="s">
        <v>21</v>
      </c>
      <c r="D51" t="s">
        <v>100</v>
      </c>
      <c r="F51" s="2">
        <v>0</v>
      </c>
      <c r="G51" s="2">
        <v>0</v>
      </c>
      <c r="H51" s="2">
        <v>1</v>
      </c>
      <c r="I51" s="2">
        <v>5</v>
      </c>
      <c r="J51" s="2">
        <v>0</v>
      </c>
      <c r="L51" s="2">
        <v>23</v>
      </c>
      <c r="M51" s="2">
        <v>3</v>
      </c>
      <c r="N51" s="2">
        <v>0</v>
      </c>
      <c r="O51" s="2">
        <v>0</v>
      </c>
      <c r="P51" s="2">
        <v>1</v>
      </c>
    </row>
    <row r="52" spans="1:16">
      <c r="A52" s="3">
        <f t="shared" si="2"/>
        <v>24</v>
      </c>
      <c r="B52" s="6" t="s">
        <v>101</v>
      </c>
      <c r="C52" s="3"/>
      <c r="D52" t="s">
        <v>102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L52" s="2">
        <v>23</v>
      </c>
      <c r="M52" s="2">
        <v>1</v>
      </c>
      <c r="N52" s="2">
        <v>0</v>
      </c>
      <c r="O52" s="2">
        <v>0</v>
      </c>
      <c r="P52" s="2">
        <v>0</v>
      </c>
    </row>
    <row r="53" spans="1:16">
      <c r="A53" s="3">
        <f t="shared" si="2"/>
        <v>39</v>
      </c>
      <c r="B53" s="6" t="s">
        <v>103</v>
      </c>
      <c r="C53" s="3" t="s">
        <v>104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L53" s="2">
        <v>37</v>
      </c>
      <c r="M53" s="2">
        <v>1</v>
      </c>
      <c r="N53" s="2">
        <v>0</v>
      </c>
      <c r="O53" s="2">
        <v>0</v>
      </c>
      <c r="P53" s="2">
        <v>0</v>
      </c>
    </row>
    <row r="54" spans="1:16">
      <c r="A54" s="3">
        <f t="shared" si="2"/>
        <v>28</v>
      </c>
      <c r="B54" s="6" t="s">
        <v>105</v>
      </c>
      <c r="C54" s="3" t="s">
        <v>106</v>
      </c>
      <c r="F54" s="2">
        <v>0</v>
      </c>
      <c r="G54" s="2">
        <v>0</v>
      </c>
      <c r="H54" s="2">
        <v>0</v>
      </c>
      <c r="I54" s="2">
        <v>7</v>
      </c>
      <c r="J54" s="2">
        <v>0</v>
      </c>
      <c r="L54" s="2">
        <v>20</v>
      </c>
      <c r="M54" s="2">
        <v>1</v>
      </c>
      <c r="N54" s="2">
        <v>0</v>
      </c>
      <c r="O54" s="2">
        <v>0</v>
      </c>
      <c r="P54" s="2">
        <v>0</v>
      </c>
    </row>
    <row r="55" spans="1:16">
      <c r="A55" s="3">
        <f t="shared" si="2"/>
        <v>49</v>
      </c>
      <c r="B55" s="6" t="s">
        <v>107</v>
      </c>
      <c r="C55" s="3" t="s">
        <v>108</v>
      </c>
      <c r="F55" s="2">
        <v>2</v>
      </c>
      <c r="G55" s="2">
        <v>0</v>
      </c>
      <c r="H55" s="2">
        <v>0</v>
      </c>
      <c r="I55" s="2">
        <v>3</v>
      </c>
      <c r="J55" s="2">
        <v>2</v>
      </c>
      <c r="L55" s="2">
        <v>37</v>
      </c>
      <c r="M55" s="2">
        <v>3</v>
      </c>
      <c r="N55" s="2">
        <v>1</v>
      </c>
      <c r="O55" s="2">
        <v>0</v>
      </c>
      <c r="P55" s="2">
        <v>1</v>
      </c>
    </row>
    <row r="56" spans="1:16">
      <c r="A56" s="3">
        <f t="shared" si="2"/>
        <v>30</v>
      </c>
      <c r="B56" s="3"/>
      <c r="C56" s="3" t="s">
        <v>109</v>
      </c>
      <c r="D56" t="s">
        <v>110</v>
      </c>
      <c r="F56" s="2">
        <v>0</v>
      </c>
      <c r="G56" s="2">
        <v>0</v>
      </c>
      <c r="H56" s="2">
        <v>0</v>
      </c>
      <c r="I56" s="2">
        <v>8</v>
      </c>
      <c r="J56" s="2">
        <v>2</v>
      </c>
      <c r="L56" s="2">
        <v>18</v>
      </c>
      <c r="M56" s="2">
        <v>1</v>
      </c>
      <c r="N56" s="2">
        <v>1</v>
      </c>
      <c r="O56" s="2">
        <v>0</v>
      </c>
      <c r="P56" s="2">
        <v>0</v>
      </c>
    </row>
    <row r="57" spans="1:16">
      <c r="A57" s="3">
        <f t="shared" si="2"/>
        <v>51</v>
      </c>
      <c r="B57" s="6" t="s">
        <v>111</v>
      </c>
      <c r="C57" s="3"/>
      <c r="D57" t="s">
        <v>112</v>
      </c>
      <c r="F57" s="2">
        <v>0</v>
      </c>
      <c r="G57" s="2">
        <v>0</v>
      </c>
      <c r="H57" s="2">
        <v>0</v>
      </c>
      <c r="I57" s="2">
        <v>2</v>
      </c>
      <c r="J57" s="2">
        <v>0</v>
      </c>
      <c r="L57" s="2">
        <v>43</v>
      </c>
      <c r="M57" s="2">
        <v>2</v>
      </c>
      <c r="N57" s="2">
        <v>3</v>
      </c>
      <c r="O57" s="2">
        <v>0</v>
      </c>
      <c r="P57" s="2">
        <v>1</v>
      </c>
    </row>
    <row r="58" spans="1:16">
      <c r="A58" s="3">
        <f t="shared" si="2"/>
        <v>0</v>
      </c>
      <c r="B58" s="6" t="s">
        <v>113</v>
      </c>
      <c r="C58" s="3"/>
      <c r="D58" t="s">
        <v>114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>
      <c r="A59" s="3">
        <f t="shared" si="2"/>
        <v>36</v>
      </c>
      <c r="B59" s="6"/>
      <c r="C59" s="3"/>
      <c r="D59" t="s">
        <v>115</v>
      </c>
      <c r="F59" s="2">
        <v>0</v>
      </c>
      <c r="G59" s="2">
        <v>1</v>
      </c>
      <c r="H59" s="2">
        <v>0</v>
      </c>
      <c r="I59" s="2">
        <v>1</v>
      </c>
      <c r="J59" s="2">
        <v>3</v>
      </c>
      <c r="L59" s="2">
        <v>28</v>
      </c>
      <c r="M59" s="2">
        <v>2</v>
      </c>
      <c r="N59" s="2">
        <v>1</v>
      </c>
      <c r="O59" s="2">
        <v>0</v>
      </c>
      <c r="P59" s="2">
        <v>0</v>
      </c>
    </row>
    <row r="60" spans="1:16">
      <c r="A60" s="3">
        <f t="shared" si="2"/>
        <v>84</v>
      </c>
      <c r="B60" s="6" t="s">
        <v>116</v>
      </c>
      <c r="C60" s="3" t="s">
        <v>117</v>
      </c>
      <c r="D60" s="7" t="s">
        <v>118</v>
      </c>
      <c r="E60" s="15"/>
      <c r="F60" s="2">
        <v>1</v>
      </c>
      <c r="G60" s="2">
        <v>0</v>
      </c>
      <c r="H60" s="2">
        <v>0</v>
      </c>
      <c r="I60" s="2">
        <v>6</v>
      </c>
      <c r="J60" s="2">
        <v>1</v>
      </c>
      <c r="L60" s="2">
        <v>60</v>
      </c>
      <c r="M60" s="2">
        <v>8</v>
      </c>
      <c r="N60" s="2">
        <v>3</v>
      </c>
      <c r="O60" s="2">
        <v>0</v>
      </c>
      <c r="P60" s="2">
        <v>5</v>
      </c>
    </row>
    <row r="61" spans="1:16">
      <c r="A61" s="3">
        <f t="shared" si="2"/>
        <v>17</v>
      </c>
      <c r="B61" s="6" t="s">
        <v>119</v>
      </c>
      <c r="C61" s="3"/>
      <c r="D61" t="s">
        <v>120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L61" s="2">
        <v>15</v>
      </c>
      <c r="M61" s="2">
        <v>0</v>
      </c>
      <c r="N61" s="2">
        <v>0</v>
      </c>
      <c r="O61" s="2">
        <v>0</v>
      </c>
      <c r="P61" s="2">
        <v>1</v>
      </c>
    </row>
    <row r="62" spans="1:16">
      <c r="A62" s="3">
        <f t="shared" si="2"/>
        <v>0</v>
      </c>
      <c r="B62" s="6" t="s">
        <v>121</v>
      </c>
      <c r="C62" s="3"/>
      <c r="D62" s="7" t="s">
        <v>122</v>
      </c>
      <c r="E62" s="15"/>
      <c r="F62" s="2">
        <v>0</v>
      </c>
      <c r="G62" s="2">
        <v>0</v>
      </c>
      <c r="H62" s="2">
        <v>0</v>
      </c>
      <c r="I62" s="2">
        <v>0</v>
      </c>
      <c r="J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>
      <c r="A63" s="3">
        <f t="shared" si="2"/>
        <v>35</v>
      </c>
      <c r="B63" s="6" t="s">
        <v>123</v>
      </c>
      <c r="C63" s="3"/>
      <c r="D63" t="s">
        <v>124</v>
      </c>
      <c r="F63" s="2">
        <v>0</v>
      </c>
      <c r="G63" s="2">
        <v>0</v>
      </c>
      <c r="H63" s="2">
        <v>1</v>
      </c>
      <c r="I63" s="2">
        <v>2</v>
      </c>
      <c r="J63" s="2">
        <v>1</v>
      </c>
      <c r="L63" s="2">
        <v>27</v>
      </c>
      <c r="M63" s="2">
        <v>1</v>
      </c>
      <c r="N63" s="2">
        <v>0</v>
      </c>
      <c r="O63" s="2">
        <v>0</v>
      </c>
      <c r="P63" s="2">
        <v>3</v>
      </c>
    </row>
    <row r="64" spans="1:16">
      <c r="A64" s="3">
        <f t="shared" si="2"/>
        <v>10</v>
      </c>
      <c r="B64" s="6" t="s">
        <v>125</v>
      </c>
      <c r="C64" s="3"/>
      <c r="D64" t="s">
        <v>126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L64" s="2">
        <v>9</v>
      </c>
      <c r="M64" s="2">
        <v>0</v>
      </c>
      <c r="N64" s="2">
        <v>0</v>
      </c>
      <c r="O64" s="2">
        <v>0</v>
      </c>
      <c r="P64" s="2">
        <v>0</v>
      </c>
    </row>
    <row r="65" spans="1:16">
      <c r="A65" s="3">
        <f t="shared" si="2"/>
        <v>38</v>
      </c>
      <c r="B65" s="6" t="s">
        <v>127</v>
      </c>
      <c r="C65" s="3" t="s">
        <v>128</v>
      </c>
      <c r="F65" s="2">
        <v>0</v>
      </c>
      <c r="G65" s="2">
        <v>0</v>
      </c>
      <c r="H65" s="2">
        <v>0</v>
      </c>
      <c r="I65" s="2">
        <v>1</v>
      </c>
      <c r="J65" s="2">
        <v>4</v>
      </c>
      <c r="L65" s="2">
        <v>19</v>
      </c>
      <c r="M65" s="2">
        <v>10</v>
      </c>
      <c r="N65" s="2">
        <v>2</v>
      </c>
      <c r="O65" s="2">
        <v>0</v>
      </c>
      <c r="P65" s="2">
        <v>2</v>
      </c>
    </row>
    <row r="66" spans="1:16">
      <c r="A66" s="3">
        <f t="shared" si="2"/>
        <v>38</v>
      </c>
      <c r="B66" s="6" t="s">
        <v>129</v>
      </c>
      <c r="C66" s="3" t="s">
        <v>130</v>
      </c>
      <c r="F66" s="2">
        <v>0</v>
      </c>
      <c r="G66" s="2">
        <v>0</v>
      </c>
      <c r="H66" s="2">
        <v>0</v>
      </c>
      <c r="I66" s="2">
        <v>3</v>
      </c>
      <c r="J66" s="2">
        <v>2</v>
      </c>
      <c r="L66" s="2">
        <v>32</v>
      </c>
      <c r="M66" s="2">
        <v>1</v>
      </c>
      <c r="N66" s="2">
        <v>0</v>
      </c>
      <c r="O66" s="2">
        <v>0</v>
      </c>
      <c r="P66" s="2">
        <v>0</v>
      </c>
    </row>
    <row r="67" spans="1:16">
      <c r="A67" s="3">
        <f t="shared" si="2"/>
        <v>11</v>
      </c>
      <c r="B67" s="6" t="s">
        <v>131</v>
      </c>
      <c r="C67" s="3" t="s">
        <v>132</v>
      </c>
      <c r="D67" t="s">
        <v>44</v>
      </c>
      <c r="F67" s="2">
        <v>0</v>
      </c>
      <c r="G67" s="2">
        <v>0</v>
      </c>
      <c r="H67" s="2">
        <v>0</v>
      </c>
      <c r="I67" s="2">
        <v>2</v>
      </c>
      <c r="J67" s="2">
        <v>0</v>
      </c>
      <c r="L67" s="2">
        <v>8</v>
      </c>
      <c r="M67" s="2">
        <v>1</v>
      </c>
      <c r="N67" s="2">
        <v>0</v>
      </c>
      <c r="O67" s="2">
        <v>0</v>
      </c>
      <c r="P67" s="2">
        <v>0</v>
      </c>
    </row>
    <row r="68" spans="1:16">
      <c r="A68" s="3">
        <f t="shared" si="2"/>
        <v>46</v>
      </c>
      <c r="B68" s="6" t="s">
        <v>133</v>
      </c>
      <c r="C68" s="3"/>
      <c r="D68" t="s">
        <v>47</v>
      </c>
      <c r="F68" s="2">
        <v>1</v>
      </c>
      <c r="G68" s="2">
        <v>0</v>
      </c>
      <c r="H68" s="2">
        <v>0</v>
      </c>
      <c r="I68" s="2">
        <v>8</v>
      </c>
      <c r="J68" s="2">
        <v>5</v>
      </c>
      <c r="L68" s="2">
        <v>25</v>
      </c>
      <c r="M68" s="2">
        <v>2</v>
      </c>
      <c r="N68" s="2">
        <v>5</v>
      </c>
      <c r="O68" s="2">
        <v>0</v>
      </c>
      <c r="P68" s="2">
        <v>0</v>
      </c>
    </row>
    <row r="69" spans="1:16">
      <c r="A69" s="3">
        <f t="shared" si="2"/>
        <v>0</v>
      </c>
      <c r="B69" s="6" t="s">
        <v>134</v>
      </c>
      <c r="C69" s="3"/>
      <c r="D69" t="s">
        <v>135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>
      <c r="A70" s="3">
        <f t="shared" si="2"/>
        <v>29</v>
      </c>
      <c r="B70" s="6" t="s">
        <v>136</v>
      </c>
      <c r="C70" s="3" t="s">
        <v>137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L70" s="2">
        <v>26</v>
      </c>
      <c r="M70" s="2">
        <v>0</v>
      </c>
      <c r="N70" s="2">
        <v>1</v>
      </c>
      <c r="O70" s="2">
        <v>1</v>
      </c>
      <c r="P70" s="2">
        <v>0</v>
      </c>
    </row>
    <row r="71" spans="1:16">
      <c r="A71" s="3">
        <f t="shared" si="2"/>
        <v>88</v>
      </c>
      <c r="B71" s="6" t="s">
        <v>138</v>
      </c>
      <c r="C71" s="3" t="s">
        <v>139</v>
      </c>
      <c r="F71" s="2">
        <v>0</v>
      </c>
      <c r="G71" s="2">
        <v>0</v>
      </c>
      <c r="H71" s="2">
        <v>0</v>
      </c>
      <c r="I71" s="2">
        <v>5</v>
      </c>
      <c r="J71" s="2">
        <v>2</v>
      </c>
      <c r="L71" s="2">
        <v>73</v>
      </c>
      <c r="M71" s="2">
        <v>5</v>
      </c>
      <c r="N71" s="2">
        <v>1</v>
      </c>
      <c r="O71" s="2">
        <v>0</v>
      </c>
      <c r="P71" s="2">
        <v>2</v>
      </c>
    </row>
    <row r="72" spans="1:16">
      <c r="A72" s="3">
        <f t="shared" si="2"/>
        <v>12</v>
      </c>
      <c r="B72" s="6" t="s">
        <v>140</v>
      </c>
      <c r="C72" s="3" t="s">
        <v>141</v>
      </c>
      <c r="F72" s="2">
        <v>0</v>
      </c>
      <c r="G72" s="2">
        <v>0</v>
      </c>
      <c r="H72" s="2">
        <v>0</v>
      </c>
      <c r="I72" s="2">
        <v>1</v>
      </c>
      <c r="J72" s="2">
        <v>1</v>
      </c>
      <c r="L72" s="2">
        <v>8</v>
      </c>
      <c r="M72" s="2">
        <v>2</v>
      </c>
      <c r="N72" s="2">
        <v>0</v>
      </c>
      <c r="O72" s="2">
        <v>0</v>
      </c>
      <c r="P72" s="2">
        <v>0</v>
      </c>
    </row>
    <row r="73" spans="1:16">
      <c r="A73" s="8"/>
      <c r="B73" s="3"/>
      <c r="C73" s="3"/>
      <c r="D73" s="3" t="s">
        <v>142</v>
      </c>
      <c r="E73" s="16"/>
      <c r="F73" s="17">
        <f>SUM(F6:F72)</f>
        <v>10</v>
      </c>
      <c r="G73" s="17">
        <f t="shared" ref="G73:P73" si="3">SUM(G6:G72)</f>
        <v>3</v>
      </c>
      <c r="H73" s="17">
        <f t="shared" si="3"/>
        <v>6</v>
      </c>
      <c r="I73" s="17">
        <f t="shared" si="3"/>
        <v>187</v>
      </c>
      <c r="J73" s="17">
        <f t="shared" si="3"/>
        <v>44</v>
      </c>
      <c r="K73" s="18"/>
      <c r="L73" s="17">
        <f t="shared" si="3"/>
        <v>1079</v>
      </c>
      <c r="M73" s="17">
        <f t="shared" si="3"/>
        <v>108</v>
      </c>
      <c r="N73" s="17">
        <f t="shared" si="3"/>
        <v>29</v>
      </c>
      <c r="O73" s="17">
        <f t="shared" si="3"/>
        <v>9</v>
      </c>
      <c r="P73" s="17">
        <f t="shared" si="3"/>
        <v>54</v>
      </c>
    </row>
    <row r="74" spans="1:16">
      <c r="A74" s="3">
        <v>2</v>
      </c>
      <c r="B74" s="3"/>
      <c r="C74" s="3" t="s">
        <v>143</v>
      </c>
    </row>
    <row r="75" spans="1:16">
      <c r="A75" s="3">
        <v>10</v>
      </c>
      <c r="B75" s="3"/>
      <c r="C75" s="9" t="s">
        <v>144</v>
      </c>
    </row>
    <row r="76" spans="1:16">
      <c r="A76" s="19"/>
      <c r="B76" s="3"/>
      <c r="C76" s="3"/>
    </row>
  </sheetData>
  <mergeCells count="2">
    <mergeCell ref="F2:J2"/>
    <mergeCell ref="L2:P2"/>
  </mergeCells>
  <printOptions gridLines="1"/>
  <pageMargins left="0.7" right="0.7" top="0.75" bottom="0.75" header="0.3" footer="0.3"/>
  <pageSetup paperSize="256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Savannah Perry</dc:creator>
  <cp:keywords/>
  <dc:description/>
  <cp:lastModifiedBy>Hernandez, David</cp:lastModifiedBy>
  <cp:revision/>
  <dcterms:created xsi:type="dcterms:W3CDTF">2024-03-28T19:07:40Z</dcterms:created>
  <dcterms:modified xsi:type="dcterms:W3CDTF">2024-06-06T21:47:03Z</dcterms:modified>
  <cp:category/>
  <cp:contentStatus/>
</cp:coreProperties>
</file>