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128"/>
  <workbookPr defaultThemeVersion="124226"/>
  <mc:AlternateContent xmlns:mc="http://schemas.openxmlformats.org/markup-compatibility/2006">
    <mc:Choice Requires="x15">
      <x15ac:absPath xmlns:x15ac="http://schemas.microsoft.com/office/spreadsheetml/2010/11/ac" url="H:\Election\Election Abstracts\"/>
    </mc:Choice>
  </mc:AlternateContent>
  <xr:revisionPtr revIDLastSave="0" documentId="13_ncr:1_{6CCDE0E2-9A21-46D2-A546-1C979BC36310}" xr6:coauthVersionLast="47" xr6:coauthVersionMax="47" xr10:uidLastSave="{00000000-0000-0000-0000-000000000000}"/>
  <bookViews>
    <workbookView xWindow="-120" yWindow="-120" windowWidth="29040" windowHeight="15840" activeTab="1" xr2:uid="{00000000-000D-0000-FFFF-FFFF00000000}"/>
  </bookViews>
  <sheets>
    <sheet name="Results" sheetId="2" r:id="rId1"/>
    <sheet name="Lincoln" sheetId="1" r:id="rId2"/>
  </sheets>
  <definedNames>
    <definedName name="_xlnm.Print_Area" localSheetId="1">Lincoln!$A$1:$BX$50</definedName>
    <definedName name="_xlnm.Print_Titles" localSheetId="1">Lincoln!$1:$3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I5" i="1" l="1"/>
  <c r="E8" i="1"/>
  <c r="H8" i="1"/>
  <c r="K8" i="1"/>
  <c r="N8" i="1"/>
  <c r="Q8" i="1"/>
  <c r="T8" i="1"/>
  <c r="W8" i="1"/>
  <c r="Z8" i="1"/>
  <c r="AC8" i="1"/>
  <c r="AF8" i="1"/>
  <c r="AI8" i="1"/>
  <c r="AM8" i="1"/>
  <c r="AQ8" i="1"/>
  <c r="AT8" i="1"/>
  <c r="AW8" i="1"/>
  <c r="AZ8" i="1"/>
  <c r="BC8" i="1"/>
  <c r="BF8" i="1"/>
  <c r="BI8" i="1"/>
  <c r="BL8" i="1"/>
  <c r="BO8" i="1"/>
  <c r="BR8" i="1"/>
  <c r="E9" i="1"/>
  <c r="H9" i="1"/>
  <c r="K9" i="1"/>
  <c r="N9" i="1"/>
  <c r="Q9" i="1"/>
  <c r="T9" i="1"/>
  <c r="W9" i="1"/>
  <c r="Z9" i="1"/>
  <c r="AC9" i="1"/>
  <c r="AF9" i="1"/>
  <c r="AI9" i="1"/>
  <c r="AM9" i="1"/>
  <c r="AQ9" i="1"/>
  <c r="AT9" i="1"/>
  <c r="AW9" i="1"/>
  <c r="AZ9" i="1"/>
  <c r="BC9" i="1"/>
  <c r="BF9" i="1"/>
  <c r="BI9" i="1"/>
  <c r="BL9" i="1"/>
  <c r="BO9" i="1"/>
  <c r="BR9" i="1"/>
  <c r="E11" i="1"/>
  <c r="H11" i="1"/>
  <c r="K11" i="1"/>
  <c r="N11" i="1"/>
  <c r="Q11" i="1"/>
  <c r="T11" i="1"/>
  <c r="W11" i="1"/>
  <c r="Z11" i="1"/>
  <c r="AC11" i="1"/>
  <c r="AF11" i="1"/>
  <c r="AI11" i="1"/>
  <c r="AM11" i="1"/>
  <c r="AQ11" i="1"/>
  <c r="AT11" i="1"/>
  <c r="AW11" i="1"/>
  <c r="AZ11" i="1"/>
  <c r="BC11" i="1"/>
  <c r="BF11" i="1"/>
  <c r="BI11" i="1"/>
  <c r="BL11" i="1"/>
  <c r="BO11" i="1"/>
  <c r="BR11" i="1"/>
  <c r="E12" i="1"/>
  <c r="H12" i="1"/>
  <c r="K12" i="1"/>
  <c r="N12" i="1"/>
  <c r="Q12" i="1"/>
  <c r="T12" i="1"/>
  <c r="W12" i="1"/>
  <c r="Z12" i="1"/>
  <c r="AC12" i="1"/>
  <c r="AF12" i="1"/>
  <c r="AI12" i="1"/>
  <c r="AM12" i="1"/>
  <c r="AQ12" i="1"/>
  <c r="AT12" i="1"/>
  <c r="AW12" i="1"/>
  <c r="AZ12" i="1"/>
  <c r="BC12" i="1"/>
  <c r="BF12" i="1"/>
  <c r="BI12" i="1"/>
  <c r="BL12" i="1"/>
  <c r="BO12" i="1"/>
  <c r="BR12" i="1"/>
  <c r="E13" i="1"/>
  <c r="H13" i="1"/>
  <c r="K13" i="1"/>
  <c r="N13" i="1"/>
  <c r="Q13" i="1"/>
  <c r="T13" i="1"/>
  <c r="W13" i="1"/>
  <c r="Z13" i="1"/>
  <c r="AC13" i="1"/>
  <c r="AF13" i="1"/>
  <c r="AI13" i="1"/>
  <c r="AM13" i="1"/>
  <c r="AQ13" i="1"/>
  <c r="AT13" i="1"/>
  <c r="AW13" i="1"/>
  <c r="AZ13" i="1"/>
  <c r="BC13" i="1"/>
  <c r="BF13" i="1"/>
  <c r="BI13" i="1"/>
  <c r="BL13" i="1"/>
  <c r="BO13" i="1"/>
  <c r="BR13" i="1"/>
  <c r="E14" i="1"/>
  <c r="H14" i="1"/>
  <c r="K14" i="1"/>
  <c r="N14" i="1"/>
  <c r="Q14" i="1"/>
  <c r="T14" i="1"/>
  <c r="W14" i="1"/>
  <c r="Z14" i="1"/>
  <c r="AC14" i="1"/>
  <c r="AF14" i="1"/>
  <c r="AI14" i="1"/>
  <c r="AM14" i="1"/>
  <c r="AQ14" i="1"/>
  <c r="AT14" i="1"/>
  <c r="AW14" i="1"/>
  <c r="AZ14" i="1"/>
  <c r="BC14" i="1"/>
  <c r="BF14" i="1"/>
  <c r="BI14" i="1"/>
  <c r="BL14" i="1"/>
  <c r="BO14" i="1"/>
  <c r="BR14" i="1"/>
  <c r="E15" i="1"/>
  <c r="H15" i="1"/>
  <c r="K15" i="1"/>
  <c r="N15" i="1"/>
  <c r="Q15" i="1"/>
  <c r="T15" i="1"/>
  <c r="W15" i="1"/>
  <c r="Z15" i="1"/>
  <c r="AC15" i="1"/>
  <c r="AF15" i="1"/>
  <c r="AI15" i="1"/>
  <c r="AM15" i="1"/>
  <c r="AQ15" i="1"/>
  <c r="AT15" i="1"/>
  <c r="AW15" i="1"/>
  <c r="AZ15" i="1"/>
  <c r="BC15" i="1"/>
  <c r="BF15" i="1"/>
  <c r="BI15" i="1"/>
  <c r="BL15" i="1"/>
  <c r="BO15" i="1"/>
  <c r="BR15" i="1"/>
  <c r="BS8" i="1" l="1"/>
  <c r="BS9" i="1"/>
  <c r="BS15" i="1"/>
  <c r="BS13" i="1"/>
  <c r="BS11" i="1"/>
  <c r="BS14" i="1"/>
  <c r="BS12" i="1"/>
  <c r="BI6" i="1"/>
  <c r="BI7" i="1"/>
  <c r="BR7" i="1" l="1"/>
  <c r="BO7" i="1"/>
  <c r="BL7" i="1"/>
  <c r="BF7" i="1"/>
  <c r="BC7" i="1"/>
  <c r="AZ7" i="1"/>
  <c r="AW7" i="1"/>
  <c r="AT7" i="1"/>
  <c r="AQ7" i="1"/>
  <c r="AM7" i="1"/>
  <c r="AI7" i="1"/>
  <c r="AF7" i="1"/>
  <c r="AC7" i="1"/>
  <c r="Z7" i="1"/>
  <c r="W7" i="1"/>
  <c r="T7" i="1"/>
  <c r="Q7" i="1"/>
  <c r="N7" i="1"/>
  <c r="K7" i="1"/>
  <c r="H7" i="1"/>
  <c r="E7" i="1"/>
  <c r="BR6" i="1"/>
  <c r="BO6" i="1"/>
  <c r="BL6" i="1"/>
  <c r="BF6" i="1"/>
  <c r="BC6" i="1"/>
  <c r="AZ6" i="1"/>
  <c r="AW6" i="1"/>
  <c r="AT6" i="1"/>
  <c r="AQ6" i="1"/>
  <c r="AM6" i="1"/>
  <c r="AI6" i="1"/>
  <c r="AF6" i="1"/>
  <c r="AC6" i="1"/>
  <c r="Z6" i="1"/>
  <c r="W6" i="1"/>
  <c r="T6" i="1"/>
  <c r="Q6" i="1"/>
  <c r="N6" i="1"/>
  <c r="K6" i="1"/>
  <c r="H6" i="1"/>
  <c r="E6" i="1"/>
  <c r="BR5" i="1"/>
  <c r="BO5" i="1"/>
  <c r="BL5" i="1"/>
  <c r="BF5" i="1"/>
  <c r="BC5" i="1"/>
  <c r="AZ5" i="1"/>
  <c r="AW5" i="1"/>
  <c r="AT5" i="1"/>
  <c r="AQ5" i="1"/>
  <c r="AM5" i="1"/>
  <c r="AI5" i="1"/>
  <c r="AF5" i="1"/>
  <c r="AC5" i="1"/>
  <c r="Z5" i="1"/>
  <c r="W5" i="1"/>
  <c r="T5" i="1"/>
  <c r="Q5" i="1"/>
  <c r="N5" i="1"/>
  <c r="K5" i="1"/>
  <c r="H5" i="1"/>
  <c r="E5" i="1"/>
  <c r="BS7" i="1" l="1"/>
  <c r="BS5" i="1"/>
  <c r="BS6" i="1"/>
  <c r="K28" i="2" l="1"/>
  <c r="G13" i="2"/>
  <c r="G3" i="2"/>
  <c r="C25" i="2"/>
  <c r="C26" i="2"/>
  <c r="K12" i="2"/>
  <c r="G20" i="2"/>
  <c r="K13" i="2"/>
  <c r="G19" i="2"/>
  <c r="G4" i="2"/>
  <c r="G5" i="2"/>
  <c r="C23" i="2"/>
  <c r="C14" i="2"/>
  <c r="C22" i="2"/>
  <c r="K20" i="2"/>
  <c r="C15" i="2"/>
  <c r="C24" i="2"/>
  <c r="G12" i="2"/>
  <c r="K23" i="2"/>
  <c r="K19" i="2"/>
</calcChain>
</file>

<file path=xl/sharedStrings.xml><?xml version="1.0" encoding="utf-8"?>
<sst xmlns="http://schemas.openxmlformats.org/spreadsheetml/2006/main" count="164" uniqueCount="72">
  <si>
    <t>POLITICAL PARTY</t>
  </si>
  <si>
    <t>NAME OF OFFICE NAME OF CANDIDATE(S)</t>
  </si>
  <si>
    <t>R</t>
  </si>
  <si>
    <t>D</t>
  </si>
  <si>
    <t>Battle Creek</t>
  </si>
  <si>
    <t>Beaver</t>
  </si>
  <si>
    <t>Cedron</t>
  </si>
  <si>
    <t>Colorado</t>
  </si>
  <si>
    <t>Elkhorn</t>
  </si>
  <si>
    <t>Franklin</t>
  </si>
  <si>
    <t>Golden Belt</t>
  </si>
  <si>
    <t>Grant</t>
  </si>
  <si>
    <t>Hanover</t>
  </si>
  <si>
    <t>Highland</t>
  </si>
  <si>
    <t>Indiana</t>
  </si>
  <si>
    <t>Logan</t>
  </si>
  <si>
    <t>Madison</t>
  </si>
  <si>
    <t>Marion</t>
  </si>
  <si>
    <t>Orange</t>
  </si>
  <si>
    <t>Pleasant</t>
  </si>
  <si>
    <t>Salt Creek</t>
  </si>
  <si>
    <t>Scott</t>
  </si>
  <si>
    <t>Valley</t>
  </si>
  <si>
    <t>Vesper</t>
  </si>
  <si>
    <t>A</t>
  </si>
  <si>
    <t>T</t>
  </si>
  <si>
    <t>Lincoln 
Precinct II</t>
  </si>
  <si>
    <t>Lincoln
Precinct I</t>
  </si>
  <si>
    <t>Alan LaPolice</t>
  </si>
  <si>
    <t>P</t>
  </si>
  <si>
    <t>Grand Total</t>
  </si>
  <si>
    <t>Roger Marshall</t>
  </si>
  <si>
    <t>Troy L. Waymaster</t>
  </si>
  <si>
    <t>Governor/Lt Governor</t>
  </si>
  <si>
    <t>Secretary of State</t>
  </si>
  <si>
    <t>Brian "Bam" McClendon</t>
  </si>
  <si>
    <t>Scott Schwab</t>
  </si>
  <si>
    <t>Attorney General</t>
  </si>
  <si>
    <t>Sarah G. Swain</t>
  </si>
  <si>
    <t>Derek Schmidt</t>
  </si>
  <si>
    <t>Commissioner of Insurance</t>
  </si>
  <si>
    <t>Nathaniel McLaughlin</t>
  </si>
  <si>
    <t>Vicki Schmidt</t>
  </si>
  <si>
    <t>State Representative 107th District</t>
  </si>
  <si>
    <t>State Representative 109th District</t>
  </si>
  <si>
    <t>Susan L. Concannon</t>
  </si>
  <si>
    <t>State Treasurer</t>
  </si>
  <si>
    <t>Jake LaTurner</t>
  </si>
  <si>
    <t>County Commissioner 1st District</t>
  </si>
  <si>
    <t>Randy Lohman</t>
  </si>
  <si>
    <t>United State Representative</t>
  </si>
  <si>
    <t>Marci Francisco</t>
  </si>
  <si>
    <t>I</t>
  </si>
  <si>
    <t>L</t>
  </si>
  <si>
    <t>Rob Hodgkinson</t>
  </si>
  <si>
    <t>Bryan Bombardier</t>
  </si>
  <si>
    <t>Rick Kloos/Nathaniel Kloos</t>
  </si>
  <si>
    <t>Kris Kobach/Wink Hartman</t>
  </si>
  <si>
    <t>Greg Orman/John Doll</t>
  </si>
  <si>
    <t>Jeff Caldwell/Mary Gerlt</t>
  </si>
  <si>
    <t>Laura Kelly/Lynn Rogers</t>
  </si>
  <si>
    <t>For President</t>
  </si>
  <si>
    <t>Donald J Trump</t>
  </si>
  <si>
    <t>Nikki R Haley</t>
  </si>
  <si>
    <t>Ron DeSantis</t>
  </si>
  <si>
    <t>Ryan L. Binkley</t>
  </si>
  <si>
    <t>None of the names shown</t>
  </si>
  <si>
    <t>Jason Michael Palmer</t>
  </si>
  <si>
    <t>Dean Phillips</t>
  </si>
  <si>
    <t>Joseph R Biden Jr</t>
  </si>
  <si>
    <r>
      <t>Abstract of Votes Cast at the</t>
    </r>
    <r>
      <rPr>
        <b/>
        <u/>
        <sz val="12"/>
        <rFont val="Arial"/>
        <family val="2"/>
      </rPr>
      <t xml:space="preserve"> Presidential Preferency Primary</t>
    </r>
    <r>
      <rPr>
        <sz val="12"/>
        <rFont val="Arial"/>
        <family val="2"/>
      </rPr>
      <t xml:space="preserve"> Election in Lincoln County, Kansas, on the 19th day of March, 2024.</t>
    </r>
  </si>
  <si>
    <t>Marianne Williamson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</si>
</sst>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0"/>
      <name val="Arial"/>
    </font>
    <font>
      <sz val="10"/>
      <name val="Arial"/>
      <family val="2"/>
    </font>
    <font>
      <sz val="8"/>
      <name val="Arial"/>
      <family val="2"/>
    </font>
    <font>
      <u/>
      <sz val="7"/>
      <name val="Arial"/>
      <family val="2"/>
    </font>
    <font>
      <sz val="10"/>
      <name val="Arial"/>
      <family val="2"/>
    </font>
    <font>
      <b/>
      <sz val="8"/>
      <name val="Arial"/>
      <family val="2"/>
    </font>
    <font>
      <b/>
      <sz val="10"/>
      <name val="Arial"/>
      <family val="2"/>
    </font>
    <font>
      <sz val="12"/>
      <name val="Arial"/>
      <family val="2"/>
    </font>
    <font>
      <b/>
      <u/>
      <sz val="12"/>
      <name val="Arial"/>
      <family val="2"/>
    </font>
    <font>
      <sz val="14"/>
      <name val="Arial"/>
      <family val="2"/>
    </font>
    <font>
      <b/>
      <sz val="14"/>
      <name val="Arial"/>
      <family val="2"/>
    </font>
    <font>
      <b/>
      <u/>
      <sz val="14"/>
      <name val="Arial"/>
      <family val="2"/>
    </font>
    <font>
      <sz val="14"/>
      <name val="Webdings"/>
      <family val="1"/>
      <charset val="2"/>
    </font>
    <font>
      <u/>
      <sz val="9"/>
      <name val="Arial"/>
      <family val="2"/>
    </font>
    <font>
      <b/>
      <sz val="12"/>
      <name val="Arial"/>
      <family val="2"/>
    </font>
    <font>
      <u/>
      <sz val="10"/>
      <name val="Arial"/>
      <family val="2"/>
    </font>
    <font>
      <u/>
      <sz val="10"/>
      <name val="Arial"/>
      <family val="2"/>
    </font>
    <font>
      <sz val="10"/>
      <name val="Arial"/>
      <family val="2"/>
    </font>
    <font>
      <b/>
      <sz val="10"/>
      <name val="Arial"/>
      <family val="2"/>
    </font>
    <font>
      <sz val="11"/>
      <color theme="1"/>
      <name val="Calibri"/>
      <family val="2"/>
      <scheme val="minor"/>
    </font>
    <font>
      <sz val="10"/>
      <color theme="1"/>
      <name val="Arial"/>
      <family val="2"/>
    </font>
    <font>
      <sz val="9"/>
      <color theme="1"/>
      <name val="Arial"/>
      <family val="2"/>
    </font>
    <font>
      <sz val="8.5"/>
      <color theme="1"/>
      <name val="Arial"/>
      <family val="2"/>
    </font>
  </fonts>
  <fills count="3">
    <fill>
      <patternFill patternType="none"/>
    </fill>
    <fill>
      <patternFill patternType="gray125"/>
    </fill>
    <fill>
      <patternFill patternType="solid">
        <fgColor indexed="22"/>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bottom style="thin">
        <color indexed="64"/>
      </bottom>
      <diagonal/>
    </border>
    <border>
      <left style="medium">
        <color indexed="64"/>
      </left>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style="thin">
        <color indexed="64"/>
      </bottom>
      <diagonal/>
    </border>
    <border>
      <left/>
      <right style="medium">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style="thin">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right/>
      <top style="thin">
        <color indexed="64"/>
      </top>
      <bottom style="medium">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s>
  <cellStyleXfs count="2">
    <xf numFmtId="0" fontId="0" fillId="0" borderId="0"/>
    <xf numFmtId="0" fontId="19" fillId="0" borderId="0"/>
  </cellStyleXfs>
  <cellXfs count="81">
    <xf numFmtId="0" fontId="0" fillId="0" borderId="0" xfId="0"/>
    <xf numFmtId="0" fontId="0" fillId="0" borderId="0" xfId="0" applyAlignment="1">
      <alignment vertical="center"/>
    </xf>
    <xf numFmtId="0" fontId="1" fillId="2" borderId="3" xfId="0" applyFont="1" applyFill="1" applyBorder="1" applyAlignment="1">
      <alignment horizontal="center"/>
    </xf>
    <xf numFmtId="0" fontId="3" fillId="2" borderId="4" xfId="0" applyFont="1" applyFill="1" applyBorder="1" applyAlignment="1">
      <alignment horizontal="left"/>
    </xf>
    <xf numFmtId="0" fontId="2" fillId="0" borderId="5" xfId="0" applyFont="1" applyBorder="1" applyAlignment="1">
      <alignment horizontal="center" vertical="center" textRotation="90" wrapText="1"/>
    </xf>
    <xf numFmtId="0" fontId="2" fillId="2" borderId="6" xfId="0" applyFont="1" applyFill="1" applyBorder="1" applyAlignment="1">
      <alignment horizontal="center" vertical="center"/>
    </xf>
    <xf numFmtId="0" fontId="1" fillId="2" borderId="0" xfId="0" applyFont="1" applyFill="1" applyAlignment="1">
      <alignment horizontal="center"/>
    </xf>
    <xf numFmtId="0" fontId="1" fillId="0" borderId="0" xfId="0" applyFont="1" applyAlignment="1">
      <alignment horizontal="center" vertical="center"/>
    </xf>
    <xf numFmtId="0" fontId="2" fillId="0" borderId="5" xfId="0" applyFont="1" applyBorder="1" applyAlignment="1">
      <alignment horizontal="center" vertical="center" wrapText="1"/>
    </xf>
    <xf numFmtId="0" fontId="1" fillId="0" borderId="4" xfId="0" applyFont="1" applyBorder="1" applyAlignment="1">
      <alignment horizontal="center"/>
    </xf>
    <xf numFmtId="0" fontId="2" fillId="2" borderId="7" xfId="0" applyFont="1" applyFill="1" applyBorder="1" applyAlignment="1">
      <alignment horizontal="center" vertical="center"/>
    </xf>
    <xf numFmtId="0" fontId="5" fillId="2" borderId="11" xfId="0" applyFont="1" applyFill="1" applyBorder="1" applyAlignment="1">
      <alignment horizontal="center" vertical="center"/>
    </xf>
    <xf numFmtId="0" fontId="5" fillId="2" borderId="12" xfId="0" applyFont="1" applyFill="1" applyBorder="1" applyAlignment="1">
      <alignment horizontal="center" vertical="center"/>
    </xf>
    <xf numFmtId="0" fontId="6" fillId="0" borderId="13" xfId="0" applyFont="1" applyBorder="1" applyAlignment="1">
      <alignment horizontal="right"/>
    </xf>
    <xf numFmtId="0" fontId="6" fillId="0" borderId="0" xfId="0" applyFont="1"/>
    <xf numFmtId="0" fontId="1" fillId="0" borderId="0" xfId="0" applyFont="1" applyAlignment="1">
      <alignment vertical="center"/>
    </xf>
    <xf numFmtId="0" fontId="6" fillId="0" borderId="18" xfId="0" applyFont="1" applyBorder="1"/>
    <xf numFmtId="0" fontId="1" fillId="0" borderId="0" xfId="0" applyFont="1" applyAlignment="1">
      <alignment horizontal="center"/>
    </xf>
    <xf numFmtId="0" fontId="9" fillId="0" borderId="0" xfId="0" applyFont="1"/>
    <xf numFmtId="0" fontId="9" fillId="0" borderId="0" xfId="0" applyFont="1" applyAlignment="1">
      <alignment horizontal="center"/>
    </xf>
    <xf numFmtId="0" fontId="10" fillId="0" borderId="0" xfId="0" applyFont="1"/>
    <xf numFmtId="0" fontId="11" fillId="0" borderId="0" xfId="0" applyFont="1"/>
    <xf numFmtId="0" fontId="9" fillId="0" borderId="0" xfId="0" applyFont="1" applyAlignment="1">
      <alignment horizontal="right"/>
    </xf>
    <xf numFmtId="0" fontId="12" fillId="0" borderId="0" xfId="0" applyFont="1" applyAlignment="1">
      <alignment horizontal="center"/>
    </xf>
    <xf numFmtId="0" fontId="10" fillId="0" borderId="0" xfId="0" applyFont="1" applyAlignment="1">
      <alignment horizontal="center"/>
    </xf>
    <xf numFmtId="0" fontId="13" fillId="2" borderId="15" xfId="0" applyFont="1" applyFill="1" applyBorder="1" applyAlignment="1">
      <alignment horizontal="left"/>
    </xf>
    <xf numFmtId="0" fontId="4" fillId="0" borderId="0" xfId="0" applyFont="1" applyAlignment="1">
      <alignment horizontal="left"/>
    </xf>
    <xf numFmtId="0" fontId="14" fillId="0" borderId="0" xfId="0" applyFont="1"/>
    <xf numFmtId="0" fontId="4" fillId="0" borderId="0" xfId="0" applyFont="1" applyAlignment="1">
      <alignment horizontal="center"/>
    </xf>
    <xf numFmtId="0" fontId="4" fillId="0" borderId="0" xfId="0" applyFont="1"/>
    <xf numFmtId="0" fontId="15" fillId="0" borderId="0" xfId="0" applyFont="1"/>
    <xf numFmtId="0" fontId="16" fillId="0" borderId="0" xfId="0" applyFont="1"/>
    <xf numFmtId="0" fontId="17" fillId="0" borderId="0" xfId="0" applyFont="1" applyAlignment="1">
      <alignment horizontal="center"/>
    </xf>
    <xf numFmtId="0" fontId="17" fillId="0" borderId="0" xfId="0" applyFont="1"/>
    <xf numFmtId="0" fontId="6" fillId="0" borderId="12" xfId="0" applyFont="1" applyBorder="1" applyAlignment="1">
      <alignment horizontal="right"/>
    </xf>
    <xf numFmtId="0" fontId="13" fillId="0" borderId="0" xfId="0" applyFont="1" applyAlignment="1">
      <alignment horizontal="left"/>
    </xf>
    <xf numFmtId="0" fontId="3" fillId="0" borderId="0" xfId="0" applyFont="1" applyAlignment="1">
      <alignment horizontal="left"/>
    </xf>
    <xf numFmtId="0" fontId="18" fillId="0" borderId="0" xfId="0" applyFont="1" applyAlignment="1">
      <alignment horizontal="center"/>
    </xf>
    <xf numFmtId="0" fontId="4" fillId="0" borderId="4" xfId="0" applyFont="1" applyBorder="1" applyAlignment="1">
      <alignment horizontal="center"/>
    </xf>
    <xf numFmtId="0" fontId="20" fillId="0" borderId="0" xfId="1" applyFont="1" applyAlignment="1">
      <alignment vertical="center"/>
    </xf>
    <xf numFmtId="0" fontId="15" fillId="0" borderId="0" xfId="0" applyFont="1" applyAlignment="1">
      <alignment horizontal="left"/>
    </xf>
    <xf numFmtId="0" fontId="4" fillId="0" borderId="3" xfId="0" applyFont="1" applyBorder="1" applyAlignment="1">
      <alignment horizontal="center"/>
    </xf>
    <xf numFmtId="0" fontId="21" fillId="0" borderId="1" xfId="1" applyFont="1" applyBorder="1" applyAlignment="1">
      <alignment vertical="center"/>
    </xf>
    <xf numFmtId="0" fontId="6" fillId="0" borderId="14" xfId="0" applyFont="1" applyBorder="1"/>
    <xf numFmtId="0" fontId="21" fillId="0" borderId="0" xfId="1" applyFont="1" applyAlignment="1">
      <alignment vertical="center"/>
    </xf>
    <xf numFmtId="0" fontId="22" fillId="0" borderId="0" xfId="1" applyFont="1" applyAlignment="1">
      <alignment vertical="center"/>
    </xf>
    <xf numFmtId="0" fontId="1" fillId="0" borderId="7" xfId="0" applyFont="1" applyBorder="1" applyAlignment="1" applyProtection="1">
      <alignment horizontal="right"/>
      <protection locked="0"/>
    </xf>
    <xf numFmtId="0" fontId="1" fillId="0" borderId="1" xfId="0" applyFont="1" applyBorder="1" applyAlignment="1" applyProtection="1">
      <alignment horizontal="right"/>
      <protection locked="0"/>
    </xf>
    <xf numFmtId="0" fontId="1" fillId="0" borderId="10" xfId="0" applyFont="1" applyBorder="1" applyAlignment="1" applyProtection="1">
      <alignment horizontal="right"/>
      <protection locked="0"/>
    </xf>
    <xf numFmtId="0" fontId="1" fillId="0" borderId="2" xfId="0" applyFont="1" applyBorder="1" applyAlignment="1" applyProtection="1">
      <alignment horizontal="right"/>
      <protection locked="0"/>
    </xf>
    <xf numFmtId="0" fontId="1" fillId="0" borderId="17" xfId="0" applyFont="1" applyBorder="1" applyAlignment="1" applyProtection="1">
      <alignment horizontal="right"/>
      <protection locked="0"/>
    </xf>
    <xf numFmtId="0" fontId="1" fillId="0" borderId="16" xfId="0" applyFont="1" applyBorder="1" applyAlignment="1" applyProtection="1">
      <alignment horizontal="right"/>
      <protection locked="0"/>
    </xf>
    <xf numFmtId="0" fontId="1" fillId="0" borderId="8" xfId="0" applyFont="1" applyBorder="1" applyAlignment="1" applyProtection="1">
      <alignment horizontal="right"/>
      <protection locked="0"/>
    </xf>
    <xf numFmtId="0" fontId="1" fillId="0" borderId="15" xfId="0" applyFont="1" applyBorder="1" applyAlignment="1" applyProtection="1">
      <alignment horizontal="right"/>
      <protection locked="0"/>
    </xf>
    <xf numFmtId="0" fontId="1" fillId="0" borderId="9" xfId="0" applyFont="1" applyBorder="1" applyAlignment="1" applyProtection="1">
      <alignment horizontal="right"/>
      <protection locked="0"/>
    </xf>
    <xf numFmtId="0" fontId="0" fillId="0" borderId="0" xfId="0" applyProtection="1">
      <protection locked="0"/>
    </xf>
    <xf numFmtId="0" fontId="1" fillId="0" borderId="15" xfId="0" applyFont="1" applyBorder="1" applyAlignment="1">
      <alignment horizontal="left"/>
    </xf>
    <xf numFmtId="0" fontId="1" fillId="0" borderId="4" xfId="0" applyFont="1" applyBorder="1" applyAlignment="1">
      <alignment horizontal="left"/>
    </xf>
    <xf numFmtId="0" fontId="1" fillId="0" borderId="3" xfId="0" applyFont="1" applyBorder="1" applyAlignment="1">
      <alignment horizontal="center"/>
    </xf>
    <xf numFmtId="0" fontId="6" fillId="0" borderId="25" xfId="0" applyFont="1" applyBorder="1"/>
    <xf numFmtId="0" fontId="6" fillId="0" borderId="0" xfId="0" applyFont="1" applyAlignment="1">
      <alignment vertical="center"/>
    </xf>
    <xf numFmtId="0" fontId="6" fillId="0" borderId="28" xfId="0" applyFont="1" applyBorder="1" applyAlignment="1">
      <alignment horizontal="center" vertical="center" textRotation="90" wrapText="1"/>
    </xf>
    <xf numFmtId="0" fontId="5" fillId="2" borderId="29" xfId="0" applyFont="1" applyFill="1" applyBorder="1" applyAlignment="1">
      <alignment horizontal="center" vertical="center"/>
    </xf>
    <xf numFmtId="0" fontId="5" fillId="2" borderId="30" xfId="0" applyFont="1" applyFill="1" applyBorder="1" applyAlignment="1">
      <alignment horizontal="center" vertical="center"/>
    </xf>
    <xf numFmtId="0" fontId="1" fillId="0" borderId="1" xfId="0" applyFont="1" applyBorder="1" applyAlignment="1">
      <alignment horizontal="left"/>
    </xf>
    <xf numFmtId="0" fontId="21" fillId="0" borderId="24" xfId="1" applyFont="1" applyBorder="1" applyAlignment="1">
      <alignment vertical="center"/>
    </xf>
    <xf numFmtId="0" fontId="4" fillId="0" borderId="31" xfId="0" applyFont="1" applyBorder="1" applyAlignment="1">
      <alignment horizontal="center"/>
    </xf>
    <xf numFmtId="0" fontId="1" fillId="0" borderId="32" xfId="0" applyFont="1" applyBorder="1" applyAlignment="1" applyProtection="1">
      <alignment horizontal="right"/>
      <protection locked="0"/>
    </xf>
    <xf numFmtId="0" fontId="1" fillId="0" borderId="24" xfId="0" applyFont="1" applyBorder="1" applyAlignment="1" applyProtection="1">
      <alignment horizontal="right"/>
      <protection locked="0"/>
    </xf>
    <xf numFmtId="0" fontId="6" fillId="0" borderId="33" xfId="0" applyFont="1" applyBorder="1" applyAlignment="1">
      <alignment horizontal="right"/>
    </xf>
    <xf numFmtId="0" fontId="1" fillId="0" borderId="26" xfId="0" applyFont="1" applyBorder="1" applyAlignment="1" applyProtection="1">
      <alignment horizontal="right"/>
      <protection locked="0"/>
    </xf>
    <xf numFmtId="0" fontId="6" fillId="0" borderId="25" xfId="0" applyFont="1" applyBorder="1" applyAlignment="1">
      <alignment horizontal="right"/>
    </xf>
    <xf numFmtId="0" fontId="1" fillId="0" borderId="23" xfId="0" applyFont="1" applyBorder="1" applyAlignment="1" applyProtection="1">
      <alignment horizontal="right"/>
      <protection locked="0"/>
    </xf>
    <xf numFmtId="0" fontId="1" fillId="0" borderId="27" xfId="0" applyFont="1" applyBorder="1" applyAlignment="1" applyProtection="1">
      <alignment horizontal="right"/>
      <protection locked="0"/>
    </xf>
    <xf numFmtId="0" fontId="1" fillId="0" borderId="0" xfId="0" applyFont="1" applyProtection="1">
      <protection locked="0"/>
    </xf>
    <xf numFmtId="0" fontId="1" fillId="0" borderId="0" xfId="0" applyFont="1" applyAlignment="1">
      <alignment horizontal="left"/>
    </xf>
    <xf numFmtId="0" fontId="7" fillId="0" borderId="0" xfId="0" applyFont="1" applyAlignment="1">
      <alignment horizontal="center" vertical="center"/>
    </xf>
    <xf numFmtId="0" fontId="1" fillId="0" borderId="19" xfId="0" applyFont="1" applyBorder="1" applyAlignment="1">
      <alignment horizontal="center" vertical="center" textRotation="90" wrapText="1"/>
    </xf>
    <xf numFmtId="0" fontId="1" fillId="0" borderId="22" xfId="0" applyFont="1" applyBorder="1" applyAlignment="1">
      <alignment horizontal="center" vertical="center" textRotation="90" wrapText="1"/>
    </xf>
    <xf numFmtId="0" fontId="1" fillId="0" borderId="20" xfId="0" applyFont="1" applyBorder="1" applyAlignment="1">
      <alignment horizontal="center" vertical="center" textRotation="90" wrapText="1"/>
    </xf>
    <xf numFmtId="0" fontId="1" fillId="0" borderId="21" xfId="0" applyFont="1" applyBorder="1" applyAlignment="1">
      <alignment horizontal="center" vertical="center" textRotation="90"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wmf"/><Relationship Id="rId2" Type="http://schemas.openxmlformats.org/officeDocument/2006/relationships/image" Target="../media/image2.png"/><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9525</xdr:colOff>
      <xdr:row>0</xdr:row>
      <xdr:rowOff>76200</xdr:rowOff>
    </xdr:from>
    <xdr:to>
      <xdr:col>2</xdr:col>
      <xdr:colOff>161925</xdr:colOff>
      <xdr:row>8</xdr:row>
      <xdr:rowOff>209550</xdr:rowOff>
    </xdr:to>
    <xdr:pic>
      <xdr:nvPicPr>
        <xdr:cNvPr id="2052" name="Picture 1">
          <a:extLst>
            <a:ext uri="{FF2B5EF4-FFF2-40B4-BE49-F238E27FC236}">
              <a16:creationId xmlns:a16="http://schemas.microsoft.com/office/drawing/2014/main" id="{00000000-0008-0000-0000-00000408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 y="76200"/>
          <a:ext cx="2628900" cy="1962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173182</xdr:colOff>
      <xdr:row>21</xdr:row>
      <xdr:rowOff>12122</xdr:rowOff>
    </xdr:from>
    <xdr:to>
      <xdr:col>4</xdr:col>
      <xdr:colOff>2249632</xdr:colOff>
      <xdr:row>29</xdr:row>
      <xdr:rowOff>201756</xdr:rowOff>
    </xdr:to>
    <xdr:pic>
      <xdr:nvPicPr>
        <xdr:cNvPr id="2053" name="Picture 2">
          <a:extLst>
            <a:ext uri="{FF2B5EF4-FFF2-40B4-BE49-F238E27FC236}">
              <a16:creationId xmlns:a16="http://schemas.microsoft.com/office/drawing/2014/main" id="{00000000-0008-0000-0000-00000508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420341" y="4739986"/>
          <a:ext cx="2076450" cy="199072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8</xdr:col>
      <xdr:colOff>57150</xdr:colOff>
      <xdr:row>0</xdr:row>
      <xdr:rowOff>200025</xdr:rowOff>
    </xdr:from>
    <xdr:to>
      <xdr:col>9</xdr:col>
      <xdr:colOff>361950</xdr:colOff>
      <xdr:row>8</xdr:row>
      <xdr:rowOff>57150</xdr:rowOff>
    </xdr:to>
    <xdr:pic>
      <xdr:nvPicPr>
        <xdr:cNvPr id="2054" name="Picture 3" descr="MCj02809250000[1]">
          <a:extLst>
            <a:ext uri="{FF2B5EF4-FFF2-40B4-BE49-F238E27FC236}">
              <a16:creationId xmlns:a16="http://schemas.microsoft.com/office/drawing/2014/main" id="{00000000-0008-0000-0000-00000608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7200900" y="200025"/>
          <a:ext cx="2114550" cy="1685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71</xdr:col>
      <xdr:colOff>108983</xdr:colOff>
      <xdr:row>1</xdr:row>
      <xdr:rowOff>38348</xdr:rowOff>
    </xdr:from>
    <xdr:to>
      <xdr:col>75</xdr:col>
      <xdr:colOff>539339</xdr:colOff>
      <xdr:row>23</xdr:row>
      <xdr:rowOff>17318</xdr:rowOff>
    </xdr:to>
    <xdr:sp macro="" textlink="">
      <xdr:nvSpPr>
        <xdr:cNvPr id="1025" name="Text Box 1">
          <a:extLst>
            <a:ext uri="{FF2B5EF4-FFF2-40B4-BE49-F238E27FC236}">
              <a16:creationId xmlns:a16="http://schemas.microsoft.com/office/drawing/2014/main" id="{00000000-0008-0000-0100-000001040000}"/>
            </a:ext>
          </a:extLst>
        </xdr:cNvPr>
        <xdr:cNvSpPr txBox="1">
          <a:spLocks noChangeArrowheads="1"/>
        </xdr:cNvSpPr>
      </xdr:nvSpPr>
      <xdr:spPr bwMode="auto">
        <a:xfrm>
          <a:off x="26675074" y="246166"/>
          <a:ext cx="2854901" cy="4412425"/>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l" rtl="0">
            <a:defRPr sz="1000"/>
          </a:pPr>
          <a:r>
            <a:rPr lang="en-US" sz="1200" b="0" i="0" u="none" strike="noStrike" baseline="0">
              <a:solidFill>
                <a:srgbClr val="000000"/>
              </a:solidFill>
              <a:latin typeface="Old English Text MT"/>
            </a:rPr>
            <a:t>State of Kansas, Lincoln County, ss.</a:t>
          </a:r>
        </a:p>
        <a:p>
          <a:pPr algn="l" rtl="0">
            <a:defRPr sz="1000"/>
          </a:pPr>
          <a:r>
            <a:rPr lang="en-US" sz="1200" b="0" i="0" u="none" strike="noStrike" baseline="0">
              <a:solidFill>
                <a:srgbClr val="000000"/>
              </a:solidFill>
              <a:latin typeface="Old English Text MT"/>
            </a:rPr>
            <a:t>     </a:t>
          </a:r>
          <a:r>
            <a:rPr lang="en-US" sz="1000" b="0" i="1" u="none" strike="noStrike" baseline="0">
              <a:solidFill>
                <a:srgbClr val="000000"/>
              </a:solidFill>
              <a:latin typeface="Times New Roman"/>
              <a:cs typeface="Times New Roman"/>
            </a:rPr>
            <a:t>WE, THE UNDERSIGNED, members of the Board of County Commissioners in and for said County, and ex-officio Board of Canvassers for said County, do hereby certify that the foregoing abstract of votes cast at the </a:t>
          </a:r>
          <a:r>
            <a:rPr lang="en-US" sz="1000" b="0" i="0" u="none" strike="noStrike" baseline="0">
              <a:solidFill>
                <a:srgbClr val="000000"/>
              </a:solidFill>
              <a:latin typeface="Times New Roman"/>
              <a:cs typeface="Times New Roman"/>
            </a:rPr>
            <a:t>PRESIDENTIAL PREFERENCE PRIMARY</a:t>
          </a:r>
          <a:r>
            <a:rPr lang="en-US" sz="1000" b="0" i="1" u="none" strike="noStrike" baseline="0">
              <a:solidFill>
                <a:srgbClr val="000000"/>
              </a:solidFill>
              <a:latin typeface="Times New Roman"/>
              <a:cs typeface="Times New Roman"/>
            </a:rPr>
            <a:t> election held in the several Townships in said County on the 19th day of March A.D. 2024, is true and correct, as shown by the returns of said election on file in the County Clerk’s Office, and canvassed by us this 25th day of March A.D. 2024.</a:t>
          </a:r>
        </a:p>
        <a:p>
          <a:pPr algn="l" rtl="0">
            <a:defRPr sz="1000"/>
          </a:pPr>
          <a:endParaRPr lang="en-US" sz="1000" b="0" i="1" u="none" strike="noStrike" baseline="0">
            <a:solidFill>
              <a:srgbClr val="000000"/>
            </a:solidFill>
            <a:latin typeface="Times New Roman"/>
            <a:cs typeface="Times New Roman"/>
          </a:endParaRPr>
        </a:p>
        <a:p>
          <a:pPr algn="l" rtl="0">
            <a:defRPr sz="1000"/>
          </a:pPr>
          <a:r>
            <a:rPr lang="en-US" sz="1000" b="0" i="1" u="none" strike="noStrike" baseline="0">
              <a:solidFill>
                <a:srgbClr val="000000"/>
              </a:solidFill>
              <a:latin typeface="Times New Roman"/>
              <a:cs typeface="Times New Roman"/>
            </a:rPr>
            <a:t>WITNESS our hands, this 25th day of March A.D. 2024.</a:t>
          </a:r>
          <a:endParaRPr lang="en-US" sz="1200" b="0" i="1" u="none" strike="noStrike" baseline="0">
            <a:solidFill>
              <a:srgbClr val="000000"/>
            </a:solidFill>
            <a:latin typeface="Times New Roman"/>
            <a:cs typeface="Times New Roman"/>
          </a:endParaRPr>
        </a:p>
        <a:p>
          <a:pPr algn="l" rtl="0">
            <a:defRPr sz="1000"/>
          </a:pPr>
          <a:endParaRPr lang="en-US" sz="1200" b="0" i="0" u="none" strike="noStrike" baseline="0">
            <a:solidFill>
              <a:srgbClr val="000000"/>
            </a:solidFill>
            <a:latin typeface="Times New Roman"/>
            <a:cs typeface="Times New Roman"/>
          </a:endParaRPr>
        </a:p>
        <a:p>
          <a:pPr algn="l" rtl="0">
            <a:defRPr sz="1000"/>
          </a:pPr>
          <a:r>
            <a:rPr lang="en-US" sz="1200" b="0" i="0" u="none" strike="noStrike" baseline="0">
              <a:solidFill>
                <a:srgbClr val="000000"/>
              </a:solidFill>
              <a:latin typeface="Times New Roman"/>
              <a:cs typeface="Times New Roman"/>
            </a:rPr>
            <a:t>____________________________</a:t>
          </a:r>
        </a:p>
        <a:p>
          <a:pPr algn="l" rtl="0">
            <a:defRPr sz="1000"/>
          </a:pPr>
          <a:endParaRPr lang="en-US" sz="1200" b="0" i="0" u="none" strike="noStrike" baseline="0">
            <a:solidFill>
              <a:srgbClr val="000000"/>
            </a:solidFill>
            <a:latin typeface="Times New Roman"/>
            <a:cs typeface="Times New Roman"/>
          </a:endParaRPr>
        </a:p>
        <a:p>
          <a:pPr algn="l" rtl="0">
            <a:defRPr sz="1000"/>
          </a:pPr>
          <a:r>
            <a:rPr lang="en-US" sz="1200" b="0" i="0" u="none" strike="noStrike" baseline="0">
              <a:solidFill>
                <a:srgbClr val="000000"/>
              </a:solidFill>
              <a:latin typeface="Times New Roman"/>
              <a:cs typeface="Times New Roman"/>
            </a:rPr>
            <a:t>____________________________</a:t>
          </a:r>
        </a:p>
        <a:p>
          <a:pPr algn="l" rtl="0">
            <a:defRPr sz="1000"/>
          </a:pPr>
          <a:endParaRPr lang="en-US" sz="1200" b="0" i="0" u="none" strike="noStrike" baseline="0">
            <a:solidFill>
              <a:srgbClr val="000000"/>
            </a:solidFill>
            <a:latin typeface="Times New Roman"/>
            <a:cs typeface="Times New Roman"/>
          </a:endParaRPr>
        </a:p>
        <a:p>
          <a:pPr algn="l" rtl="0">
            <a:defRPr sz="1000"/>
          </a:pPr>
          <a:r>
            <a:rPr lang="en-US" sz="1200" b="0" i="0" u="none" strike="noStrike" baseline="0">
              <a:solidFill>
                <a:srgbClr val="000000"/>
              </a:solidFill>
              <a:latin typeface="Times New Roman"/>
              <a:cs typeface="Times New Roman"/>
            </a:rPr>
            <a:t>____________________________</a:t>
          </a:r>
        </a:p>
        <a:p>
          <a:pPr algn="l" rtl="0">
            <a:defRPr sz="1000"/>
          </a:pPr>
          <a:endParaRPr lang="en-US" sz="1200" b="0" i="0" u="none" strike="noStrike" baseline="0">
            <a:solidFill>
              <a:srgbClr val="000000"/>
            </a:solidFill>
            <a:latin typeface="Times New Roman"/>
            <a:cs typeface="Times New Roman"/>
          </a:endParaRPr>
        </a:p>
        <a:p>
          <a:pPr algn="l" rtl="0">
            <a:defRPr sz="1000"/>
          </a:pPr>
          <a:r>
            <a:rPr lang="en-US" sz="1000" b="0" i="1" u="none" strike="noStrike" baseline="0">
              <a:solidFill>
                <a:srgbClr val="000000"/>
              </a:solidFill>
              <a:latin typeface="Times New Roman"/>
              <a:cs typeface="Times New Roman"/>
            </a:rPr>
            <a:t>ATTEST:</a:t>
          </a:r>
        </a:p>
        <a:p>
          <a:pPr algn="l" rtl="0">
            <a:defRPr sz="1000"/>
          </a:pPr>
          <a:endParaRPr lang="en-US" sz="1200" b="0" i="0" u="none" strike="noStrike" baseline="0">
            <a:solidFill>
              <a:srgbClr val="000000"/>
            </a:solidFill>
            <a:latin typeface="Times New Roman"/>
            <a:cs typeface="Times New Roman"/>
          </a:endParaRPr>
        </a:p>
        <a:p>
          <a:pPr algn="l" rtl="0">
            <a:defRPr sz="1000"/>
          </a:pPr>
          <a:r>
            <a:rPr lang="en-US" sz="1200" b="0" i="0" u="none" strike="noStrike" baseline="0">
              <a:solidFill>
                <a:srgbClr val="000000"/>
              </a:solidFill>
              <a:latin typeface="Times New Roman"/>
              <a:cs typeface="Times New Roman"/>
            </a:rPr>
            <a:t>____________________________</a:t>
          </a:r>
        </a:p>
        <a:p>
          <a:pPr algn="l" rtl="0">
            <a:defRPr sz="1000"/>
          </a:pPr>
          <a:r>
            <a:rPr lang="en-US" sz="1200" b="0" i="0" u="none" strike="noStrike" baseline="0">
              <a:solidFill>
                <a:srgbClr val="000000"/>
              </a:solidFill>
              <a:latin typeface="Times New Roman"/>
              <a:cs typeface="Times New Roman"/>
            </a:rPr>
            <a:t> </a:t>
          </a:r>
          <a:r>
            <a:rPr lang="en-US" sz="1000" b="0" i="1" u="none" strike="noStrike" baseline="0">
              <a:solidFill>
                <a:srgbClr val="000000"/>
              </a:solidFill>
              <a:latin typeface="Times New Roman"/>
              <a:cs typeface="Times New Roman"/>
            </a:rPr>
            <a:t>County Clerk</a:t>
          </a:r>
        </a:p>
        <a:p>
          <a:pPr algn="l" rtl="0">
            <a:defRPr sz="1000"/>
          </a:pPr>
          <a:endParaRPr lang="en-US" sz="1200" b="0" i="0" u="none" strike="noStrike" baseline="0">
            <a:solidFill>
              <a:srgbClr val="000000"/>
            </a:solidFill>
            <a:latin typeface="Times New Roman"/>
            <a:cs typeface="Times New Roman"/>
          </a:endParaRPr>
        </a:p>
        <a:p>
          <a:pPr algn="l" rtl="0">
            <a:defRPr sz="1000"/>
          </a:pPr>
          <a:endParaRPr lang="en-US" sz="1200" b="0" i="0" u="none" strike="noStrike" baseline="0">
            <a:solidFill>
              <a:srgbClr val="000000"/>
            </a:solidFill>
            <a:latin typeface="Times New Roman"/>
            <a:cs typeface="Times New Roman"/>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46"/>
  <sheetViews>
    <sheetView topLeftCell="A13" zoomScale="110" zoomScaleNormal="110" workbookViewId="0">
      <selection activeCell="K12" sqref="K12"/>
    </sheetView>
  </sheetViews>
  <sheetFormatPr defaultColWidth="9.140625" defaultRowHeight="18" x14ac:dyDescent="0.25"/>
  <cols>
    <col min="1" max="1" width="32.28515625" style="18" customWidth="1"/>
    <col min="2" max="2" width="4.85546875" style="18" customWidth="1"/>
    <col min="3" max="3" width="9.5703125" style="19" customWidth="1"/>
    <col min="4" max="4" width="2" style="19" customWidth="1"/>
    <col min="5" max="5" width="34.28515625" style="18" customWidth="1"/>
    <col min="6" max="6" width="10.42578125" style="18" customWidth="1"/>
    <col min="7" max="7" width="9.7109375" style="28" customWidth="1"/>
    <col min="8" max="8" width="4" style="18" customWidth="1"/>
    <col min="9" max="9" width="27.140625" style="18" customWidth="1"/>
    <col min="10" max="10" width="8.140625" style="18" customWidth="1"/>
    <col min="11" max="11" width="9.140625" style="19"/>
    <col min="12" max="16384" width="9.140625" style="18"/>
  </cols>
  <sheetData>
    <row r="2" spans="1:11" x14ac:dyDescent="0.25">
      <c r="C2" s="18"/>
      <c r="D2" s="18"/>
      <c r="E2" s="30" t="s">
        <v>34</v>
      </c>
      <c r="F2" s="28"/>
      <c r="G2" s="32"/>
    </row>
    <row r="3" spans="1:11" x14ac:dyDescent="0.25">
      <c r="C3" s="18"/>
      <c r="D3" s="18"/>
      <c r="E3" s="29" t="s">
        <v>35</v>
      </c>
      <c r="F3" s="28" t="s">
        <v>3</v>
      </c>
      <c r="G3" s="32" t="e">
        <f>Lincoln!#REF!</f>
        <v>#REF!</v>
      </c>
    </row>
    <row r="4" spans="1:11" x14ac:dyDescent="0.25">
      <c r="C4" s="18"/>
      <c r="D4" s="18"/>
      <c r="E4" s="29" t="s">
        <v>36</v>
      </c>
      <c r="F4" s="28" t="s">
        <v>2</v>
      </c>
      <c r="G4" s="32" t="e">
        <f>Lincoln!#REF!</f>
        <v>#REF!</v>
      </c>
    </row>
    <row r="5" spans="1:11" x14ac:dyDescent="0.25">
      <c r="C5" s="18"/>
      <c r="D5" s="18"/>
      <c r="E5" s="29" t="s">
        <v>54</v>
      </c>
      <c r="F5" s="28" t="s">
        <v>53</v>
      </c>
      <c r="G5" s="32" t="e">
        <f>Lincoln!#REF!</f>
        <v>#REF!</v>
      </c>
    </row>
    <row r="6" spans="1:11" x14ac:dyDescent="0.25">
      <c r="C6" s="18"/>
      <c r="D6" s="18"/>
      <c r="E6" s="29"/>
      <c r="F6" s="28"/>
      <c r="G6" s="32"/>
      <c r="J6" s="22"/>
    </row>
    <row r="7" spans="1:11" x14ac:dyDescent="0.25">
      <c r="C7" s="18"/>
      <c r="D7" s="18"/>
      <c r="E7" s="29"/>
      <c r="F7" s="28"/>
      <c r="J7" s="22"/>
    </row>
    <row r="8" spans="1:11" x14ac:dyDescent="0.25">
      <c r="C8" s="18"/>
      <c r="D8" s="18"/>
      <c r="E8" s="29"/>
      <c r="F8" s="28"/>
      <c r="G8" s="32"/>
      <c r="I8" s="21"/>
    </row>
    <row r="9" spans="1:11" x14ac:dyDescent="0.25">
      <c r="C9" s="18"/>
      <c r="E9" s="29"/>
      <c r="F9" s="28"/>
      <c r="G9" s="32"/>
      <c r="I9" s="20"/>
      <c r="J9" s="22"/>
    </row>
    <row r="10" spans="1:11" x14ac:dyDescent="0.25">
      <c r="A10" s="27"/>
      <c r="B10" s="21"/>
      <c r="C10" s="18"/>
      <c r="E10" s="29"/>
      <c r="F10" s="28"/>
      <c r="G10" s="32"/>
      <c r="I10" s="27"/>
      <c r="J10" s="17"/>
      <c r="K10" s="24"/>
    </row>
    <row r="11" spans="1:11" x14ac:dyDescent="0.25">
      <c r="A11" s="27"/>
      <c r="B11" s="21"/>
      <c r="C11" s="18"/>
      <c r="D11" s="18"/>
      <c r="E11" s="30" t="s">
        <v>37</v>
      </c>
      <c r="F11" s="28"/>
      <c r="G11" s="32"/>
      <c r="I11" s="30" t="s">
        <v>40</v>
      </c>
      <c r="J11" s="28"/>
      <c r="K11" s="37"/>
    </row>
    <row r="12" spans="1:11" x14ac:dyDescent="0.25">
      <c r="A12" s="27"/>
      <c r="B12" s="21"/>
      <c r="C12" s="17"/>
      <c r="D12" s="18"/>
      <c r="E12" s="29" t="s">
        <v>38</v>
      </c>
      <c r="F12" s="28" t="s">
        <v>3</v>
      </c>
      <c r="G12" s="32" t="e">
        <f>Lincoln!#REF!</f>
        <v>#REF!</v>
      </c>
      <c r="I12" s="29" t="s">
        <v>42</v>
      </c>
      <c r="J12" s="28" t="s">
        <v>2</v>
      </c>
      <c r="K12" s="28" t="e">
        <f>Lincoln!#REF!</f>
        <v>#REF!</v>
      </c>
    </row>
    <row r="13" spans="1:11" x14ac:dyDescent="0.25">
      <c r="A13" s="35" t="s">
        <v>50</v>
      </c>
      <c r="B13" s="17"/>
      <c r="C13" s="17"/>
      <c r="D13" s="18"/>
      <c r="E13" s="29" t="s">
        <v>39</v>
      </c>
      <c r="F13" s="28" t="s">
        <v>2</v>
      </c>
      <c r="G13" s="32" t="e">
        <f>Lincoln!#REF!</f>
        <v>#REF!</v>
      </c>
      <c r="I13" s="29" t="s">
        <v>41</v>
      </c>
      <c r="J13" s="28" t="s">
        <v>3</v>
      </c>
      <c r="K13" s="28" t="e">
        <f>Lincoln!#REF!</f>
        <v>#REF!</v>
      </c>
    </row>
    <row r="14" spans="1:11" x14ac:dyDescent="0.25">
      <c r="A14" s="26" t="s">
        <v>28</v>
      </c>
      <c r="B14" s="28" t="s">
        <v>3</v>
      </c>
      <c r="C14" s="28">
        <f>Lincoln!$BS$9</f>
        <v>3</v>
      </c>
      <c r="D14" s="18"/>
      <c r="E14" s="29"/>
      <c r="F14" s="28"/>
      <c r="G14" s="32"/>
      <c r="I14" s="29"/>
      <c r="J14" s="28"/>
      <c r="K14" s="28"/>
    </row>
    <row r="15" spans="1:11" x14ac:dyDescent="0.25">
      <c r="A15" s="26" t="s">
        <v>31</v>
      </c>
      <c r="B15" s="28" t="s">
        <v>2</v>
      </c>
      <c r="C15" s="28">
        <f>Lincoln!$BS$11</f>
        <v>163</v>
      </c>
      <c r="D15" s="18"/>
      <c r="E15" s="29"/>
      <c r="F15" s="28"/>
      <c r="G15" s="32"/>
      <c r="I15" s="29"/>
      <c r="J15" s="28"/>
      <c r="K15" s="28"/>
    </row>
    <row r="16" spans="1:11" x14ac:dyDescent="0.25">
      <c r="A16" s="26"/>
      <c r="B16" s="28"/>
      <c r="C16" s="28"/>
      <c r="E16" s="29"/>
      <c r="F16" s="28"/>
      <c r="G16" s="32"/>
      <c r="I16" s="29"/>
      <c r="J16" s="28"/>
      <c r="K16" s="28"/>
    </row>
    <row r="17" spans="1:11" x14ac:dyDescent="0.25">
      <c r="A17" s="26"/>
      <c r="B17" s="28"/>
      <c r="C17" s="28"/>
      <c r="E17" s="29"/>
      <c r="F17" s="28"/>
      <c r="G17" s="32"/>
      <c r="I17" s="29"/>
      <c r="J17" s="28"/>
      <c r="K17" s="28"/>
    </row>
    <row r="18" spans="1:11" x14ac:dyDescent="0.25">
      <c r="A18" s="26"/>
      <c r="B18" s="28"/>
      <c r="C18" s="28"/>
      <c r="E18" s="30" t="s">
        <v>46</v>
      </c>
      <c r="F18" s="28"/>
      <c r="G18" s="32"/>
      <c r="I18" s="30" t="s">
        <v>43</v>
      </c>
      <c r="J18" s="28"/>
      <c r="K18" s="28"/>
    </row>
    <row r="19" spans="1:11" x14ac:dyDescent="0.25">
      <c r="A19" s="26"/>
      <c r="B19" s="17"/>
      <c r="C19" s="28"/>
      <c r="D19" s="18"/>
      <c r="E19" s="29" t="s">
        <v>47</v>
      </c>
      <c r="F19" s="28" t="s">
        <v>2</v>
      </c>
      <c r="G19" s="32" t="e">
        <f>Lincoln!#REF!</f>
        <v>#REF!</v>
      </c>
      <c r="I19" s="29" t="s">
        <v>55</v>
      </c>
      <c r="J19" s="28" t="s">
        <v>53</v>
      </c>
      <c r="K19" s="28" t="e">
        <f>Lincoln!#REF!</f>
        <v>#REF!</v>
      </c>
    </row>
    <row r="20" spans="1:11" x14ac:dyDescent="0.25">
      <c r="A20" s="26"/>
      <c r="B20" s="28"/>
      <c r="C20" s="28"/>
      <c r="D20" s="18"/>
      <c r="E20" s="29" t="s">
        <v>51</v>
      </c>
      <c r="F20" s="28" t="s">
        <v>3</v>
      </c>
      <c r="G20" s="32" t="e">
        <f>Lincoln!#REF!</f>
        <v>#REF!</v>
      </c>
      <c r="I20" s="29" t="s">
        <v>45</v>
      </c>
      <c r="J20" s="28" t="s">
        <v>2</v>
      </c>
      <c r="K20" s="28" t="e">
        <f>Lincoln!#REF!</f>
        <v>#REF!</v>
      </c>
    </row>
    <row r="21" spans="1:11" x14ac:dyDescent="0.25">
      <c r="A21" s="40" t="s">
        <v>33</v>
      </c>
      <c r="B21" s="36"/>
      <c r="C21" s="28"/>
      <c r="E21" s="29"/>
      <c r="F21" s="28"/>
      <c r="G21" s="32"/>
      <c r="I21" s="29"/>
      <c r="J21" s="28"/>
      <c r="K21" s="28"/>
    </row>
    <row r="22" spans="1:11" x14ac:dyDescent="0.25">
      <c r="A22" s="44" t="s">
        <v>56</v>
      </c>
      <c r="B22" s="28" t="s">
        <v>52</v>
      </c>
      <c r="C22" s="28">
        <f>Lincoln!BS13</f>
        <v>3</v>
      </c>
      <c r="E22" s="29"/>
      <c r="F22" s="28"/>
      <c r="G22" s="32"/>
      <c r="I22" s="30" t="s">
        <v>44</v>
      </c>
      <c r="J22" s="28"/>
      <c r="K22" s="28"/>
    </row>
    <row r="23" spans="1:11" x14ac:dyDescent="0.25">
      <c r="A23" s="45" t="s">
        <v>57</v>
      </c>
      <c r="B23" s="28" t="s">
        <v>2</v>
      </c>
      <c r="C23" s="28">
        <f>Lincoln!BS14</f>
        <v>0</v>
      </c>
      <c r="E23" s="33"/>
      <c r="F23" s="32"/>
      <c r="G23" s="32"/>
      <c r="I23" s="29" t="s">
        <v>32</v>
      </c>
      <c r="J23" s="28" t="s">
        <v>2</v>
      </c>
      <c r="K23" s="28" t="e">
        <f>Lincoln!#REF!</f>
        <v>#REF!</v>
      </c>
    </row>
    <row r="24" spans="1:11" x14ac:dyDescent="0.25">
      <c r="A24" s="45" t="s">
        <v>58</v>
      </c>
      <c r="B24" s="28" t="s">
        <v>52</v>
      </c>
      <c r="C24" s="28" t="e">
        <f>Lincoln!#REF!</f>
        <v>#REF!</v>
      </c>
      <c r="E24" s="33"/>
      <c r="F24" s="32"/>
      <c r="G24" s="32"/>
      <c r="I24" s="29"/>
      <c r="J24" s="28"/>
      <c r="K24" s="28"/>
    </row>
    <row r="25" spans="1:11" x14ac:dyDescent="0.25">
      <c r="A25" s="45" t="s">
        <v>59</v>
      </c>
      <c r="B25" s="28" t="s">
        <v>53</v>
      </c>
      <c r="C25" s="28">
        <f>Lincoln!BS15</f>
        <v>10</v>
      </c>
      <c r="E25" s="31"/>
      <c r="F25" s="32"/>
      <c r="I25" s="29"/>
      <c r="J25" s="28"/>
      <c r="K25" s="28"/>
    </row>
    <row r="26" spans="1:11" x14ac:dyDescent="0.25">
      <c r="A26" s="44" t="s">
        <v>60</v>
      </c>
      <c r="B26" s="28" t="s">
        <v>3</v>
      </c>
      <c r="C26" s="28">
        <f>Lincoln!BS16</f>
        <v>0</v>
      </c>
      <c r="E26" s="33"/>
      <c r="F26" s="32"/>
      <c r="I26" s="29"/>
      <c r="J26" s="28"/>
      <c r="K26" s="28"/>
    </row>
    <row r="27" spans="1:11" x14ac:dyDescent="0.25">
      <c r="A27" s="39"/>
      <c r="B27" s="28"/>
      <c r="C27" s="28"/>
      <c r="E27" s="33"/>
      <c r="F27" s="32"/>
      <c r="I27" s="30" t="s">
        <v>48</v>
      </c>
      <c r="J27" s="28"/>
      <c r="K27" s="28"/>
    </row>
    <row r="28" spans="1:11" x14ac:dyDescent="0.25">
      <c r="A28" s="39"/>
      <c r="B28" s="28"/>
      <c r="C28" s="28"/>
      <c r="E28" s="31"/>
      <c r="F28" s="32"/>
      <c r="I28" s="29" t="s">
        <v>49</v>
      </c>
      <c r="J28" s="28" t="s">
        <v>2</v>
      </c>
      <c r="K28" s="28" t="e">
        <f>Lincoln!#REF!</f>
        <v>#REF!</v>
      </c>
    </row>
    <row r="29" spans="1:11" x14ac:dyDescent="0.25">
      <c r="A29" s="39"/>
      <c r="B29" s="28"/>
      <c r="C29" s="28"/>
      <c r="E29" s="33"/>
      <c r="F29" s="32"/>
      <c r="I29" s="29"/>
      <c r="J29" s="28"/>
      <c r="K29" s="28"/>
    </row>
    <row r="30" spans="1:11" x14ac:dyDescent="0.25">
      <c r="A30" s="39"/>
      <c r="B30" s="28"/>
      <c r="C30" s="28"/>
      <c r="I30" s="29"/>
      <c r="J30" s="28"/>
      <c r="K30" s="28"/>
    </row>
    <row r="31" spans="1:11" ht="19.5" x14ac:dyDescent="0.35">
      <c r="A31" s="39"/>
      <c r="B31" s="28"/>
      <c r="C31" s="28"/>
      <c r="D31" s="23"/>
    </row>
    <row r="32" spans="1:11" ht="19.5" x14ac:dyDescent="0.35">
      <c r="A32" s="39"/>
      <c r="B32" s="28"/>
      <c r="C32" s="28"/>
      <c r="D32" s="23"/>
      <c r="K32" s="23"/>
    </row>
    <row r="33" spans="1:11" ht="19.5" x14ac:dyDescent="0.35">
      <c r="A33" s="39"/>
      <c r="B33" s="28"/>
      <c r="C33" s="28"/>
      <c r="D33" s="23"/>
      <c r="K33" s="23"/>
    </row>
    <row r="34" spans="1:11" ht="19.5" x14ac:dyDescent="0.35">
      <c r="A34" s="39"/>
      <c r="B34" s="28"/>
      <c r="C34" s="28"/>
      <c r="D34" s="23"/>
      <c r="K34" s="23"/>
    </row>
    <row r="35" spans="1:11" ht="19.5" x14ac:dyDescent="0.35">
      <c r="A35" s="29"/>
      <c r="B35" s="17"/>
      <c r="C35" s="28"/>
      <c r="K35" s="23"/>
    </row>
    <row r="36" spans="1:11" x14ac:dyDescent="0.25">
      <c r="A36"/>
      <c r="B36" s="17"/>
      <c r="C36" s="28"/>
    </row>
    <row r="37" spans="1:11" x14ac:dyDescent="0.25">
      <c r="A37"/>
      <c r="B37" s="17"/>
      <c r="C37" s="28"/>
    </row>
    <row r="38" spans="1:11" x14ac:dyDescent="0.25">
      <c r="A38" s="29"/>
      <c r="B38" s="29"/>
      <c r="C38" s="18"/>
    </row>
    <row r="39" spans="1:11" x14ac:dyDescent="0.25">
      <c r="A39" s="29"/>
      <c r="B39" s="28"/>
      <c r="C39" s="18"/>
    </row>
    <row r="40" spans="1:11" x14ac:dyDescent="0.25">
      <c r="A40" s="30"/>
      <c r="B40" s="28"/>
    </row>
    <row r="41" spans="1:11" x14ac:dyDescent="0.25">
      <c r="A41" s="29"/>
      <c r="B41" s="28"/>
    </row>
    <row r="42" spans="1:11" x14ac:dyDescent="0.25">
      <c r="A42" s="29"/>
      <c r="B42" s="29"/>
    </row>
    <row r="45" spans="1:11" x14ac:dyDescent="0.25">
      <c r="B45" s="19"/>
    </row>
    <row r="46" spans="1:11" x14ac:dyDescent="0.25">
      <c r="A46" s="19"/>
    </row>
  </sheetData>
  <phoneticPr fontId="2" type="noConversion"/>
  <pageMargins left="0.5" right="0.5" top="0.5" bottom="0.5" header="0.5" footer="0.5"/>
  <pageSetup scale="82"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S135"/>
  <sheetViews>
    <sheetView tabSelected="1" zoomScale="110" zoomScaleNormal="110" zoomScalePageLayoutView="70" workbookViewId="0">
      <pane xSplit="2" ySplit="2" topLeftCell="AP3" activePane="bottomRight" state="frozen"/>
      <selection pane="topRight" activeCell="C1" sqref="C1"/>
      <selection pane="bottomLeft" activeCell="A3" sqref="A3"/>
      <selection pane="bottomRight" activeCell="AL12" sqref="AL12"/>
    </sheetView>
  </sheetViews>
  <sheetFormatPr defaultRowHeight="12.75" x14ac:dyDescent="0.2"/>
  <cols>
    <col min="1" max="1" width="24.5703125" customWidth="1"/>
    <col min="2" max="2" width="3.28515625" customWidth="1"/>
    <col min="3" max="4" width="5.140625" customWidth="1"/>
    <col min="5" max="5" width="5.140625" style="16" customWidth="1"/>
    <col min="6" max="7" width="5.140625" customWidth="1"/>
    <col min="8" max="8" width="6.28515625" style="16" bestFit="1" customWidth="1"/>
    <col min="9" max="10" width="5.140625" customWidth="1"/>
    <col min="11" max="11" width="5.140625" style="14" customWidth="1"/>
    <col min="12" max="13" width="5.140625" customWidth="1"/>
    <col min="14" max="14" width="5.140625" style="14" customWidth="1"/>
    <col min="15" max="16" width="5.140625" customWidth="1"/>
    <col min="17" max="17" width="5.140625" style="14" customWidth="1"/>
    <col min="18" max="19" width="5.140625" customWidth="1"/>
    <col min="20" max="20" width="5.140625" style="14" customWidth="1"/>
    <col min="21" max="22" width="5.140625" customWidth="1"/>
    <col min="23" max="23" width="5.140625" style="14" customWidth="1"/>
    <col min="24" max="25" width="5.140625" customWidth="1"/>
    <col min="26" max="26" width="5.140625" style="14" customWidth="1"/>
    <col min="27" max="28" width="5.140625" customWidth="1"/>
    <col min="29" max="29" width="5.140625" style="14" customWidth="1"/>
    <col min="30" max="31" width="5.140625" customWidth="1"/>
    <col min="32" max="32" width="5.140625" style="14" customWidth="1"/>
    <col min="33" max="34" width="5.140625" customWidth="1"/>
    <col min="35" max="35" width="5.140625" style="14" customWidth="1"/>
    <col min="36" max="37" width="5.140625" customWidth="1"/>
    <col min="38" max="38" width="3.28515625" customWidth="1"/>
    <col min="39" max="39" width="5.42578125" style="14" customWidth="1"/>
    <col min="40" max="41" width="5.42578125" customWidth="1"/>
    <col min="42" max="42" width="3.28515625" customWidth="1"/>
    <col min="43" max="43" width="5.42578125" style="14" customWidth="1"/>
    <col min="44" max="45" width="5.42578125" customWidth="1"/>
    <col min="46" max="46" width="5.42578125" style="14" customWidth="1"/>
    <col min="47" max="48" width="5.42578125" customWidth="1"/>
    <col min="49" max="49" width="5.42578125" style="14" customWidth="1"/>
    <col min="50" max="51" width="5.42578125" customWidth="1"/>
    <col min="52" max="52" width="5.42578125" style="14" customWidth="1"/>
    <col min="53" max="54" width="5.42578125" customWidth="1"/>
    <col min="55" max="55" width="5.42578125" style="14" customWidth="1"/>
    <col min="56" max="57" width="5.42578125" customWidth="1"/>
    <col min="58" max="58" width="5.42578125" style="14" customWidth="1"/>
    <col min="59" max="60" width="5.42578125" customWidth="1"/>
    <col min="61" max="61" width="5.42578125" style="14" customWidth="1"/>
    <col min="62" max="63" width="5.42578125" customWidth="1"/>
    <col min="64" max="64" width="5.42578125" style="14" customWidth="1"/>
    <col min="65" max="66" width="5.42578125" customWidth="1"/>
    <col min="67" max="67" width="5.42578125" style="14" customWidth="1"/>
    <col min="68" max="69" width="5.42578125" customWidth="1"/>
    <col min="70" max="70" width="5.42578125" style="14" customWidth="1"/>
    <col min="71" max="71" width="6.7109375" style="14" customWidth="1"/>
  </cols>
  <sheetData>
    <row r="1" spans="1:71" s="1" customFormat="1" ht="16.5" thickBot="1" x14ac:dyDescent="0.25">
      <c r="A1" s="76" t="s">
        <v>70</v>
      </c>
      <c r="B1" s="76"/>
      <c r="C1" s="76"/>
      <c r="D1" s="76"/>
      <c r="E1" s="76"/>
      <c r="F1" s="76"/>
      <c r="G1" s="76"/>
      <c r="H1" s="76"/>
      <c r="I1" s="76"/>
      <c r="J1" s="76"/>
      <c r="K1" s="76"/>
      <c r="L1" s="76"/>
      <c r="M1" s="76"/>
      <c r="N1" s="76"/>
      <c r="O1" s="76"/>
      <c r="P1" s="76"/>
      <c r="Q1" s="76"/>
      <c r="R1" s="76"/>
      <c r="S1" s="76"/>
      <c r="T1" s="76"/>
      <c r="U1" s="76"/>
      <c r="V1" s="76"/>
      <c r="W1" s="76"/>
      <c r="X1" s="76"/>
      <c r="Y1" s="76"/>
      <c r="Z1" s="76"/>
      <c r="AA1" s="76"/>
      <c r="AB1" s="76"/>
      <c r="AC1" s="76"/>
      <c r="AD1" s="76"/>
      <c r="AE1" s="76"/>
      <c r="AF1" s="76"/>
      <c r="AG1" s="76"/>
      <c r="AH1" s="76"/>
      <c r="AI1" s="76"/>
      <c r="AJ1" s="15"/>
      <c r="AK1" s="15"/>
      <c r="AL1" s="15"/>
      <c r="AM1" s="15"/>
      <c r="AN1" s="15"/>
      <c r="AO1" s="15"/>
      <c r="AP1" s="15"/>
      <c r="AQ1" s="15"/>
      <c r="AR1" s="15"/>
      <c r="AS1" s="15"/>
      <c r="AT1" s="15"/>
      <c r="AU1" s="15"/>
      <c r="AV1" s="15"/>
      <c r="AW1" s="15"/>
      <c r="AX1" s="15"/>
      <c r="AY1" s="15"/>
      <c r="AZ1" s="15"/>
      <c r="BA1" s="15"/>
      <c r="BB1" s="15"/>
      <c r="BC1" s="15"/>
      <c r="BD1" s="15"/>
      <c r="BE1" s="15"/>
      <c r="BF1" s="15"/>
      <c r="BG1" s="7"/>
      <c r="BH1" s="7"/>
      <c r="BI1" s="7"/>
      <c r="BJ1" s="7"/>
      <c r="BK1" s="7"/>
      <c r="BL1" s="7"/>
      <c r="BM1" s="7"/>
      <c r="BN1" s="7"/>
      <c r="BO1" s="7"/>
      <c r="BP1" s="7"/>
      <c r="BQ1" s="7"/>
      <c r="BR1" s="7"/>
      <c r="BS1" s="60"/>
    </row>
    <row r="2" spans="1:71" ht="80.25" customHeight="1" thickBot="1" x14ac:dyDescent="0.25">
      <c r="A2" s="8" t="s">
        <v>1</v>
      </c>
      <c r="B2" s="4" t="s">
        <v>0</v>
      </c>
      <c r="C2" s="77" t="s">
        <v>4</v>
      </c>
      <c r="D2" s="77"/>
      <c r="E2" s="77"/>
      <c r="F2" s="78" t="s">
        <v>5</v>
      </c>
      <c r="G2" s="77"/>
      <c r="H2" s="77"/>
      <c r="I2" s="78" t="s">
        <v>6</v>
      </c>
      <c r="J2" s="77"/>
      <c r="K2" s="77"/>
      <c r="L2" s="78" t="s">
        <v>7</v>
      </c>
      <c r="M2" s="77"/>
      <c r="N2" s="77"/>
      <c r="O2" s="78" t="s">
        <v>8</v>
      </c>
      <c r="P2" s="77"/>
      <c r="Q2" s="77"/>
      <c r="R2" s="78" t="s">
        <v>9</v>
      </c>
      <c r="S2" s="77"/>
      <c r="T2" s="77"/>
      <c r="U2" s="78" t="s">
        <v>10</v>
      </c>
      <c r="V2" s="77"/>
      <c r="W2" s="77"/>
      <c r="X2" s="77" t="s">
        <v>11</v>
      </c>
      <c r="Y2" s="77"/>
      <c r="Z2" s="77"/>
      <c r="AA2" s="77" t="s">
        <v>12</v>
      </c>
      <c r="AB2" s="77"/>
      <c r="AC2" s="77"/>
      <c r="AD2" s="77" t="s">
        <v>13</v>
      </c>
      <c r="AE2" s="77"/>
      <c r="AF2" s="77"/>
      <c r="AG2" s="79" t="s">
        <v>14</v>
      </c>
      <c r="AH2" s="80"/>
      <c r="AI2" s="78"/>
      <c r="AJ2" s="77" t="s">
        <v>27</v>
      </c>
      <c r="AK2" s="77"/>
      <c r="AL2" s="77"/>
      <c r="AM2" s="77"/>
      <c r="AN2" s="77" t="s">
        <v>26</v>
      </c>
      <c r="AO2" s="77"/>
      <c r="AP2" s="77"/>
      <c r="AQ2" s="77"/>
      <c r="AR2" s="78" t="s">
        <v>15</v>
      </c>
      <c r="AS2" s="77"/>
      <c r="AT2" s="77"/>
      <c r="AU2" s="78" t="s">
        <v>16</v>
      </c>
      <c r="AV2" s="77"/>
      <c r="AW2" s="77"/>
      <c r="AX2" s="78" t="s">
        <v>17</v>
      </c>
      <c r="AY2" s="77"/>
      <c r="AZ2" s="77"/>
      <c r="BA2" s="77" t="s">
        <v>18</v>
      </c>
      <c r="BB2" s="77"/>
      <c r="BC2" s="77"/>
      <c r="BD2" s="77" t="s">
        <v>19</v>
      </c>
      <c r="BE2" s="77"/>
      <c r="BF2" s="77"/>
      <c r="BG2" s="77" t="s">
        <v>20</v>
      </c>
      <c r="BH2" s="77"/>
      <c r="BI2" s="77"/>
      <c r="BJ2" s="78" t="s">
        <v>21</v>
      </c>
      <c r="BK2" s="77"/>
      <c r="BL2" s="77"/>
      <c r="BM2" s="78" t="s">
        <v>22</v>
      </c>
      <c r="BN2" s="77"/>
      <c r="BO2" s="77"/>
      <c r="BP2" s="77" t="s">
        <v>23</v>
      </c>
      <c r="BQ2" s="77"/>
      <c r="BR2" s="77"/>
      <c r="BS2" s="61" t="s">
        <v>30</v>
      </c>
    </row>
    <row r="3" spans="1:71" ht="14.1" customHeight="1" x14ac:dyDescent="0.2">
      <c r="A3" s="3"/>
      <c r="B3" s="2"/>
      <c r="C3" s="10" t="s">
        <v>24</v>
      </c>
      <c r="D3" s="5" t="s">
        <v>2</v>
      </c>
      <c r="E3" s="11" t="s">
        <v>25</v>
      </c>
      <c r="F3" s="5" t="s">
        <v>24</v>
      </c>
      <c r="G3" s="5" t="s">
        <v>2</v>
      </c>
      <c r="H3" s="11" t="s">
        <v>25</v>
      </c>
      <c r="I3" s="5" t="s">
        <v>24</v>
      </c>
      <c r="J3" s="5" t="s">
        <v>2</v>
      </c>
      <c r="K3" s="11" t="s">
        <v>25</v>
      </c>
      <c r="L3" s="5" t="s">
        <v>24</v>
      </c>
      <c r="M3" s="5" t="s">
        <v>2</v>
      </c>
      <c r="N3" s="11" t="s">
        <v>25</v>
      </c>
      <c r="O3" s="5" t="s">
        <v>24</v>
      </c>
      <c r="P3" s="5" t="s">
        <v>2</v>
      </c>
      <c r="Q3" s="11" t="s">
        <v>25</v>
      </c>
      <c r="R3" s="5" t="s">
        <v>24</v>
      </c>
      <c r="S3" s="5" t="s">
        <v>2</v>
      </c>
      <c r="T3" s="11" t="s">
        <v>25</v>
      </c>
      <c r="U3" s="5" t="s">
        <v>24</v>
      </c>
      <c r="V3" s="5" t="s">
        <v>2</v>
      </c>
      <c r="W3" s="11" t="s">
        <v>25</v>
      </c>
      <c r="X3" s="10" t="s">
        <v>24</v>
      </c>
      <c r="Y3" s="5" t="s">
        <v>2</v>
      </c>
      <c r="Z3" s="11" t="s">
        <v>25</v>
      </c>
      <c r="AA3" s="10" t="s">
        <v>24</v>
      </c>
      <c r="AB3" s="5" t="s">
        <v>2</v>
      </c>
      <c r="AC3" s="11" t="s">
        <v>25</v>
      </c>
      <c r="AD3" s="10" t="s">
        <v>24</v>
      </c>
      <c r="AE3" s="5" t="s">
        <v>2</v>
      </c>
      <c r="AF3" s="11" t="s">
        <v>25</v>
      </c>
      <c r="AG3" s="10" t="s">
        <v>24</v>
      </c>
      <c r="AH3" s="5" t="s">
        <v>2</v>
      </c>
      <c r="AI3" s="11" t="s">
        <v>25</v>
      </c>
      <c r="AJ3" s="10" t="s">
        <v>24</v>
      </c>
      <c r="AK3" s="5" t="s">
        <v>2</v>
      </c>
      <c r="AL3" s="5" t="s">
        <v>29</v>
      </c>
      <c r="AM3" s="11" t="s">
        <v>25</v>
      </c>
      <c r="AN3" s="10" t="s">
        <v>24</v>
      </c>
      <c r="AO3" s="5" t="s">
        <v>2</v>
      </c>
      <c r="AP3" s="5" t="s">
        <v>29</v>
      </c>
      <c r="AQ3" s="11" t="s">
        <v>25</v>
      </c>
      <c r="AR3" s="5" t="s">
        <v>24</v>
      </c>
      <c r="AS3" s="5" t="s">
        <v>2</v>
      </c>
      <c r="AT3" s="11" t="s">
        <v>25</v>
      </c>
      <c r="AU3" s="5" t="s">
        <v>24</v>
      </c>
      <c r="AV3" s="5" t="s">
        <v>2</v>
      </c>
      <c r="AW3" s="11" t="s">
        <v>25</v>
      </c>
      <c r="AX3" s="5" t="s">
        <v>24</v>
      </c>
      <c r="AY3" s="5" t="s">
        <v>2</v>
      </c>
      <c r="AZ3" s="11" t="s">
        <v>25</v>
      </c>
      <c r="BA3" s="10" t="s">
        <v>24</v>
      </c>
      <c r="BB3" s="5" t="s">
        <v>2</v>
      </c>
      <c r="BC3" s="11" t="s">
        <v>25</v>
      </c>
      <c r="BD3" s="10" t="s">
        <v>24</v>
      </c>
      <c r="BE3" s="5" t="s">
        <v>2</v>
      </c>
      <c r="BF3" s="11" t="s">
        <v>25</v>
      </c>
      <c r="BG3" s="10" t="s">
        <v>24</v>
      </c>
      <c r="BH3" s="5" t="s">
        <v>2</v>
      </c>
      <c r="BI3" s="11" t="s">
        <v>25</v>
      </c>
      <c r="BJ3" s="5" t="s">
        <v>24</v>
      </c>
      <c r="BK3" s="5" t="s">
        <v>2</v>
      </c>
      <c r="BL3" s="11" t="s">
        <v>25</v>
      </c>
      <c r="BM3" s="5" t="s">
        <v>24</v>
      </c>
      <c r="BN3" s="5" t="s">
        <v>2</v>
      </c>
      <c r="BO3" s="11" t="s">
        <v>25</v>
      </c>
      <c r="BP3" s="10" t="s">
        <v>24</v>
      </c>
      <c r="BQ3" s="5" t="s">
        <v>2</v>
      </c>
      <c r="BR3" s="11" t="s">
        <v>25</v>
      </c>
      <c r="BS3" s="62"/>
    </row>
    <row r="4" spans="1:71" ht="14.1" customHeight="1" x14ac:dyDescent="0.2">
      <c r="A4" s="25" t="s">
        <v>61</v>
      </c>
      <c r="B4" s="6"/>
      <c r="C4" s="10"/>
      <c r="D4" s="5"/>
      <c r="E4" s="12"/>
      <c r="F4" s="5"/>
      <c r="G4" s="5"/>
      <c r="H4" s="12"/>
      <c r="I4" s="5"/>
      <c r="J4" s="5"/>
      <c r="K4" s="12"/>
      <c r="L4" s="5"/>
      <c r="M4" s="5"/>
      <c r="N4" s="12"/>
      <c r="O4" s="5"/>
      <c r="P4" s="5"/>
      <c r="Q4" s="12"/>
      <c r="R4" s="5"/>
      <c r="S4" s="5"/>
      <c r="T4" s="12"/>
      <c r="U4" s="5"/>
      <c r="V4" s="5"/>
      <c r="W4" s="12"/>
      <c r="X4" s="10"/>
      <c r="Y4" s="5"/>
      <c r="Z4" s="12"/>
      <c r="AA4" s="10"/>
      <c r="AB4" s="5"/>
      <c r="AC4" s="12"/>
      <c r="AD4" s="10"/>
      <c r="AE4" s="5"/>
      <c r="AF4" s="12"/>
      <c r="AG4" s="10"/>
      <c r="AH4" s="5"/>
      <c r="AI4" s="12"/>
      <c r="AJ4" s="10"/>
      <c r="AK4" s="5"/>
      <c r="AL4" s="5"/>
      <c r="AM4" s="12"/>
      <c r="AN4" s="10"/>
      <c r="AO4" s="5"/>
      <c r="AP4" s="5"/>
      <c r="AQ4" s="12"/>
      <c r="AR4" s="5"/>
      <c r="AS4" s="5"/>
      <c r="AT4" s="12"/>
      <c r="AU4" s="5"/>
      <c r="AV4" s="5"/>
      <c r="AW4" s="12"/>
      <c r="AX4" s="5"/>
      <c r="AY4" s="5"/>
      <c r="AZ4" s="12"/>
      <c r="BA4" s="10"/>
      <c r="BB4" s="5"/>
      <c r="BC4" s="12"/>
      <c r="BD4" s="10"/>
      <c r="BE4" s="5"/>
      <c r="BF4" s="12"/>
      <c r="BG4" s="10"/>
      <c r="BH4" s="5"/>
      <c r="BI4" s="12"/>
      <c r="BJ4" s="5"/>
      <c r="BK4" s="5"/>
      <c r="BL4" s="12"/>
      <c r="BM4" s="5"/>
      <c r="BN4" s="5"/>
      <c r="BO4" s="12"/>
      <c r="BP4" s="10"/>
      <c r="BQ4" s="5"/>
      <c r="BR4" s="12"/>
      <c r="BS4" s="63"/>
    </row>
    <row r="5" spans="1:71" ht="13.5" customHeight="1" x14ac:dyDescent="0.2">
      <c r="A5" s="57" t="s">
        <v>71</v>
      </c>
      <c r="B5" s="9" t="s">
        <v>3</v>
      </c>
      <c r="C5" s="46">
        <v>0</v>
      </c>
      <c r="D5" s="47">
        <v>0</v>
      </c>
      <c r="E5" s="34">
        <f>SUM(C5:D5)</f>
        <v>0</v>
      </c>
      <c r="F5" s="50">
        <v>0</v>
      </c>
      <c r="G5" s="49">
        <v>0</v>
      </c>
      <c r="H5" s="13">
        <f>SUM(F5:G5)</f>
        <v>0</v>
      </c>
      <c r="I5" s="50">
        <v>0</v>
      </c>
      <c r="J5" s="50">
        <v>0</v>
      </c>
      <c r="K5" s="13">
        <f>SUM(I5:J5)</f>
        <v>0</v>
      </c>
      <c r="L5" s="50">
        <v>0</v>
      </c>
      <c r="M5" s="49">
        <v>0</v>
      </c>
      <c r="N5" s="13">
        <f>SUM(L5:M5)</f>
        <v>0</v>
      </c>
      <c r="O5" s="50">
        <v>0</v>
      </c>
      <c r="P5" s="49">
        <v>0</v>
      </c>
      <c r="Q5" s="13">
        <f>SUM(O5:P5)</f>
        <v>0</v>
      </c>
      <c r="R5" s="50">
        <v>0</v>
      </c>
      <c r="S5" s="49">
        <v>0</v>
      </c>
      <c r="T5" s="13">
        <f>SUM(R5:S5)</f>
        <v>0</v>
      </c>
      <c r="U5" s="50">
        <v>0</v>
      </c>
      <c r="V5" s="49">
        <v>0</v>
      </c>
      <c r="W5" s="13">
        <f>SUM(U5:V5)</f>
        <v>0</v>
      </c>
      <c r="X5" s="52">
        <v>0</v>
      </c>
      <c r="Y5" s="49">
        <v>0</v>
      </c>
      <c r="Z5" s="13">
        <f>SUM(X5:Y5)</f>
        <v>0</v>
      </c>
      <c r="AA5" s="52">
        <v>0</v>
      </c>
      <c r="AB5" s="49">
        <v>0</v>
      </c>
      <c r="AC5" s="13">
        <f>SUM(AA5:AB5)</f>
        <v>0</v>
      </c>
      <c r="AD5" s="52">
        <v>0</v>
      </c>
      <c r="AE5" s="49">
        <v>0</v>
      </c>
      <c r="AF5" s="13">
        <f>SUM(AD5:AE5)</f>
        <v>0</v>
      </c>
      <c r="AG5" s="52">
        <v>0</v>
      </c>
      <c r="AH5" s="49">
        <v>0</v>
      </c>
      <c r="AI5" s="13">
        <f>SUM(AG5:AH5)</f>
        <v>0</v>
      </c>
      <c r="AJ5" s="52">
        <v>0</v>
      </c>
      <c r="AK5" s="49">
        <v>0</v>
      </c>
      <c r="AL5" s="53"/>
      <c r="AM5" s="13">
        <f>SUM(AJ5:AL5)</f>
        <v>0</v>
      </c>
      <c r="AN5" s="52">
        <v>0</v>
      </c>
      <c r="AO5" s="49">
        <v>0</v>
      </c>
      <c r="AP5" s="53"/>
      <c r="AQ5" s="13">
        <f>SUM(AN5:AP5)</f>
        <v>0</v>
      </c>
      <c r="AR5" s="50">
        <v>0</v>
      </c>
      <c r="AS5" s="49">
        <v>0</v>
      </c>
      <c r="AT5" s="13">
        <f>SUM(AR5:AS5)</f>
        <v>0</v>
      </c>
      <c r="AU5" s="50">
        <v>0</v>
      </c>
      <c r="AV5" s="49">
        <v>0</v>
      </c>
      <c r="AW5" s="13">
        <f>SUM(AU5:AV5)</f>
        <v>0</v>
      </c>
      <c r="AX5" s="50">
        <v>0</v>
      </c>
      <c r="AY5" s="49">
        <v>0</v>
      </c>
      <c r="AZ5" s="13">
        <f>SUM(AX5:AY5)</f>
        <v>0</v>
      </c>
      <c r="BA5" s="52">
        <v>0</v>
      </c>
      <c r="BB5" s="49">
        <v>0</v>
      </c>
      <c r="BC5" s="13">
        <f>SUM(BA5:BB5)</f>
        <v>0</v>
      </c>
      <c r="BD5" s="52">
        <v>0</v>
      </c>
      <c r="BE5" s="49">
        <v>0</v>
      </c>
      <c r="BF5" s="13">
        <f>SUM(BD5:BE5)</f>
        <v>0</v>
      </c>
      <c r="BG5" s="52">
        <v>0</v>
      </c>
      <c r="BH5" s="49">
        <v>0</v>
      </c>
      <c r="BI5" s="13">
        <f>SUM(BG5:BH5)</f>
        <v>0</v>
      </c>
      <c r="BJ5" s="50">
        <v>0</v>
      </c>
      <c r="BK5" s="49">
        <v>0</v>
      </c>
      <c r="BL5" s="13">
        <f>SUM(BJ5:BK5)</f>
        <v>0</v>
      </c>
      <c r="BM5" s="50">
        <v>0</v>
      </c>
      <c r="BN5" s="49">
        <v>0</v>
      </c>
      <c r="BO5" s="13">
        <f>SUM(BM5:BN5)</f>
        <v>0</v>
      </c>
      <c r="BP5" s="52">
        <v>0</v>
      </c>
      <c r="BQ5" s="49">
        <v>0</v>
      </c>
      <c r="BR5" s="13">
        <f>SUM(BP5:BQ5)</f>
        <v>0</v>
      </c>
      <c r="BS5" s="43">
        <f>SUM(E5,H5,K5,N5,Q5,T5,W5,Z5,AC5,AF5,AI5,AM5,AQ5,AT5,AW5,AZ5,BC5,BF5,BI5,BL5,BO5,BR5)</f>
        <v>0</v>
      </c>
    </row>
    <row r="6" spans="1:71" ht="13.5" customHeight="1" x14ac:dyDescent="0.2">
      <c r="A6" s="57" t="s">
        <v>67</v>
      </c>
      <c r="B6" s="9" t="s">
        <v>3</v>
      </c>
      <c r="C6" s="48">
        <v>0</v>
      </c>
      <c r="D6" s="47">
        <v>0</v>
      </c>
      <c r="E6" s="34">
        <f>SUM(C6:D6)</f>
        <v>0</v>
      </c>
      <c r="F6" s="51">
        <v>0</v>
      </c>
      <c r="G6" s="47">
        <v>0</v>
      </c>
      <c r="H6" s="13">
        <f>SUM(F6:G6)</f>
        <v>0</v>
      </c>
      <c r="I6" s="51">
        <v>0</v>
      </c>
      <c r="J6" s="51">
        <v>0</v>
      </c>
      <c r="K6" s="13">
        <f>SUM(I6:J6)</f>
        <v>0</v>
      </c>
      <c r="L6" s="51">
        <v>0</v>
      </c>
      <c r="M6" s="47">
        <v>0</v>
      </c>
      <c r="N6" s="13">
        <f>SUM(L6:M6)</f>
        <v>0</v>
      </c>
      <c r="O6" s="51">
        <v>0</v>
      </c>
      <c r="P6" s="47">
        <v>0</v>
      </c>
      <c r="Q6" s="13">
        <f>SUM(O6:P6)</f>
        <v>0</v>
      </c>
      <c r="R6" s="51">
        <v>0</v>
      </c>
      <c r="S6" s="47">
        <v>0</v>
      </c>
      <c r="T6" s="13">
        <f>SUM(R6:S6)</f>
        <v>0</v>
      </c>
      <c r="U6" s="51">
        <v>0</v>
      </c>
      <c r="V6" s="47">
        <v>0</v>
      </c>
      <c r="W6" s="13">
        <f>SUM(U6:V6)</f>
        <v>0</v>
      </c>
      <c r="X6" s="54">
        <v>0</v>
      </c>
      <c r="Y6" s="47">
        <v>0</v>
      </c>
      <c r="Z6" s="13">
        <f>SUM(X6:Y6)</f>
        <v>0</v>
      </c>
      <c r="AA6" s="54">
        <v>0</v>
      </c>
      <c r="AB6" s="47">
        <v>0</v>
      </c>
      <c r="AC6" s="13">
        <f>SUM(AA6:AB6)</f>
        <v>0</v>
      </c>
      <c r="AD6" s="54">
        <v>0</v>
      </c>
      <c r="AE6" s="47">
        <v>0</v>
      </c>
      <c r="AF6" s="13">
        <f>SUM(AD6:AE6)</f>
        <v>0</v>
      </c>
      <c r="AG6" s="54">
        <v>0</v>
      </c>
      <c r="AH6" s="47">
        <v>0</v>
      </c>
      <c r="AI6" s="13">
        <f>SUM(AG6:AH6)</f>
        <v>0</v>
      </c>
      <c r="AJ6" s="54">
        <v>0</v>
      </c>
      <c r="AK6" s="47">
        <v>1</v>
      </c>
      <c r="AL6" s="53"/>
      <c r="AM6" s="13">
        <f>SUM(AJ6:AL6)</f>
        <v>1</v>
      </c>
      <c r="AN6" s="54">
        <v>0</v>
      </c>
      <c r="AO6" s="47">
        <v>0</v>
      </c>
      <c r="AP6" s="53"/>
      <c r="AQ6" s="13">
        <f t="shared" ref="AQ6:AQ7" si="0">SUM(AN6:AP6)</f>
        <v>0</v>
      </c>
      <c r="AR6" s="51">
        <v>0</v>
      </c>
      <c r="AS6" s="47">
        <v>0</v>
      </c>
      <c r="AT6" s="13">
        <f>SUM(AR6:AS6)</f>
        <v>0</v>
      </c>
      <c r="AU6" s="51">
        <v>0</v>
      </c>
      <c r="AV6" s="47">
        <v>0</v>
      </c>
      <c r="AW6" s="13">
        <f>SUM(AU6:AV6)</f>
        <v>0</v>
      </c>
      <c r="AX6" s="51">
        <v>0</v>
      </c>
      <c r="AY6" s="47">
        <v>0</v>
      </c>
      <c r="AZ6" s="13">
        <f>SUM(AX6:AY6)</f>
        <v>0</v>
      </c>
      <c r="BA6" s="54">
        <v>0</v>
      </c>
      <c r="BB6" s="47">
        <v>0</v>
      </c>
      <c r="BC6" s="13">
        <f>SUM(BA6:BB6)</f>
        <v>0</v>
      </c>
      <c r="BD6" s="54">
        <v>0</v>
      </c>
      <c r="BE6" s="47">
        <v>0</v>
      </c>
      <c r="BF6" s="13">
        <f>SUM(BD6:BE6)</f>
        <v>0</v>
      </c>
      <c r="BG6" s="54">
        <v>0</v>
      </c>
      <c r="BH6" s="47">
        <v>0</v>
      </c>
      <c r="BI6" s="13">
        <f>SUM(BG6:BH6)</f>
        <v>0</v>
      </c>
      <c r="BJ6" s="51">
        <v>0</v>
      </c>
      <c r="BK6" s="47">
        <v>0</v>
      </c>
      <c r="BL6" s="13">
        <f>SUM(BJ6:BK6)</f>
        <v>0</v>
      </c>
      <c r="BM6" s="51">
        <v>0</v>
      </c>
      <c r="BN6" s="47">
        <v>0</v>
      </c>
      <c r="BO6" s="13">
        <f>SUM(BM6:BN6)</f>
        <v>0</v>
      </c>
      <c r="BP6" s="54">
        <v>0</v>
      </c>
      <c r="BQ6" s="47">
        <v>0</v>
      </c>
      <c r="BR6" s="13">
        <f>SUM(BP6:BQ6)</f>
        <v>0</v>
      </c>
      <c r="BS6" s="43">
        <f>SUM(E6,H6,K6,N6,Q6,T6,W6,Z6,AC6,AF6,AI6,AM6,AQ6,AT6,AW6,AZ6,BC6,BF6,BI6,BL6,BO6,BR6)</f>
        <v>1</v>
      </c>
    </row>
    <row r="7" spans="1:71" ht="13.5" customHeight="1" x14ac:dyDescent="0.2">
      <c r="A7" s="64" t="s">
        <v>68</v>
      </c>
      <c r="B7" s="58" t="s">
        <v>3</v>
      </c>
      <c r="C7" s="48">
        <v>0</v>
      </c>
      <c r="D7" s="47">
        <v>0</v>
      </c>
      <c r="E7" s="34">
        <f>SUM(C7:D7)</f>
        <v>0</v>
      </c>
      <c r="F7" s="51">
        <v>0</v>
      </c>
      <c r="G7" s="47">
        <v>0</v>
      </c>
      <c r="H7" s="13">
        <f>SUM(F7:G7)</f>
        <v>0</v>
      </c>
      <c r="I7" s="51">
        <v>0</v>
      </c>
      <c r="J7" s="51">
        <v>0</v>
      </c>
      <c r="K7" s="13">
        <f>SUM(I7:J7)</f>
        <v>0</v>
      </c>
      <c r="L7" s="51">
        <v>0</v>
      </c>
      <c r="M7" s="47">
        <v>0</v>
      </c>
      <c r="N7" s="13">
        <f>SUM(L7:M7)</f>
        <v>0</v>
      </c>
      <c r="O7" s="51">
        <v>0</v>
      </c>
      <c r="P7" s="47">
        <v>0</v>
      </c>
      <c r="Q7" s="13">
        <f>SUM(O7:P7)</f>
        <v>0</v>
      </c>
      <c r="R7" s="51">
        <v>0</v>
      </c>
      <c r="S7" s="47">
        <v>0</v>
      </c>
      <c r="T7" s="13">
        <f>SUM(R7:S7)</f>
        <v>0</v>
      </c>
      <c r="U7" s="51">
        <v>0</v>
      </c>
      <c r="V7" s="47">
        <v>0</v>
      </c>
      <c r="W7" s="13">
        <f>SUM(U7:V7)</f>
        <v>0</v>
      </c>
      <c r="X7" s="54">
        <v>0</v>
      </c>
      <c r="Y7" s="47">
        <v>0</v>
      </c>
      <c r="Z7" s="13">
        <f>SUM(X7:Y7)</f>
        <v>0</v>
      </c>
      <c r="AA7" s="54">
        <v>0</v>
      </c>
      <c r="AB7" s="47">
        <v>0</v>
      </c>
      <c r="AC7" s="13">
        <f>SUM(AA7:AB7)</f>
        <v>0</v>
      </c>
      <c r="AD7" s="54">
        <v>0</v>
      </c>
      <c r="AE7" s="47">
        <v>0</v>
      </c>
      <c r="AF7" s="13">
        <f>SUM(AD7:AE7)</f>
        <v>0</v>
      </c>
      <c r="AG7" s="54">
        <v>0</v>
      </c>
      <c r="AH7" s="47">
        <v>0</v>
      </c>
      <c r="AI7" s="13">
        <f>SUM(AG7:AH7)</f>
        <v>0</v>
      </c>
      <c r="AJ7" s="54">
        <v>0</v>
      </c>
      <c r="AK7" s="47">
        <v>0</v>
      </c>
      <c r="AL7" s="53"/>
      <c r="AM7" s="13">
        <f>SUM(AJ7:AL7)</f>
        <v>0</v>
      </c>
      <c r="AN7" s="54">
        <v>0</v>
      </c>
      <c r="AO7" s="47">
        <v>0</v>
      </c>
      <c r="AP7" s="53"/>
      <c r="AQ7" s="13">
        <f t="shared" si="0"/>
        <v>0</v>
      </c>
      <c r="AR7" s="51">
        <v>0</v>
      </c>
      <c r="AS7" s="47">
        <v>0</v>
      </c>
      <c r="AT7" s="13">
        <f>SUM(AR7:AS7)</f>
        <v>0</v>
      </c>
      <c r="AU7" s="51">
        <v>0</v>
      </c>
      <c r="AV7" s="47">
        <v>0</v>
      </c>
      <c r="AW7" s="13">
        <f>SUM(AU7:AV7)</f>
        <v>0</v>
      </c>
      <c r="AX7" s="51">
        <v>0</v>
      </c>
      <c r="AY7" s="47">
        <v>0</v>
      </c>
      <c r="AZ7" s="13">
        <f>SUM(AX7:AY7)</f>
        <v>0</v>
      </c>
      <c r="BA7" s="54">
        <v>0</v>
      </c>
      <c r="BB7" s="47">
        <v>0</v>
      </c>
      <c r="BC7" s="13">
        <f>SUM(BA7:BB7)</f>
        <v>0</v>
      </c>
      <c r="BD7" s="54">
        <v>0</v>
      </c>
      <c r="BE7" s="47">
        <v>0</v>
      </c>
      <c r="BF7" s="13">
        <f>SUM(BD7:BE7)</f>
        <v>0</v>
      </c>
      <c r="BG7" s="54">
        <v>0</v>
      </c>
      <c r="BH7" s="47">
        <v>0</v>
      </c>
      <c r="BI7" s="13">
        <f>SUM(BG7:BH7)</f>
        <v>0</v>
      </c>
      <c r="BJ7" s="51">
        <v>0</v>
      </c>
      <c r="BK7" s="47">
        <v>0</v>
      </c>
      <c r="BL7" s="13">
        <f>SUM(BJ7:BK7)</f>
        <v>0</v>
      </c>
      <c r="BM7" s="51">
        <v>0</v>
      </c>
      <c r="BN7" s="47">
        <v>0</v>
      </c>
      <c r="BO7" s="13">
        <f>SUM(BM7:BN7)</f>
        <v>0</v>
      </c>
      <c r="BP7" s="54">
        <v>0</v>
      </c>
      <c r="BQ7" s="47">
        <v>0</v>
      </c>
      <c r="BR7" s="13">
        <f>SUM(BP7:BQ7)</f>
        <v>0</v>
      </c>
      <c r="BS7" s="43">
        <f>SUM(E7,H7,K7,N7,Q7,T7,W7,Z7,AC7,AF7,AI7,AM7,AQ7,AT7,AW7,AZ7,BC7,BF7,BI7,BL7,BO7,BR7)</f>
        <v>0</v>
      </c>
    </row>
    <row r="8" spans="1:71" ht="13.5" customHeight="1" x14ac:dyDescent="0.2">
      <c r="A8" s="64" t="s">
        <v>69</v>
      </c>
      <c r="B8" s="58" t="s">
        <v>3</v>
      </c>
      <c r="C8" s="48">
        <v>0</v>
      </c>
      <c r="D8" s="47">
        <v>0</v>
      </c>
      <c r="E8" s="34">
        <f t="shared" ref="E8:E15" si="1">SUM(C8:D8)</f>
        <v>0</v>
      </c>
      <c r="F8" s="51">
        <v>0</v>
      </c>
      <c r="G8" s="47">
        <v>1</v>
      </c>
      <c r="H8" s="13">
        <f t="shared" ref="H8:H15" si="2">SUM(F8:G8)</f>
        <v>1</v>
      </c>
      <c r="I8" s="51">
        <v>0</v>
      </c>
      <c r="J8" s="51">
        <v>0</v>
      </c>
      <c r="K8" s="13">
        <f t="shared" ref="K8:K15" si="3">SUM(I8:J8)</f>
        <v>0</v>
      </c>
      <c r="L8" s="51">
        <v>0</v>
      </c>
      <c r="M8" s="47">
        <v>1</v>
      </c>
      <c r="N8" s="13">
        <f t="shared" ref="N8:N15" si="4">SUM(L8:M8)</f>
        <v>1</v>
      </c>
      <c r="O8" s="51">
        <v>1</v>
      </c>
      <c r="P8" s="47">
        <v>0</v>
      </c>
      <c r="Q8" s="13">
        <f t="shared" ref="Q8:Q15" si="5">SUM(O8:P8)</f>
        <v>1</v>
      </c>
      <c r="R8" s="51">
        <v>1</v>
      </c>
      <c r="S8" s="47">
        <v>0</v>
      </c>
      <c r="T8" s="13">
        <f t="shared" ref="T8:T15" si="6">SUM(R8:S8)</f>
        <v>1</v>
      </c>
      <c r="U8" s="51">
        <v>0</v>
      </c>
      <c r="V8" s="47">
        <v>0</v>
      </c>
      <c r="W8" s="13">
        <f t="shared" ref="W8:W15" si="7">SUM(U8:V8)</f>
        <v>0</v>
      </c>
      <c r="X8" s="54">
        <v>0</v>
      </c>
      <c r="Y8" s="47">
        <v>0</v>
      </c>
      <c r="Z8" s="13">
        <f t="shared" ref="Z8:Z15" si="8">SUM(X8:Y8)</f>
        <v>0</v>
      </c>
      <c r="AA8" s="54">
        <v>0</v>
      </c>
      <c r="AB8" s="47">
        <v>0</v>
      </c>
      <c r="AC8" s="13">
        <f t="shared" ref="AC8:AC15" si="9">SUM(AA8:AB8)</f>
        <v>0</v>
      </c>
      <c r="AD8" s="54">
        <v>1</v>
      </c>
      <c r="AE8" s="47">
        <v>1</v>
      </c>
      <c r="AF8" s="13">
        <f t="shared" ref="AF8:AF15" si="10">SUM(AD8:AE8)</f>
        <v>2</v>
      </c>
      <c r="AG8" s="54">
        <v>0</v>
      </c>
      <c r="AH8" s="47">
        <v>0</v>
      </c>
      <c r="AI8" s="13">
        <f t="shared" ref="AI8:AI15" si="11">SUM(AG8:AH8)</f>
        <v>0</v>
      </c>
      <c r="AJ8" s="54">
        <v>4</v>
      </c>
      <c r="AK8" s="47">
        <v>2</v>
      </c>
      <c r="AL8" s="53"/>
      <c r="AM8" s="13">
        <f t="shared" ref="AM8:AM15" si="12">SUM(AJ8:AL8)</f>
        <v>6</v>
      </c>
      <c r="AN8" s="54">
        <v>0</v>
      </c>
      <c r="AO8" s="47">
        <v>1</v>
      </c>
      <c r="AP8" s="53"/>
      <c r="AQ8" s="13">
        <f t="shared" ref="AQ8:AQ15" si="13">SUM(AN8:AP8)</f>
        <v>1</v>
      </c>
      <c r="AR8" s="51">
        <v>0</v>
      </c>
      <c r="AS8" s="47">
        <v>0</v>
      </c>
      <c r="AT8" s="13">
        <f t="shared" ref="AT8:AT15" si="14">SUM(AR8:AS8)</f>
        <v>0</v>
      </c>
      <c r="AU8" s="51">
        <v>0</v>
      </c>
      <c r="AV8" s="47">
        <v>0</v>
      </c>
      <c r="AW8" s="13">
        <f t="shared" ref="AW8:AW15" si="15">SUM(AU8:AV8)</f>
        <v>0</v>
      </c>
      <c r="AX8" s="51">
        <v>0</v>
      </c>
      <c r="AY8" s="47">
        <v>0</v>
      </c>
      <c r="AZ8" s="13">
        <f t="shared" ref="AZ8:AZ15" si="16">SUM(AX8:AY8)</f>
        <v>0</v>
      </c>
      <c r="BA8" s="54">
        <v>0</v>
      </c>
      <c r="BB8" s="47">
        <v>0</v>
      </c>
      <c r="BC8" s="13">
        <f t="shared" ref="BC8:BC15" si="17">SUM(BA8:BB8)</f>
        <v>0</v>
      </c>
      <c r="BD8" s="54">
        <v>0</v>
      </c>
      <c r="BE8" s="47">
        <v>3</v>
      </c>
      <c r="BF8" s="13">
        <f t="shared" ref="BF8:BF15" si="18">SUM(BD8:BE8)</f>
        <v>3</v>
      </c>
      <c r="BG8" s="54">
        <v>0</v>
      </c>
      <c r="BH8" s="47">
        <v>0</v>
      </c>
      <c r="BI8" s="13">
        <f>SUM(BG8:BH8)</f>
        <v>0</v>
      </c>
      <c r="BJ8" s="51">
        <v>0</v>
      </c>
      <c r="BK8" s="47">
        <v>0</v>
      </c>
      <c r="BL8" s="13">
        <f t="shared" ref="BL8:BL15" si="19">SUM(BJ8:BK8)</f>
        <v>0</v>
      </c>
      <c r="BM8" s="51">
        <v>0</v>
      </c>
      <c r="BN8" s="47">
        <v>0</v>
      </c>
      <c r="BO8" s="13">
        <f t="shared" ref="BO8:BO15" si="20">SUM(BM8:BN8)</f>
        <v>0</v>
      </c>
      <c r="BP8" s="54">
        <v>0</v>
      </c>
      <c r="BQ8" s="47">
        <v>0</v>
      </c>
      <c r="BR8" s="13">
        <f t="shared" ref="BR8:BR15" si="21">SUM(BP8:BQ8)</f>
        <v>0</v>
      </c>
      <c r="BS8" s="43">
        <f>SUM(E8,H8,K8,N8,Q8,T8,W8,Z8,AC8,AF8,AI8,AM8,AQ8,AT8,AW8,AZ8,BC8,BF8,BI8,BL8,BO8,BR8)</f>
        <v>16</v>
      </c>
    </row>
    <row r="9" spans="1:71" ht="13.5" customHeight="1" x14ac:dyDescent="0.2">
      <c r="A9" s="64" t="s">
        <v>66</v>
      </c>
      <c r="B9" s="58" t="s">
        <v>3</v>
      </c>
      <c r="C9" s="48">
        <v>0</v>
      </c>
      <c r="D9" s="47">
        <v>0</v>
      </c>
      <c r="E9" s="34">
        <f t="shared" si="1"/>
        <v>0</v>
      </c>
      <c r="F9" s="51">
        <v>0</v>
      </c>
      <c r="G9" s="47">
        <v>0</v>
      </c>
      <c r="H9" s="13">
        <f t="shared" si="2"/>
        <v>0</v>
      </c>
      <c r="I9" s="51">
        <v>0</v>
      </c>
      <c r="J9" s="51">
        <v>0</v>
      </c>
      <c r="K9" s="13">
        <f t="shared" si="3"/>
        <v>0</v>
      </c>
      <c r="L9" s="51">
        <v>0</v>
      </c>
      <c r="M9" s="47">
        <v>0</v>
      </c>
      <c r="N9" s="13">
        <f t="shared" si="4"/>
        <v>0</v>
      </c>
      <c r="O9" s="51">
        <v>0</v>
      </c>
      <c r="P9" s="47">
        <v>0</v>
      </c>
      <c r="Q9" s="13">
        <f t="shared" si="5"/>
        <v>0</v>
      </c>
      <c r="R9" s="51">
        <v>0</v>
      </c>
      <c r="S9" s="47">
        <v>0</v>
      </c>
      <c r="T9" s="13">
        <f t="shared" si="6"/>
        <v>0</v>
      </c>
      <c r="U9" s="51">
        <v>0</v>
      </c>
      <c r="V9" s="47">
        <v>0</v>
      </c>
      <c r="W9" s="13">
        <f t="shared" si="7"/>
        <v>0</v>
      </c>
      <c r="X9" s="54">
        <v>0</v>
      </c>
      <c r="Y9" s="47">
        <v>0</v>
      </c>
      <c r="Z9" s="13">
        <f t="shared" si="8"/>
        <v>0</v>
      </c>
      <c r="AA9" s="54">
        <v>0</v>
      </c>
      <c r="AB9" s="47">
        <v>0</v>
      </c>
      <c r="AC9" s="13">
        <f t="shared" si="9"/>
        <v>0</v>
      </c>
      <c r="AD9" s="54">
        <v>0</v>
      </c>
      <c r="AE9" s="47">
        <v>0</v>
      </c>
      <c r="AF9" s="13">
        <f t="shared" si="10"/>
        <v>0</v>
      </c>
      <c r="AG9" s="54">
        <v>0</v>
      </c>
      <c r="AH9" s="47">
        <v>0</v>
      </c>
      <c r="AI9" s="13">
        <f t="shared" si="11"/>
        <v>0</v>
      </c>
      <c r="AJ9" s="54">
        <v>2</v>
      </c>
      <c r="AK9" s="47">
        <v>0</v>
      </c>
      <c r="AL9" s="53"/>
      <c r="AM9" s="13">
        <f t="shared" si="12"/>
        <v>2</v>
      </c>
      <c r="AN9" s="54">
        <v>0</v>
      </c>
      <c r="AO9" s="47">
        <v>0</v>
      </c>
      <c r="AP9" s="53"/>
      <c r="AQ9" s="13">
        <f t="shared" si="13"/>
        <v>0</v>
      </c>
      <c r="AR9" s="51">
        <v>0</v>
      </c>
      <c r="AS9" s="47">
        <v>0</v>
      </c>
      <c r="AT9" s="13">
        <f t="shared" si="14"/>
        <v>0</v>
      </c>
      <c r="AU9" s="51">
        <v>0</v>
      </c>
      <c r="AV9" s="47">
        <v>0</v>
      </c>
      <c r="AW9" s="13">
        <f t="shared" si="15"/>
        <v>0</v>
      </c>
      <c r="AX9" s="51">
        <v>0</v>
      </c>
      <c r="AY9" s="47">
        <v>0</v>
      </c>
      <c r="AZ9" s="13">
        <f t="shared" si="16"/>
        <v>0</v>
      </c>
      <c r="BA9" s="54">
        <v>0</v>
      </c>
      <c r="BB9" s="47">
        <v>0</v>
      </c>
      <c r="BC9" s="13">
        <f t="shared" si="17"/>
        <v>0</v>
      </c>
      <c r="BD9" s="54">
        <v>0</v>
      </c>
      <c r="BE9" s="47">
        <v>1</v>
      </c>
      <c r="BF9" s="13">
        <f t="shared" si="18"/>
        <v>1</v>
      </c>
      <c r="BG9" s="54">
        <v>0</v>
      </c>
      <c r="BH9" s="47">
        <v>0</v>
      </c>
      <c r="BI9" s="13">
        <f>SUM(BG9:BH9)</f>
        <v>0</v>
      </c>
      <c r="BJ9" s="51">
        <v>0</v>
      </c>
      <c r="BK9" s="47">
        <v>0</v>
      </c>
      <c r="BL9" s="13">
        <f t="shared" si="19"/>
        <v>0</v>
      </c>
      <c r="BM9" s="51">
        <v>0</v>
      </c>
      <c r="BN9" s="47">
        <v>0</v>
      </c>
      <c r="BO9" s="13">
        <f t="shared" si="20"/>
        <v>0</v>
      </c>
      <c r="BP9" s="54">
        <v>0</v>
      </c>
      <c r="BQ9" s="47">
        <v>0</v>
      </c>
      <c r="BR9" s="13">
        <f t="shared" si="21"/>
        <v>0</v>
      </c>
      <c r="BS9" s="43">
        <f>SUM(E9,H9,K9,N9,Q9,T9,W9,Z9,AC9,AF9,AI9,AM9,AQ9,AT9,AW9,AZ9,BC9,BF9,BI9,BL9,BO9,BR9)</f>
        <v>3</v>
      </c>
    </row>
    <row r="10" spans="1:71" ht="13.5" customHeight="1" x14ac:dyDescent="0.2">
      <c r="A10" s="57"/>
      <c r="B10" s="9"/>
      <c r="C10" s="48"/>
      <c r="D10" s="47"/>
      <c r="E10" s="34"/>
      <c r="F10" s="51"/>
      <c r="G10" s="47"/>
      <c r="H10" s="13"/>
      <c r="I10" s="51"/>
      <c r="J10" s="51"/>
      <c r="K10" s="13"/>
      <c r="L10" s="51"/>
      <c r="M10" s="47"/>
      <c r="N10" s="13"/>
      <c r="O10" s="51"/>
      <c r="P10" s="47"/>
      <c r="Q10" s="13"/>
      <c r="R10" s="51"/>
      <c r="S10" s="47"/>
      <c r="T10" s="13"/>
      <c r="U10" s="51"/>
      <c r="V10" s="47"/>
      <c r="W10" s="13"/>
      <c r="X10" s="54"/>
      <c r="Y10" s="47"/>
      <c r="Z10" s="13"/>
      <c r="AA10" s="54"/>
      <c r="AB10" s="47"/>
      <c r="AC10" s="13"/>
      <c r="AD10" s="54"/>
      <c r="AE10" s="47"/>
      <c r="AF10" s="13"/>
      <c r="AG10" s="54"/>
      <c r="AH10" s="47"/>
      <c r="AI10" s="13"/>
      <c r="AJ10" s="54"/>
      <c r="AK10" s="47"/>
      <c r="AL10" s="53"/>
      <c r="AM10" s="13"/>
      <c r="AN10" s="54"/>
      <c r="AO10" s="47"/>
      <c r="AP10" s="53"/>
      <c r="AQ10" s="13"/>
      <c r="AR10" s="51"/>
      <c r="AS10" s="47"/>
      <c r="AT10" s="13"/>
      <c r="AU10" s="51"/>
      <c r="AV10" s="47"/>
      <c r="AW10" s="13"/>
      <c r="AX10" s="51"/>
      <c r="AY10" s="47"/>
      <c r="AZ10" s="13"/>
      <c r="BA10" s="54"/>
      <c r="BB10" s="47"/>
      <c r="BC10" s="13"/>
      <c r="BD10" s="54"/>
      <c r="BE10" s="47"/>
      <c r="BF10" s="13"/>
      <c r="BG10" s="54"/>
      <c r="BH10" s="47"/>
      <c r="BI10" s="13"/>
      <c r="BJ10" s="51"/>
      <c r="BK10" s="47"/>
      <c r="BL10" s="13"/>
      <c r="BM10" s="51"/>
      <c r="BN10" s="47"/>
      <c r="BO10" s="13"/>
      <c r="BP10" s="54"/>
      <c r="BQ10" s="47"/>
      <c r="BR10" s="13"/>
      <c r="BS10" s="43"/>
    </row>
    <row r="11" spans="1:71" ht="13.5" customHeight="1" x14ac:dyDescent="0.2">
      <c r="A11" s="56" t="s">
        <v>62</v>
      </c>
      <c r="B11" s="9" t="s">
        <v>2</v>
      </c>
      <c r="C11" s="48">
        <v>1</v>
      </c>
      <c r="D11" s="47">
        <v>0</v>
      </c>
      <c r="E11" s="34">
        <f t="shared" si="1"/>
        <v>1</v>
      </c>
      <c r="F11" s="51">
        <v>2</v>
      </c>
      <c r="G11" s="47">
        <v>5</v>
      </c>
      <c r="H11" s="13">
        <f t="shared" si="2"/>
        <v>7</v>
      </c>
      <c r="I11" s="51">
        <v>2</v>
      </c>
      <c r="J11" s="51">
        <v>2</v>
      </c>
      <c r="K11" s="13">
        <f t="shared" si="3"/>
        <v>4</v>
      </c>
      <c r="L11" s="51">
        <v>4</v>
      </c>
      <c r="M11" s="47">
        <v>6</v>
      </c>
      <c r="N11" s="13">
        <f t="shared" si="4"/>
        <v>10</v>
      </c>
      <c r="O11" s="51">
        <v>0</v>
      </c>
      <c r="P11" s="47">
        <v>5</v>
      </c>
      <c r="Q11" s="13">
        <f t="shared" si="5"/>
        <v>5</v>
      </c>
      <c r="R11" s="51">
        <v>1</v>
      </c>
      <c r="S11" s="47">
        <v>5</v>
      </c>
      <c r="T11" s="13">
        <f t="shared" si="6"/>
        <v>6</v>
      </c>
      <c r="U11" s="51">
        <v>1</v>
      </c>
      <c r="V11" s="47">
        <v>0</v>
      </c>
      <c r="W11" s="13">
        <f t="shared" si="7"/>
        <v>1</v>
      </c>
      <c r="X11" s="54">
        <v>0</v>
      </c>
      <c r="Y11" s="47">
        <v>0</v>
      </c>
      <c r="Z11" s="13">
        <f t="shared" si="8"/>
        <v>0</v>
      </c>
      <c r="AA11" s="54">
        <v>0</v>
      </c>
      <c r="AB11" s="47">
        <v>2</v>
      </c>
      <c r="AC11" s="13">
        <f t="shared" si="9"/>
        <v>2</v>
      </c>
      <c r="AD11" s="54">
        <v>5</v>
      </c>
      <c r="AE11" s="47">
        <v>1</v>
      </c>
      <c r="AF11" s="13">
        <f t="shared" si="10"/>
        <v>6</v>
      </c>
      <c r="AG11" s="54">
        <v>0</v>
      </c>
      <c r="AH11" s="47">
        <v>2</v>
      </c>
      <c r="AI11" s="13">
        <f t="shared" si="11"/>
        <v>2</v>
      </c>
      <c r="AJ11" s="54">
        <v>13</v>
      </c>
      <c r="AK11" s="47">
        <v>15</v>
      </c>
      <c r="AL11" s="53">
        <v>1</v>
      </c>
      <c r="AM11" s="13">
        <f t="shared" si="12"/>
        <v>29</v>
      </c>
      <c r="AN11" s="54">
        <v>11</v>
      </c>
      <c r="AO11" s="47">
        <v>25</v>
      </c>
      <c r="AP11" s="53"/>
      <c r="AQ11" s="13">
        <f t="shared" si="13"/>
        <v>36</v>
      </c>
      <c r="AR11" s="51">
        <v>2</v>
      </c>
      <c r="AS11" s="47">
        <v>4</v>
      </c>
      <c r="AT11" s="13">
        <f t="shared" si="14"/>
        <v>6</v>
      </c>
      <c r="AU11" s="51">
        <v>5</v>
      </c>
      <c r="AV11" s="47">
        <v>0</v>
      </c>
      <c r="AW11" s="13">
        <f t="shared" si="15"/>
        <v>5</v>
      </c>
      <c r="AX11" s="51">
        <v>0</v>
      </c>
      <c r="AY11" s="47">
        <v>4</v>
      </c>
      <c r="AZ11" s="13">
        <f t="shared" si="16"/>
        <v>4</v>
      </c>
      <c r="BA11" s="54">
        <v>5</v>
      </c>
      <c r="BB11" s="47">
        <v>3</v>
      </c>
      <c r="BC11" s="13">
        <f t="shared" si="17"/>
        <v>8</v>
      </c>
      <c r="BD11" s="54">
        <v>2</v>
      </c>
      <c r="BE11" s="47">
        <v>17</v>
      </c>
      <c r="BF11" s="13">
        <f t="shared" si="18"/>
        <v>19</v>
      </c>
      <c r="BG11" s="54">
        <v>0</v>
      </c>
      <c r="BH11" s="47">
        <v>1</v>
      </c>
      <c r="BI11" s="13">
        <f>SUM(BG11:BH11)</f>
        <v>1</v>
      </c>
      <c r="BJ11" s="51">
        <v>1</v>
      </c>
      <c r="BK11" s="47">
        <v>2</v>
      </c>
      <c r="BL11" s="13">
        <f t="shared" si="19"/>
        <v>3</v>
      </c>
      <c r="BM11" s="51">
        <v>1</v>
      </c>
      <c r="BN11" s="47">
        <v>2</v>
      </c>
      <c r="BO11" s="13">
        <f t="shared" si="20"/>
        <v>3</v>
      </c>
      <c r="BP11" s="54">
        <v>0</v>
      </c>
      <c r="BQ11" s="47">
        <v>5</v>
      </c>
      <c r="BR11" s="13">
        <f t="shared" si="21"/>
        <v>5</v>
      </c>
      <c r="BS11" s="43">
        <f>SUM(E11,H11,K11,N11,Q11,T11,W11,Z11,AC11,AF11,AI11,AM11,AQ11,AT11,AW11,AZ11,BC11,BF11,BI11,BL11,BO11,BR11)</f>
        <v>163</v>
      </c>
    </row>
    <row r="12" spans="1:71" ht="13.5" customHeight="1" x14ac:dyDescent="0.2">
      <c r="A12" s="57" t="s">
        <v>63</v>
      </c>
      <c r="B12" s="38" t="s">
        <v>2</v>
      </c>
      <c r="C12" s="48">
        <v>0</v>
      </c>
      <c r="D12" s="47">
        <v>0</v>
      </c>
      <c r="E12" s="34">
        <f t="shared" si="1"/>
        <v>0</v>
      </c>
      <c r="F12" s="51">
        <v>0</v>
      </c>
      <c r="G12" s="47">
        <v>1</v>
      </c>
      <c r="H12" s="13">
        <f t="shared" si="2"/>
        <v>1</v>
      </c>
      <c r="I12" s="51">
        <v>0</v>
      </c>
      <c r="J12" s="51">
        <v>0</v>
      </c>
      <c r="K12" s="13">
        <f t="shared" si="3"/>
        <v>0</v>
      </c>
      <c r="L12" s="51">
        <v>0</v>
      </c>
      <c r="M12" s="47">
        <v>1</v>
      </c>
      <c r="N12" s="13">
        <f t="shared" si="4"/>
        <v>1</v>
      </c>
      <c r="O12" s="51">
        <v>0</v>
      </c>
      <c r="P12" s="47">
        <v>0</v>
      </c>
      <c r="Q12" s="13">
        <f t="shared" si="5"/>
        <v>0</v>
      </c>
      <c r="R12" s="51">
        <v>0</v>
      </c>
      <c r="S12" s="47">
        <v>2</v>
      </c>
      <c r="T12" s="13">
        <f t="shared" si="6"/>
        <v>2</v>
      </c>
      <c r="U12" s="51">
        <v>0</v>
      </c>
      <c r="V12" s="47">
        <v>1</v>
      </c>
      <c r="W12" s="13">
        <f t="shared" si="7"/>
        <v>1</v>
      </c>
      <c r="X12" s="54">
        <v>2</v>
      </c>
      <c r="Y12" s="47">
        <v>0</v>
      </c>
      <c r="Z12" s="13">
        <f t="shared" si="8"/>
        <v>2</v>
      </c>
      <c r="AA12" s="54">
        <v>0</v>
      </c>
      <c r="AB12" s="47">
        <v>0</v>
      </c>
      <c r="AC12" s="13">
        <f t="shared" si="9"/>
        <v>0</v>
      </c>
      <c r="AD12" s="54">
        <v>0</v>
      </c>
      <c r="AE12" s="47">
        <v>1</v>
      </c>
      <c r="AF12" s="13">
        <f t="shared" si="10"/>
        <v>1</v>
      </c>
      <c r="AG12" s="54">
        <v>0</v>
      </c>
      <c r="AH12" s="47">
        <v>0</v>
      </c>
      <c r="AI12" s="13">
        <f t="shared" si="11"/>
        <v>0</v>
      </c>
      <c r="AJ12" s="54">
        <v>4</v>
      </c>
      <c r="AK12" s="47">
        <v>4</v>
      </c>
      <c r="AL12" s="53"/>
      <c r="AM12" s="13">
        <f t="shared" si="12"/>
        <v>8</v>
      </c>
      <c r="AN12" s="54">
        <v>0</v>
      </c>
      <c r="AO12" s="47">
        <v>0</v>
      </c>
      <c r="AP12" s="53"/>
      <c r="AQ12" s="13">
        <f t="shared" si="13"/>
        <v>0</v>
      </c>
      <c r="AR12" s="51">
        <v>0</v>
      </c>
      <c r="AS12" s="47">
        <v>1</v>
      </c>
      <c r="AT12" s="13">
        <f t="shared" si="14"/>
        <v>1</v>
      </c>
      <c r="AU12" s="51">
        <v>0</v>
      </c>
      <c r="AV12" s="47">
        <v>0</v>
      </c>
      <c r="AW12" s="13">
        <f t="shared" si="15"/>
        <v>0</v>
      </c>
      <c r="AX12" s="51">
        <v>0</v>
      </c>
      <c r="AY12" s="47">
        <v>0</v>
      </c>
      <c r="AZ12" s="13">
        <f t="shared" si="16"/>
        <v>0</v>
      </c>
      <c r="BA12" s="54">
        <v>1</v>
      </c>
      <c r="BB12" s="47">
        <v>0</v>
      </c>
      <c r="BC12" s="13">
        <f t="shared" si="17"/>
        <v>1</v>
      </c>
      <c r="BD12" s="54">
        <v>0</v>
      </c>
      <c r="BE12" s="47">
        <v>2</v>
      </c>
      <c r="BF12" s="13">
        <f t="shared" si="18"/>
        <v>2</v>
      </c>
      <c r="BG12" s="54">
        <v>0</v>
      </c>
      <c r="BH12" s="47">
        <v>0</v>
      </c>
      <c r="BI12" s="13">
        <f>SUM(BG12:BH12)</f>
        <v>0</v>
      </c>
      <c r="BJ12" s="51">
        <v>0</v>
      </c>
      <c r="BK12" s="47">
        <v>1</v>
      </c>
      <c r="BL12" s="13">
        <f t="shared" si="19"/>
        <v>1</v>
      </c>
      <c r="BM12" s="51">
        <v>0</v>
      </c>
      <c r="BN12" s="47">
        <v>0</v>
      </c>
      <c r="BO12" s="13">
        <f t="shared" si="20"/>
        <v>0</v>
      </c>
      <c r="BP12" s="54">
        <v>0</v>
      </c>
      <c r="BQ12" s="47">
        <v>0</v>
      </c>
      <c r="BR12" s="13">
        <f t="shared" si="21"/>
        <v>0</v>
      </c>
      <c r="BS12" s="43">
        <f>SUM(E12,H12,K12,N12,Q12,T12,W12,Z12,AC12,AF12,AI12,AM12,AQ12,AT12,AW12,AZ12,BC12,BF12,BI12,BL12,BO12,BR12)</f>
        <v>21</v>
      </c>
    </row>
    <row r="13" spans="1:71" ht="13.5" customHeight="1" x14ac:dyDescent="0.2">
      <c r="A13" s="57" t="s">
        <v>64</v>
      </c>
      <c r="B13" s="9" t="s">
        <v>2</v>
      </c>
      <c r="C13" s="48">
        <v>0</v>
      </c>
      <c r="D13" s="47">
        <v>0</v>
      </c>
      <c r="E13" s="34">
        <f t="shared" si="1"/>
        <v>0</v>
      </c>
      <c r="F13" s="51">
        <v>0</v>
      </c>
      <c r="G13" s="47">
        <v>1</v>
      </c>
      <c r="H13" s="13">
        <f t="shared" si="2"/>
        <v>1</v>
      </c>
      <c r="I13" s="51">
        <v>0</v>
      </c>
      <c r="J13" s="51">
        <v>0</v>
      </c>
      <c r="K13" s="13">
        <f t="shared" si="3"/>
        <v>0</v>
      </c>
      <c r="L13" s="51">
        <v>0</v>
      </c>
      <c r="M13" s="47">
        <v>0</v>
      </c>
      <c r="N13" s="13">
        <f t="shared" si="4"/>
        <v>0</v>
      </c>
      <c r="O13" s="51">
        <v>0</v>
      </c>
      <c r="P13" s="47">
        <v>0</v>
      </c>
      <c r="Q13" s="13">
        <f t="shared" si="5"/>
        <v>0</v>
      </c>
      <c r="R13" s="51">
        <v>0</v>
      </c>
      <c r="S13" s="47">
        <v>1</v>
      </c>
      <c r="T13" s="13">
        <f t="shared" si="6"/>
        <v>1</v>
      </c>
      <c r="U13" s="51">
        <v>0</v>
      </c>
      <c r="V13" s="47">
        <v>0</v>
      </c>
      <c r="W13" s="13">
        <f t="shared" si="7"/>
        <v>0</v>
      </c>
      <c r="X13" s="54">
        <v>0</v>
      </c>
      <c r="Y13" s="47">
        <v>0</v>
      </c>
      <c r="Z13" s="13">
        <f t="shared" si="8"/>
        <v>0</v>
      </c>
      <c r="AA13" s="54">
        <v>0</v>
      </c>
      <c r="AB13" s="47">
        <v>0</v>
      </c>
      <c r="AC13" s="13">
        <f t="shared" si="9"/>
        <v>0</v>
      </c>
      <c r="AD13" s="54">
        <v>0</v>
      </c>
      <c r="AE13" s="47">
        <v>0</v>
      </c>
      <c r="AF13" s="13">
        <f t="shared" si="10"/>
        <v>0</v>
      </c>
      <c r="AG13" s="54">
        <v>0</v>
      </c>
      <c r="AH13" s="47">
        <v>0</v>
      </c>
      <c r="AI13" s="13">
        <f t="shared" si="11"/>
        <v>0</v>
      </c>
      <c r="AJ13" s="54">
        <v>0</v>
      </c>
      <c r="AK13" s="47">
        <v>0</v>
      </c>
      <c r="AL13" s="53"/>
      <c r="AM13" s="13">
        <f t="shared" si="12"/>
        <v>0</v>
      </c>
      <c r="AN13" s="54">
        <v>0</v>
      </c>
      <c r="AO13" s="47">
        <v>1</v>
      </c>
      <c r="AP13" s="53"/>
      <c r="AQ13" s="13">
        <f t="shared" si="13"/>
        <v>1</v>
      </c>
      <c r="AR13" s="51">
        <v>0</v>
      </c>
      <c r="AS13" s="47">
        <v>0</v>
      </c>
      <c r="AT13" s="13">
        <f t="shared" si="14"/>
        <v>0</v>
      </c>
      <c r="AU13" s="51">
        <v>0</v>
      </c>
      <c r="AV13" s="47">
        <v>0</v>
      </c>
      <c r="AW13" s="13">
        <f t="shared" si="15"/>
        <v>0</v>
      </c>
      <c r="AX13" s="51">
        <v>0</v>
      </c>
      <c r="AY13" s="47">
        <v>0</v>
      </c>
      <c r="AZ13" s="13">
        <f t="shared" si="16"/>
        <v>0</v>
      </c>
      <c r="BA13" s="54">
        <v>0</v>
      </c>
      <c r="BB13" s="47">
        <v>0</v>
      </c>
      <c r="BC13" s="13">
        <f t="shared" si="17"/>
        <v>0</v>
      </c>
      <c r="BD13" s="54">
        <v>0</v>
      </c>
      <c r="BE13" s="47">
        <v>0</v>
      </c>
      <c r="BF13" s="13">
        <f t="shared" si="18"/>
        <v>0</v>
      </c>
      <c r="BG13" s="54">
        <v>0</v>
      </c>
      <c r="BH13" s="47">
        <v>0</v>
      </c>
      <c r="BI13" s="13">
        <f>SUM(BG13:BH13)</f>
        <v>0</v>
      </c>
      <c r="BJ13" s="51">
        <v>0</v>
      </c>
      <c r="BK13" s="47">
        <v>0</v>
      </c>
      <c r="BL13" s="13">
        <f t="shared" si="19"/>
        <v>0</v>
      </c>
      <c r="BM13" s="51">
        <v>0</v>
      </c>
      <c r="BN13" s="47">
        <v>0</v>
      </c>
      <c r="BO13" s="13">
        <f t="shared" si="20"/>
        <v>0</v>
      </c>
      <c r="BP13" s="54">
        <v>0</v>
      </c>
      <c r="BQ13" s="47">
        <v>0</v>
      </c>
      <c r="BR13" s="13">
        <f t="shared" si="21"/>
        <v>0</v>
      </c>
      <c r="BS13" s="43">
        <f>SUM(E13,H13,K13,N13,Q13,T13,W13,Z13,AC13,AF13,AI13,AM13,AQ13,AT13,AW13,AZ13,BC13,BF13,BI13,BL13,BO13,BR13)</f>
        <v>3</v>
      </c>
    </row>
    <row r="14" spans="1:71" ht="13.5" customHeight="1" x14ac:dyDescent="0.2">
      <c r="A14" s="64" t="s">
        <v>65</v>
      </c>
      <c r="B14" s="58" t="s">
        <v>2</v>
      </c>
      <c r="C14" s="48">
        <v>0</v>
      </c>
      <c r="D14" s="47">
        <v>0</v>
      </c>
      <c r="E14" s="34">
        <f t="shared" si="1"/>
        <v>0</v>
      </c>
      <c r="F14" s="51">
        <v>0</v>
      </c>
      <c r="G14" s="47">
        <v>0</v>
      </c>
      <c r="H14" s="13">
        <f t="shared" si="2"/>
        <v>0</v>
      </c>
      <c r="I14" s="51">
        <v>0</v>
      </c>
      <c r="J14" s="51">
        <v>0</v>
      </c>
      <c r="K14" s="13">
        <f t="shared" si="3"/>
        <v>0</v>
      </c>
      <c r="L14" s="51">
        <v>0</v>
      </c>
      <c r="M14" s="47">
        <v>0</v>
      </c>
      <c r="N14" s="13">
        <f t="shared" si="4"/>
        <v>0</v>
      </c>
      <c r="O14" s="51">
        <v>0</v>
      </c>
      <c r="P14" s="47">
        <v>0</v>
      </c>
      <c r="Q14" s="13">
        <f t="shared" si="5"/>
        <v>0</v>
      </c>
      <c r="R14" s="51">
        <v>0</v>
      </c>
      <c r="S14" s="47">
        <v>0</v>
      </c>
      <c r="T14" s="13">
        <f t="shared" si="6"/>
        <v>0</v>
      </c>
      <c r="U14" s="51">
        <v>0</v>
      </c>
      <c r="V14" s="47">
        <v>0</v>
      </c>
      <c r="W14" s="13">
        <f t="shared" si="7"/>
        <v>0</v>
      </c>
      <c r="X14" s="54">
        <v>0</v>
      </c>
      <c r="Y14" s="47">
        <v>0</v>
      </c>
      <c r="Z14" s="13">
        <f t="shared" si="8"/>
        <v>0</v>
      </c>
      <c r="AA14" s="54">
        <v>0</v>
      </c>
      <c r="AB14" s="47">
        <v>0</v>
      </c>
      <c r="AC14" s="13">
        <f t="shared" si="9"/>
        <v>0</v>
      </c>
      <c r="AD14" s="54">
        <v>0</v>
      </c>
      <c r="AE14" s="47">
        <v>0</v>
      </c>
      <c r="AF14" s="13">
        <f t="shared" si="10"/>
        <v>0</v>
      </c>
      <c r="AG14" s="54">
        <v>0</v>
      </c>
      <c r="AH14" s="47">
        <v>0</v>
      </c>
      <c r="AI14" s="13">
        <f t="shared" si="11"/>
        <v>0</v>
      </c>
      <c r="AJ14" s="54">
        <v>0</v>
      </c>
      <c r="AK14" s="47">
        <v>0</v>
      </c>
      <c r="AL14" s="53"/>
      <c r="AM14" s="13">
        <f t="shared" si="12"/>
        <v>0</v>
      </c>
      <c r="AN14" s="54">
        <v>0</v>
      </c>
      <c r="AO14" s="47">
        <v>0</v>
      </c>
      <c r="AP14" s="53"/>
      <c r="AQ14" s="13">
        <f t="shared" si="13"/>
        <v>0</v>
      </c>
      <c r="AR14" s="51">
        <v>0</v>
      </c>
      <c r="AS14" s="47">
        <v>0</v>
      </c>
      <c r="AT14" s="13">
        <f t="shared" si="14"/>
        <v>0</v>
      </c>
      <c r="AU14" s="51">
        <v>0</v>
      </c>
      <c r="AV14" s="47">
        <v>0</v>
      </c>
      <c r="AW14" s="13">
        <f t="shared" si="15"/>
        <v>0</v>
      </c>
      <c r="AX14" s="51">
        <v>0</v>
      </c>
      <c r="AY14" s="47">
        <v>0</v>
      </c>
      <c r="AZ14" s="13">
        <f t="shared" si="16"/>
        <v>0</v>
      </c>
      <c r="BA14" s="54">
        <v>0</v>
      </c>
      <c r="BB14" s="47">
        <v>0</v>
      </c>
      <c r="BC14" s="13">
        <f t="shared" si="17"/>
        <v>0</v>
      </c>
      <c r="BD14" s="54">
        <v>0</v>
      </c>
      <c r="BE14" s="47">
        <v>0</v>
      </c>
      <c r="BF14" s="13">
        <f t="shared" si="18"/>
        <v>0</v>
      </c>
      <c r="BG14" s="54">
        <v>0</v>
      </c>
      <c r="BH14" s="47">
        <v>0</v>
      </c>
      <c r="BI14" s="13">
        <f>SUM(BG14:BH14)</f>
        <v>0</v>
      </c>
      <c r="BJ14" s="51">
        <v>0</v>
      </c>
      <c r="BK14" s="47">
        <v>0</v>
      </c>
      <c r="BL14" s="13">
        <f t="shared" si="19"/>
        <v>0</v>
      </c>
      <c r="BM14" s="51">
        <v>0</v>
      </c>
      <c r="BN14" s="47">
        <v>0</v>
      </c>
      <c r="BO14" s="13">
        <f t="shared" si="20"/>
        <v>0</v>
      </c>
      <c r="BP14" s="54">
        <v>0</v>
      </c>
      <c r="BQ14" s="47">
        <v>0</v>
      </c>
      <c r="BR14" s="13">
        <f t="shared" si="21"/>
        <v>0</v>
      </c>
      <c r="BS14" s="43">
        <f>SUM(E14,H14,K14,N14,Q14,T14,W14,Z14,AC14,AF14,AI14,AM14,AQ14,AT14,AW14,AZ14,BC14,BF14,BI14,BL14,BO14,BR14)</f>
        <v>0</v>
      </c>
    </row>
    <row r="15" spans="1:71" ht="13.5" customHeight="1" x14ac:dyDescent="0.2">
      <c r="A15" s="57" t="s">
        <v>66</v>
      </c>
      <c r="B15" s="9" t="s">
        <v>2</v>
      </c>
      <c r="C15" s="48">
        <v>0</v>
      </c>
      <c r="D15" s="47">
        <v>0</v>
      </c>
      <c r="E15" s="34">
        <f t="shared" si="1"/>
        <v>0</v>
      </c>
      <c r="F15" s="51">
        <v>0</v>
      </c>
      <c r="G15" s="47">
        <v>0</v>
      </c>
      <c r="H15" s="13">
        <f t="shared" si="2"/>
        <v>0</v>
      </c>
      <c r="I15" s="51">
        <v>0</v>
      </c>
      <c r="J15" s="51">
        <v>0</v>
      </c>
      <c r="K15" s="13">
        <f t="shared" si="3"/>
        <v>0</v>
      </c>
      <c r="L15" s="51">
        <v>1</v>
      </c>
      <c r="M15" s="47">
        <v>0</v>
      </c>
      <c r="N15" s="13">
        <f t="shared" si="4"/>
        <v>1</v>
      </c>
      <c r="O15" s="51">
        <v>0</v>
      </c>
      <c r="P15" s="47">
        <v>1</v>
      </c>
      <c r="Q15" s="13">
        <f t="shared" si="5"/>
        <v>1</v>
      </c>
      <c r="R15" s="51">
        <v>0</v>
      </c>
      <c r="S15" s="47">
        <v>0</v>
      </c>
      <c r="T15" s="13">
        <f t="shared" si="6"/>
        <v>0</v>
      </c>
      <c r="U15" s="51">
        <v>0</v>
      </c>
      <c r="V15" s="47">
        <v>0</v>
      </c>
      <c r="W15" s="13">
        <f t="shared" si="7"/>
        <v>0</v>
      </c>
      <c r="X15" s="54">
        <v>1</v>
      </c>
      <c r="Y15" s="47">
        <v>0</v>
      </c>
      <c r="Z15" s="13">
        <f t="shared" si="8"/>
        <v>1</v>
      </c>
      <c r="AA15" s="54">
        <v>0</v>
      </c>
      <c r="AB15" s="47">
        <v>0</v>
      </c>
      <c r="AC15" s="13">
        <f t="shared" si="9"/>
        <v>0</v>
      </c>
      <c r="AD15" s="54">
        <v>0</v>
      </c>
      <c r="AE15" s="47">
        <v>0</v>
      </c>
      <c r="AF15" s="13">
        <f t="shared" si="10"/>
        <v>0</v>
      </c>
      <c r="AG15" s="54">
        <v>0</v>
      </c>
      <c r="AH15" s="47">
        <v>3</v>
      </c>
      <c r="AI15" s="13">
        <f t="shared" si="11"/>
        <v>3</v>
      </c>
      <c r="AJ15" s="54">
        <v>0</v>
      </c>
      <c r="AK15" s="47">
        <v>2</v>
      </c>
      <c r="AL15" s="53"/>
      <c r="AM15" s="13">
        <f t="shared" si="12"/>
        <v>2</v>
      </c>
      <c r="AN15" s="54">
        <v>0</v>
      </c>
      <c r="AO15" s="47">
        <v>1</v>
      </c>
      <c r="AP15" s="53"/>
      <c r="AQ15" s="13">
        <f t="shared" si="13"/>
        <v>1</v>
      </c>
      <c r="AR15" s="51">
        <v>0</v>
      </c>
      <c r="AS15" s="47">
        <v>0</v>
      </c>
      <c r="AT15" s="13">
        <f t="shared" si="14"/>
        <v>0</v>
      </c>
      <c r="AU15" s="51">
        <v>0</v>
      </c>
      <c r="AV15" s="47">
        <v>0</v>
      </c>
      <c r="AW15" s="13">
        <f t="shared" si="15"/>
        <v>0</v>
      </c>
      <c r="AX15" s="51">
        <v>0</v>
      </c>
      <c r="AY15" s="47">
        <v>0</v>
      </c>
      <c r="AZ15" s="13">
        <f t="shared" si="16"/>
        <v>0</v>
      </c>
      <c r="BA15" s="54">
        <v>0</v>
      </c>
      <c r="BB15" s="47">
        <v>0</v>
      </c>
      <c r="BC15" s="13">
        <f t="shared" si="17"/>
        <v>0</v>
      </c>
      <c r="BD15" s="54">
        <v>0</v>
      </c>
      <c r="BE15" s="47">
        <v>0</v>
      </c>
      <c r="BF15" s="13">
        <f t="shared" si="18"/>
        <v>0</v>
      </c>
      <c r="BG15" s="54">
        <v>1</v>
      </c>
      <c r="BH15" s="47">
        <v>0</v>
      </c>
      <c r="BI15" s="13">
        <f>SUM(BG15:BH15)</f>
        <v>1</v>
      </c>
      <c r="BJ15" s="51">
        <v>0</v>
      </c>
      <c r="BK15" s="47">
        <v>0</v>
      </c>
      <c r="BL15" s="13">
        <f t="shared" si="19"/>
        <v>0</v>
      </c>
      <c r="BM15" s="51">
        <v>0</v>
      </c>
      <c r="BN15" s="47">
        <v>0</v>
      </c>
      <c r="BO15" s="13">
        <f t="shared" si="20"/>
        <v>0</v>
      </c>
      <c r="BP15" s="54">
        <v>0</v>
      </c>
      <c r="BQ15" s="47">
        <v>0</v>
      </c>
      <c r="BR15" s="13">
        <f t="shared" si="21"/>
        <v>0</v>
      </c>
      <c r="BS15" s="43">
        <f>SUM(E15,H15,K15,N15,Q15,T15,W15,Z15,AC15,AF15,AI15,AM15,AQ15,AT15,AW15,AZ15,BC15,BF15,BI15,BL15,BO15,BR15)</f>
        <v>10</v>
      </c>
    </row>
    <row r="16" spans="1:71" ht="13.5" customHeight="1" x14ac:dyDescent="0.2">
      <c r="A16" s="42"/>
      <c r="B16" s="41"/>
      <c r="C16" s="48"/>
      <c r="D16" s="47"/>
      <c r="E16" s="34"/>
      <c r="F16" s="51"/>
      <c r="G16" s="47"/>
      <c r="H16" s="13"/>
      <c r="I16" s="51"/>
      <c r="J16" s="51"/>
      <c r="K16" s="13"/>
      <c r="L16" s="51"/>
      <c r="M16" s="47"/>
      <c r="N16" s="13"/>
      <c r="O16" s="51"/>
      <c r="P16" s="47"/>
      <c r="Q16" s="13"/>
      <c r="R16" s="51"/>
      <c r="S16" s="47"/>
      <c r="T16" s="13"/>
      <c r="U16" s="51"/>
      <c r="V16" s="47"/>
      <c r="W16" s="13"/>
      <c r="X16" s="54"/>
      <c r="Y16" s="47"/>
      <c r="Z16" s="13"/>
      <c r="AA16" s="54"/>
      <c r="AB16" s="47"/>
      <c r="AC16" s="13"/>
      <c r="AD16" s="54"/>
      <c r="AE16" s="47"/>
      <c r="AF16" s="13"/>
      <c r="AG16" s="54"/>
      <c r="AH16" s="47"/>
      <c r="AI16" s="13"/>
      <c r="AJ16" s="54"/>
      <c r="AK16" s="47"/>
      <c r="AL16" s="53"/>
      <c r="AM16" s="13"/>
      <c r="AN16" s="54"/>
      <c r="AO16" s="47"/>
      <c r="AP16" s="53"/>
      <c r="AQ16" s="13"/>
      <c r="AR16" s="51"/>
      <c r="AS16" s="47"/>
      <c r="AT16" s="13"/>
      <c r="AU16" s="51"/>
      <c r="AV16" s="47"/>
      <c r="AW16" s="13"/>
      <c r="AX16" s="51"/>
      <c r="AY16" s="47"/>
      <c r="AZ16" s="13"/>
      <c r="BA16" s="54"/>
      <c r="BB16" s="47"/>
      <c r="BC16" s="13"/>
      <c r="BD16" s="54"/>
      <c r="BE16" s="47"/>
      <c r="BF16" s="13"/>
      <c r="BG16" s="54"/>
      <c r="BH16" s="47"/>
      <c r="BI16" s="13"/>
      <c r="BJ16" s="51"/>
      <c r="BK16" s="47"/>
      <c r="BL16" s="13"/>
      <c r="BM16" s="51"/>
      <c r="BN16" s="47"/>
      <c r="BO16" s="13"/>
      <c r="BP16" s="54"/>
      <c r="BQ16" s="47"/>
      <c r="BR16" s="13"/>
      <c r="BS16" s="43"/>
    </row>
    <row r="17" spans="1:71" ht="13.5" customHeight="1" thickBot="1" x14ac:dyDescent="0.25">
      <c r="A17" s="65"/>
      <c r="B17" s="66"/>
      <c r="C17" s="67"/>
      <c r="D17" s="68"/>
      <c r="E17" s="69"/>
      <c r="F17" s="70"/>
      <c r="G17" s="68"/>
      <c r="H17" s="71"/>
      <c r="I17" s="70"/>
      <c r="J17" s="70"/>
      <c r="K17" s="71"/>
      <c r="L17" s="70"/>
      <c r="M17" s="68"/>
      <c r="N17" s="71"/>
      <c r="O17" s="70"/>
      <c r="P17" s="68"/>
      <c r="Q17" s="71"/>
      <c r="R17" s="70"/>
      <c r="S17" s="68"/>
      <c r="T17" s="71"/>
      <c r="U17" s="70"/>
      <c r="V17" s="68"/>
      <c r="W17" s="71"/>
      <c r="X17" s="72"/>
      <c r="Y17" s="68"/>
      <c r="Z17" s="71"/>
      <c r="AA17" s="72"/>
      <c r="AB17" s="68"/>
      <c r="AC17" s="71"/>
      <c r="AD17" s="72"/>
      <c r="AE17" s="68"/>
      <c r="AF17" s="71"/>
      <c r="AG17" s="72"/>
      <c r="AH17" s="68"/>
      <c r="AI17" s="71"/>
      <c r="AJ17" s="72"/>
      <c r="AK17" s="68"/>
      <c r="AL17" s="73"/>
      <c r="AM17" s="71"/>
      <c r="AN17" s="72"/>
      <c r="AO17" s="68"/>
      <c r="AP17" s="73"/>
      <c r="AQ17" s="71"/>
      <c r="AR17" s="70"/>
      <c r="AS17" s="68"/>
      <c r="AT17" s="71"/>
      <c r="AU17" s="70"/>
      <c r="AV17" s="68"/>
      <c r="AW17" s="71"/>
      <c r="AX17" s="70"/>
      <c r="AY17" s="68"/>
      <c r="AZ17" s="71"/>
      <c r="BA17" s="72"/>
      <c r="BB17" s="68"/>
      <c r="BC17" s="71"/>
      <c r="BD17" s="72"/>
      <c r="BE17" s="68"/>
      <c r="BF17" s="71"/>
      <c r="BG17" s="72"/>
      <c r="BH17" s="68"/>
      <c r="BI17" s="71"/>
      <c r="BJ17" s="70"/>
      <c r="BK17" s="68"/>
      <c r="BL17" s="71"/>
      <c r="BM17" s="70"/>
      <c r="BN17" s="68"/>
      <c r="BO17" s="71"/>
      <c r="BP17" s="72"/>
      <c r="BQ17" s="68"/>
      <c r="BR17" s="71"/>
      <c r="BS17" s="59"/>
    </row>
    <row r="18" spans="1:71" x14ac:dyDescent="0.2">
      <c r="A18" s="55"/>
      <c r="B18" s="55"/>
      <c r="E18" s="14"/>
      <c r="H18" s="14"/>
    </row>
    <row r="19" spans="1:71" x14ac:dyDescent="0.2">
      <c r="A19" s="74"/>
      <c r="B19" s="55"/>
      <c r="E19" s="14"/>
      <c r="H19" s="14"/>
    </row>
    <row r="20" spans="1:71" x14ac:dyDescent="0.2">
      <c r="A20" s="55"/>
      <c r="B20" s="55"/>
      <c r="E20" s="14"/>
      <c r="H20" s="14"/>
    </row>
    <row r="21" spans="1:71" x14ac:dyDescent="0.2">
      <c r="A21" s="75"/>
      <c r="B21" s="17"/>
      <c r="E21" s="14"/>
      <c r="H21" s="14"/>
    </row>
    <row r="22" spans="1:71" x14ac:dyDescent="0.2">
      <c r="A22" s="75"/>
      <c r="B22" s="17"/>
      <c r="E22" s="14"/>
      <c r="H22" s="14"/>
    </row>
    <row r="23" spans="1:71" x14ac:dyDescent="0.2">
      <c r="A23" s="75"/>
      <c r="B23" s="17"/>
      <c r="E23" s="14"/>
      <c r="H23" s="14"/>
    </row>
    <row r="24" spans="1:71" x14ac:dyDescent="0.2">
      <c r="A24" s="75"/>
      <c r="B24" s="17"/>
      <c r="E24" s="14"/>
      <c r="H24" s="14"/>
    </row>
    <row r="25" spans="1:71" x14ac:dyDescent="0.2">
      <c r="A25" s="75"/>
      <c r="B25" s="17"/>
      <c r="E25" s="14"/>
      <c r="H25" s="14"/>
    </row>
    <row r="26" spans="1:71" x14ac:dyDescent="0.2">
      <c r="E26" s="14"/>
      <c r="H26" s="14"/>
    </row>
    <row r="27" spans="1:71" x14ac:dyDescent="0.2">
      <c r="E27" s="14"/>
      <c r="H27" s="14"/>
    </row>
    <row r="28" spans="1:71" x14ac:dyDescent="0.2">
      <c r="E28" s="14"/>
      <c r="H28" s="14"/>
    </row>
    <row r="29" spans="1:71" x14ac:dyDescent="0.2">
      <c r="E29" s="14"/>
      <c r="H29" s="14"/>
    </row>
    <row r="30" spans="1:71" x14ac:dyDescent="0.2">
      <c r="E30" s="14"/>
      <c r="H30" s="14"/>
    </row>
    <row r="31" spans="1:71" x14ac:dyDescent="0.2">
      <c r="E31" s="14"/>
      <c r="H31" s="14"/>
    </row>
    <row r="32" spans="1:71" x14ac:dyDescent="0.2">
      <c r="E32" s="14"/>
      <c r="H32" s="14"/>
    </row>
    <row r="33" spans="5:8" x14ac:dyDescent="0.2">
      <c r="E33" s="14"/>
      <c r="H33" s="14"/>
    </row>
    <row r="34" spans="5:8" x14ac:dyDescent="0.2">
      <c r="E34" s="14"/>
      <c r="H34" s="14"/>
    </row>
    <row r="35" spans="5:8" x14ac:dyDescent="0.2">
      <c r="E35" s="14"/>
      <c r="H35" s="14"/>
    </row>
    <row r="36" spans="5:8" x14ac:dyDescent="0.2">
      <c r="E36" s="14"/>
      <c r="H36" s="14"/>
    </row>
    <row r="37" spans="5:8" x14ac:dyDescent="0.2">
      <c r="E37" s="14"/>
      <c r="H37" s="14"/>
    </row>
    <row r="38" spans="5:8" x14ac:dyDescent="0.2">
      <c r="E38" s="14"/>
      <c r="H38" s="14"/>
    </row>
    <row r="39" spans="5:8" x14ac:dyDescent="0.2">
      <c r="E39" s="14"/>
      <c r="H39" s="14"/>
    </row>
    <row r="40" spans="5:8" x14ac:dyDescent="0.2">
      <c r="E40" s="14"/>
      <c r="H40" s="14"/>
    </row>
    <row r="41" spans="5:8" x14ac:dyDescent="0.2">
      <c r="E41" s="14"/>
      <c r="H41" s="14"/>
    </row>
    <row r="42" spans="5:8" x14ac:dyDescent="0.2">
      <c r="E42" s="14"/>
      <c r="H42" s="14"/>
    </row>
    <row r="43" spans="5:8" x14ac:dyDescent="0.2">
      <c r="E43" s="14"/>
      <c r="H43" s="14"/>
    </row>
    <row r="44" spans="5:8" x14ac:dyDescent="0.2">
      <c r="E44" s="14"/>
      <c r="H44" s="14"/>
    </row>
    <row r="45" spans="5:8" x14ac:dyDescent="0.2">
      <c r="E45" s="14"/>
      <c r="H45" s="14"/>
    </row>
    <row r="46" spans="5:8" x14ac:dyDescent="0.2">
      <c r="E46" s="14"/>
      <c r="H46" s="14"/>
    </row>
    <row r="47" spans="5:8" x14ac:dyDescent="0.2">
      <c r="E47" s="14"/>
      <c r="H47" s="14"/>
    </row>
    <row r="48" spans="5:8" x14ac:dyDescent="0.2">
      <c r="E48" s="14"/>
      <c r="H48" s="14"/>
    </row>
    <row r="49" spans="5:8" x14ac:dyDescent="0.2">
      <c r="E49" s="14"/>
      <c r="H49" s="14"/>
    </row>
    <row r="50" spans="5:8" x14ac:dyDescent="0.2">
      <c r="E50" s="14"/>
      <c r="H50" s="14"/>
    </row>
    <row r="51" spans="5:8" x14ac:dyDescent="0.2">
      <c r="E51" s="14"/>
      <c r="H51" s="14"/>
    </row>
    <row r="52" spans="5:8" x14ac:dyDescent="0.2">
      <c r="E52" s="14"/>
      <c r="H52" s="14"/>
    </row>
    <row r="53" spans="5:8" x14ac:dyDescent="0.2">
      <c r="E53" s="14"/>
      <c r="H53" s="14"/>
    </row>
    <row r="54" spans="5:8" x14ac:dyDescent="0.2">
      <c r="E54" s="14"/>
      <c r="H54" s="14"/>
    </row>
    <row r="55" spans="5:8" x14ac:dyDescent="0.2">
      <c r="E55" s="14"/>
      <c r="H55" s="14"/>
    </row>
    <row r="56" spans="5:8" x14ac:dyDescent="0.2">
      <c r="E56" s="14"/>
      <c r="H56" s="14"/>
    </row>
    <row r="57" spans="5:8" x14ac:dyDescent="0.2">
      <c r="E57" s="14"/>
      <c r="H57" s="14"/>
    </row>
    <row r="58" spans="5:8" x14ac:dyDescent="0.2">
      <c r="E58" s="14"/>
      <c r="H58" s="14"/>
    </row>
    <row r="59" spans="5:8" x14ac:dyDescent="0.2">
      <c r="E59" s="14"/>
      <c r="H59" s="14"/>
    </row>
    <row r="60" spans="5:8" x14ac:dyDescent="0.2">
      <c r="E60" s="14"/>
      <c r="H60" s="14"/>
    </row>
    <row r="61" spans="5:8" x14ac:dyDescent="0.2">
      <c r="E61" s="14"/>
      <c r="H61" s="14"/>
    </row>
    <row r="62" spans="5:8" x14ac:dyDescent="0.2">
      <c r="E62" s="14"/>
      <c r="H62" s="14"/>
    </row>
    <row r="63" spans="5:8" x14ac:dyDescent="0.2">
      <c r="E63" s="14"/>
      <c r="H63" s="14"/>
    </row>
    <row r="64" spans="5:8" x14ac:dyDescent="0.2">
      <c r="E64" s="14"/>
      <c r="H64" s="14"/>
    </row>
    <row r="65" spans="5:8" x14ac:dyDescent="0.2">
      <c r="E65" s="14"/>
      <c r="H65" s="14"/>
    </row>
    <row r="66" spans="5:8" x14ac:dyDescent="0.2">
      <c r="E66" s="14"/>
      <c r="H66" s="14"/>
    </row>
    <row r="67" spans="5:8" x14ac:dyDescent="0.2">
      <c r="E67" s="14"/>
      <c r="H67" s="14"/>
    </row>
    <row r="68" spans="5:8" x14ac:dyDescent="0.2">
      <c r="E68" s="14"/>
      <c r="H68" s="14"/>
    </row>
    <row r="69" spans="5:8" x14ac:dyDescent="0.2">
      <c r="E69" s="14"/>
      <c r="H69" s="14"/>
    </row>
    <row r="70" spans="5:8" x14ac:dyDescent="0.2">
      <c r="E70" s="14"/>
      <c r="H70" s="14"/>
    </row>
    <row r="71" spans="5:8" x14ac:dyDescent="0.2">
      <c r="E71" s="14"/>
      <c r="H71" s="14"/>
    </row>
    <row r="72" spans="5:8" x14ac:dyDescent="0.2">
      <c r="E72" s="14"/>
      <c r="H72" s="14"/>
    </row>
    <row r="73" spans="5:8" x14ac:dyDescent="0.2">
      <c r="E73" s="14"/>
      <c r="H73" s="14"/>
    </row>
    <row r="74" spans="5:8" x14ac:dyDescent="0.2">
      <c r="E74" s="14"/>
      <c r="H74" s="14"/>
    </row>
    <row r="75" spans="5:8" x14ac:dyDescent="0.2">
      <c r="E75" s="14"/>
      <c r="H75" s="14"/>
    </row>
    <row r="76" spans="5:8" x14ac:dyDescent="0.2">
      <c r="E76" s="14"/>
      <c r="H76" s="14"/>
    </row>
    <row r="77" spans="5:8" x14ac:dyDescent="0.2">
      <c r="E77" s="14"/>
      <c r="H77" s="14"/>
    </row>
    <row r="78" spans="5:8" x14ac:dyDescent="0.2">
      <c r="E78" s="14"/>
      <c r="H78" s="14"/>
    </row>
    <row r="79" spans="5:8" x14ac:dyDescent="0.2">
      <c r="E79" s="14"/>
      <c r="H79" s="14"/>
    </row>
    <row r="80" spans="5:8" x14ac:dyDescent="0.2">
      <c r="E80" s="14"/>
      <c r="H80" s="14"/>
    </row>
    <row r="81" spans="5:8" x14ac:dyDescent="0.2">
      <c r="E81" s="14"/>
      <c r="H81" s="14"/>
    </row>
    <row r="82" spans="5:8" x14ac:dyDescent="0.2">
      <c r="E82" s="14"/>
      <c r="H82" s="14"/>
    </row>
    <row r="83" spans="5:8" x14ac:dyDescent="0.2">
      <c r="E83" s="14"/>
      <c r="H83" s="14"/>
    </row>
    <row r="84" spans="5:8" x14ac:dyDescent="0.2">
      <c r="E84" s="14"/>
      <c r="H84" s="14"/>
    </row>
    <row r="85" spans="5:8" x14ac:dyDescent="0.2">
      <c r="E85" s="14"/>
      <c r="H85" s="14"/>
    </row>
    <row r="86" spans="5:8" x14ac:dyDescent="0.2">
      <c r="E86" s="14"/>
      <c r="H86" s="14"/>
    </row>
    <row r="87" spans="5:8" x14ac:dyDescent="0.2">
      <c r="E87" s="14"/>
      <c r="H87" s="14"/>
    </row>
    <row r="88" spans="5:8" x14ac:dyDescent="0.2">
      <c r="E88" s="14"/>
      <c r="H88" s="14"/>
    </row>
    <row r="89" spans="5:8" x14ac:dyDescent="0.2">
      <c r="E89" s="14"/>
      <c r="H89" s="14"/>
    </row>
    <row r="90" spans="5:8" x14ac:dyDescent="0.2">
      <c r="E90" s="14"/>
      <c r="H90" s="14"/>
    </row>
    <row r="91" spans="5:8" x14ac:dyDescent="0.2">
      <c r="E91" s="14"/>
      <c r="H91" s="14"/>
    </row>
    <row r="92" spans="5:8" x14ac:dyDescent="0.2">
      <c r="E92" s="14"/>
      <c r="H92" s="14"/>
    </row>
    <row r="93" spans="5:8" x14ac:dyDescent="0.2">
      <c r="E93" s="14"/>
      <c r="H93" s="14"/>
    </row>
    <row r="94" spans="5:8" x14ac:dyDescent="0.2">
      <c r="E94" s="14"/>
      <c r="H94" s="14"/>
    </row>
    <row r="95" spans="5:8" x14ac:dyDescent="0.2">
      <c r="E95" s="14"/>
      <c r="H95" s="14"/>
    </row>
    <row r="96" spans="5:8" x14ac:dyDescent="0.2">
      <c r="E96" s="14"/>
      <c r="H96" s="14"/>
    </row>
    <row r="97" spans="5:8" x14ac:dyDescent="0.2">
      <c r="E97" s="14"/>
      <c r="H97" s="14"/>
    </row>
    <row r="98" spans="5:8" x14ac:dyDescent="0.2">
      <c r="E98" s="14"/>
      <c r="H98" s="14"/>
    </row>
    <row r="99" spans="5:8" x14ac:dyDescent="0.2">
      <c r="E99" s="14"/>
      <c r="H99" s="14"/>
    </row>
    <row r="100" spans="5:8" x14ac:dyDescent="0.2">
      <c r="E100" s="14"/>
      <c r="H100" s="14"/>
    </row>
    <row r="101" spans="5:8" x14ac:dyDescent="0.2">
      <c r="E101" s="14"/>
      <c r="H101" s="14"/>
    </row>
    <row r="102" spans="5:8" x14ac:dyDescent="0.2">
      <c r="E102" s="14"/>
      <c r="H102" s="14"/>
    </row>
    <row r="103" spans="5:8" x14ac:dyDescent="0.2">
      <c r="E103" s="14"/>
      <c r="H103" s="14"/>
    </row>
    <row r="104" spans="5:8" x14ac:dyDescent="0.2">
      <c r="E104" s="14"/>
      <c r="H104" s="14"/>
    </row>
    <row r="105" spans="5:8" x14ac:dyDescent="0.2">
      <c r="E105" s="14"/>
      <c r="H105" s="14"/>
    </row>
    <row r="106" spans="5:8" x14ac:dyDescent="0.2">
      <c r="E106" s="14"/>
      <c r="H106" s="14"/>
    </row>
    <row r="107" spans="5:8" x14ac:dyDescent="0.2">
      <c r="E107" s="14"/>
      <c r="H107" s="14"/>
    </row>
    <row r="108" spans="5:8" x14ac:dyDescent="0.2">
      <c r="E108" s="14"/>
      <c r="H108" s="14"/>
    </row>
    <row r="109" spans="5:8" x14ac:dyDescent="0.2">
      <c r="E109" s="14"/>
      <c r="H109" s="14"/>
    </row>
    <row r="110" spans="5:8" x14ac:dyDescent="0.2">
      <c r="E110" s="14"/>
      <c r="H110" s="14"/>
    </row>
    <row r="111" spans="5:8" x14ac:dyDescent="0.2">
      <c r="E111" s="14"/>
      <c r="H111" s="14"/>
    </row>
    <row r="112" spans="5:8" x14ac:dyDescent="0.2">
      <c r="E112" s="14"/>
      <c r="H112" s="14"/>
    </row>
    <row r="113" spans="5:8" x14ac:dyDescent="0.2">
      <c r="E113" s="14"/>
      <c r="H113" s="14"/>
    </row>
    <row r="114" spans="5:8" x14ac:dyDescent="0.2">
      <c r="E114" s="14"/>
      <c r="H114" s="14"/>
    </row>
    <row r="115" spans="5:8" x14ac:dyDescent="0.2">
      <c r="E115" s="14"/>
      <c r="H115" s="14"/>
    </row>
    <row r="116" spans="5:8" x14ac:dyDescent="0.2">
      <c r="E116" s="14"/>
      <c r="H116" s="14"/>
    </row>
    <row r="117" spans="5:8" x14ac:dyDescent="0.2">
      <c r="E117" s="14"/>
      <c r="H117" s="14"/>
    </row>
    <row r="118" spans="5:8" x14ac:dyDescent="0.2">
      <c r="E118" s="14"/>
      <c r="H118" s="14"/>
    </row>
    <row r="119" spans="5:8" x14ac:dyDescent="0.2">
      <c r="E119" s="14"/>
      <c r="H119" s="14"/>
    </row>
    <row r="120" spans="5:8" x14ac:dyDescent="0.2">
      <c r="E120" s="14"/>
      <c r="H120" s="14"/>
    </row>
    <row r="121" spans="5:8" x14ac:dyDescent="0.2">
      <c r="E121" s="14"/>
      <c r="H121" s="14"/>
    </row>
    <row r="122" spans="5:8" x14ac:dyDescent="0.2">
      <c r="E122" s="14"/>
      <c r="H122" s="14"/>
    </row>
    <row r="123" spans="5:8" x14ac:dyDescent="0.2">
      <c r="E123" s="14"/>
      <c r="H123" s="14"/>
    </row>
    <row r="124" spans="5:8" x14ac:dyDescent="0.2">
      <c r="E124" s="14"/>
      <c r="H124" s="14"/>
    </row>
    <row r="125" spans="5:8" x14ac:dyDescent="0.2">
      <c r="E125" s="14"/>
      <c r="H125" s="14"/>
    </row>
    <row r="126" spans="5:8" x14ac:dyDescent="0.2">
      <c r="E126" s="14"/>
      <c r="H126" s="14"/>
    </row>
    <row r="127" spans="5:8" x14ac:dyDescent="0.2">
      <c r="E127" s="14"/>
      <c r="H127" s="14"/>
    </row>
    <row r="128" spans="5:8" x14ac:dyDescent="0.2">
      <c r="E128" s="14"/>
      <c r="H128" s="14"/>
    </row>
    <row r="129" spans="5:8" x14ac:dyDescent="0.2">
      <c r="E129" s="14"/>
      <c r="H129" s="14"/>
    </row>
    <row r="130" spans="5:8" x14ac:dyDescent="0.2">
      <c r="E130" s="14"/>
      <c r="H130" s="14"/>
    </row>
    <row r="131" spans="5:8" x14ac:dyDescent="0.2">
      <c r="E131" s="14"/>
      <c r="H131" s="14"/>
    </row>
    <row r="132" spans="5:8" x14ac:dyDescent="0.2">
      <c r="E132" s="14"/>
      <c r="H132" s="14"/>
    </row>
    <row r="133" spans="5:8" x14ac:dyDescent="0.2">
      <c r="E133" s="14"/>
      <c r="H133" s="14"/>
    </row>
    <row r="134" spans="5:8" x14ac:dyDescent="0.2">
      <c r="E134" s="14"/>
      <c r="H134" s="14"/>
    </row>
    <row r="135" spans="5:8" x14ac:dyDescent="0.2">
      <c r="E135" s="14"/>
      <c r="H135" s="14"/>
    </row>
  </sheetData>
  <sheetProtection selectLockedCells="1"/>
  <mergeCells count="23">
    <mergeCell ref="BP2:BR2"/>
    <mergeCell ref="AN2:AQ2"/>
    <mergeCell ref="AR2:AT2"/>
    <mergeCell ref="AU2:AW2"/>
    <mergeCell ref="AX2:AZ2"/>
    <mergeCell ref="BA2:BC2"/>
    <mergeCell ref="BD2:BF2"/>
    <mergeCell ref="A1:AI1"/>
    <mergeCell ref="BG2:BI2"/>
    <mergeCell ref="BJ2:BL2"/>
    <mergeCell ref="BM2:BO2"/>
    <mergeCell ref="C2:E2"/>
    <mergeCell ref="AA2:AC2"/>
    <mergeCell ref="AD2:AF2"/>
    <mergeCell ref="AG2:AI2"/>
    <mergeCell ref="AJ2:AM2"/>
    <mergeCell ref="F2:H2"/>
    <mergeCell ref="U2:W2"/>
    <mergeCell ref="X2:Z2"/>
    <mergeCell ref="I2:K2"/>
    <mergeCell ref="L2:N2"/>
    <mergeCell ref="O2:Q2"/>
    <mergeCell ref="R2:T2"/>
  </mergeCells>
  <phoneticPr fontId="2" type="noConversion"/>
  <pageMargins left="0.54" right="0" top="0.25" bottom="0.48" header="0.5" footer="0.25"/>
  <pageSetup paperSize="10002" scale="75" fitToWidth="2" fitToHeight="4" pageOrder="overThenDown" orientation="landscape" r:id="rId1"/>
  <headerFooter alignWithMargins="0"/>
  <colBreaks count="1" manualBreakCount="1">
    <brk id="39" max="155"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Results</vt:lpstr>
      <vt:lpstr>Lincoln</vt:lpstr>
      <vt:lpstr>Lincoln!Print_Area</vt:lpstr>
      <vt:lpstr>Lincoln!Print_Titles</vt:lpstr>
    </vt:vector>
  </TitlesOfParts>
  <Company>Seward County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Jill Dockins</dc:creator>
  <cp:lastModifiedBy>Dawn H</cp:lastModifiedBy>
  <cp:lastPrinted>2024-03-22T15:37:24Z</cp:lastPrinted>
  <dcterms:created xsi:type="dcterms:W3CDTF">2004-03-11T16:54:28Z</dcterms:created>
  <dcterms:modified xsi:type="dcterms:W3CDTF">2024-03-26T17:58:48Z</dcterms:modified>
</cp:coreProperties>
</file>