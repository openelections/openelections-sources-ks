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phillipscountyclerk-my.sharepoint.com/personal/clerk_phillipscoks_com/Documents/"/>
    </mc:Choice>
  </mc:AlternateContent>
  <xr:revisionPtr revIDLastSave="0" documentId="8_{B2DBCD3A-FB95-475A-B764-CE368E9DC881}" xr6:coauthVersionLast="47" xr6:coauthVersionMax="47" xr10:uidLastSave="{00000000-0000-0000-0000-000000000000}"/>
  <bookViews>
    <workbookView xWindow="-120" yWindow="-120" windowWidth="29040" windowHeight="15720" xr2:uid="{0C85F9CE-2C35-4AD7-B20A-725B25E1E7F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363" i="1" l="1"/>
  <c r="AM362" i="1"/>
  <c r="AM360" i="1"/>
  <c r="AM359" i="1"/>
  <c r="AM357" i="1"/>
  <c r="AM356" i="1"/>
  <c r="AM354" i="1"/>
  <c r="AM353" i="1"/>
  <c r="AM351" i="1"/>
  <c r="AM350" i="1"/>
  <c r="AM348" i="1"/>
  <c r="AM347" i="1"/>
  <c r="AM345" i="1"/>
  <c r="AM344" i="1"/>
  <c r="AM342" i="1"/>
  <c r="AM339" i="1"/>
  <c r="AM336" i="1"/>
  <c r="AM335" i="1"/>
  <c r="AM332" i="1"/>
  <c r="AM331" i="1"/>
  <c r="AM330" i="1"/>
  <c r="AM326" i="1"/>
  <c r="AM323" i="1"/>
  <c r="AM322" i="1"/>
  <c r="AM319" i="1"/>
  <c r="AM318" i="1"/>
  <c r="AM317" i="1"/>
  <c r="AM316" i="1"/>
  <c r="AM312" i="1"/>
  <c r="AM309" i="1"/>
  <c r="AM308" i="1"/>
  <c r="AM305" i="1"/>
  <c r="AM304" i="1"/>
  <c r="AM303" i="1"/>
  <c r="AM302" i="1"/>
  <c r="AM301" i="1"/>
  <c r="AM300" i="1"/>
  <c r="AM299" i="1"/>
  <c r="AM298" i="1"/>
  <c r="AM295" i="1"/>
  <c r="AM294" i="1"/>
  <c r="AM293" i="1"/>
  <c r="AM292" i="1"/>
  <c r="AM291" i="1"/>
  <c r="AM290" i="1"/>
  <c r="AM287" i="1"/>
  <c r="AM286" i="1"/>
  <c r="AM285" i="1"/>
  <c r="AM284" i="1"/>
  <c r="AM281" i="1"/>
  <c r="AM280" i="1"/>
  <c r="AM279" i="1"/>
  <c r="AM278" i="1"/>
  <c r="AM277" i="1"/>
  <c r="AM276" i="1"/>
  <c r="AM275" i="1"/>
  <c r="AM272" i="1"/>
  <c r="AM269" i="1"/>
  <c r="AM268" i="1"/>
  <c r="AM267" i="1"/>
  <c r="AM266" i="1"/>
  <c r="AM265" i="1"/>
  <c r="AM264" i="1"/>
  <c r="AM261" i="1"/>
  <c r="AM260" i="1"/>
  <c r="AM259" i="1"/>
  <c r="AM258" i="1"/>
  <c r="AM255" i="1"/>
  <c r="AM254" i="1"/>
  <c r="AM251" i="1"/>
  <c r="AM250" i="1"/>
  <c r="AM249" i="1"/>
  <c r="AM248" i="1"/>
  <c r="AM247" i="1"/>
  <c r="AM246" i="1"/>
  <c r="AM245" i="1"/>
  <c r="AM242" i="1"/>
  <c r="AM241" i="1"/>
  <c r="AM240" i="1"/>
  <c r="AM239" i="1"/>
  <c r="AM238" i="1"/>
  <c r="AM237" i="1"/>
  <c r="AM234" i="1"/>
  <c r="AM233" i="1"/>
  <c r="AM230" i="1"/>
  <c r="AM226" i="1"/>
  <c r="AM223" i="1"/>
  <c r="AM222" i="1"/>
  <c r="AM221" i="1"/>
  <c r="AM220" i="1"/>
  <c r="AM217" i="1"/>
  <c r="AM216" i="1"/>
  <c r="AM215" i="1"/>
  <c r="AM214" i="1"/>
  <c r="AM213" i="1"/>
  <c r="AM210" i="1"/>
  <c r="AM209" i="1"/>
  <c r="AM208" i="1"/>
  <c r="AM207" i="1"/>
  <c r="AM204" i="1"/>
  <c r="AM201" i="1"/>
  <c r="AM198" i="1"/>
  <c r="AM197" i="1"/>
  <c r="AM196" i="1"/>
  <c r="AM193" i="1"/>
  <c r="AM192" i="1"/>
  <c r="AM191" i="1"/>
  <c r="AM190" i="1"/>
  <c r="AM187" i="1"/>
  <c r="AM186" i="1"/>
  <c r="AM183" i="1"/>
  <c r="AM182" i="1"/>
  <c r="AM181" i="1"/>
  <c r="AM178" i="1"/>
  <c r="AM177" i="1"/>
  <c r="AM176" i="1"/>
  <c r="AM175" i="1"/>
  <c r="AM174" i="1"/>
  <c r="AM173" i="1"/>
  <c r="AM172" i="1"/>
  <c r="AM171" i="1"/>
  <c r="AM168" i="1"/>
  <c r="AM167" i="1"/>
  <c r="AM166" i="1"/>
  <c r="AM165" i="1"/>
  <c r="AM164" i="1"/>
  <c r="AM163" i="1"/>
  <c r="AM160" i="1"/>
  <c r="AM159" i="1"/>
  <c r="AM158" i="1"/>
  <c r="AM157" i="1"/>
  <c r="AM154" i="1"/>
  <c r="AM153" i="1"/>
  <c r="AM150" i="1"/>
  <c r="AM149" i="1"/>
  <c r="AM148" i="1"/>
  <c r="AM147" i="1"/>
  <c r="AM146" i="1"/>
  <c r="AM145" i="1"/>
  <c r="AM144" i="1"/>
  <c r="AM143" i="1"/>
  <c r="AM142" i="1"/>
  <c r="AM139" i="1"/>
  <c r="AM138" i="1"/>
  <c r="AM137" i="1"/>
  <c r="AM136" i="1"/>
  <c r="AM135" i="1"/>
  <c r="AM134" i="1"/>
  <c r="AM131" i="1"/>
  <c r="AM130" i="1"/>
  <c r="AM129" i="1"/>
  <c r="AM126" i="1"/>
  <c r="AM123" i="1"/>
  <c r="AM122" i="1"/>
  <c r="AM119" i="1"/>
  <c r="AM118" i="1"/>
  <c r="AM117" i="1"/>
  <c r="AM116" i="1"/>
  <c r="AM112" i="1"/>
  <c r="AM109" i="1"/>
  <c r="AM108" i="1"/>
  <c r="AM107" i="1"/>
  <c r="AM106" i="1"/>
  <c r="AM105" i="1"/>
  <c r="AM104" i="1"/>
  <c r="AM103" i="1"/>
  <c r="AM102" i="1"/>
  <c r="AM99" i="1"/>
  <c r="AM98" i="1"/>
  <c r="AM97" i="1"/>
  <c r="AM96" i="1"/>
  <c r="AM95" i="1"/>
  <c r="AM94" i="1"/>
  <c r="AM93" i="1"/>
  <c r="AM92" i="1"/>
  <c r="AM89" i="1"/>
  <c r="AM88" i="1"/>
  <c r="AM87" i="1"/>
  <c r="AM84" i="1"/>
  <c r="AM83" i="1"/>
  <c r="AM82" i="1"/>
  <c r="AM78" i="1"/>
  <c r="AM75" i="1"/>
  <c r="AM74" i="1"/>
  <c r="AM73" i="1"/>
  <c r="AM70" i="1"/>
  <c r="AM69" i="1"/>
  <c r="AM68" i="1"/>
  <c r="AM67" i="1"/>
  <c r="AM66" i="1"/>
  <c r="AM63" i="1"/>
  <c r="AM62" i="1"/>
  <c r="AM61" i="1"/>
  <c r="AM60" i="1"/>
  <c r="AM59" i="1"/>
  <c r="AM58" i="1"/>
  <c r="AM57" i="1"/>
  <c r="AM54" i="1"/>
  <c r="AM51" i="1"/>
  <c r="AM48" i="1"/>
  <c r="AM45" i="1"/>
  <c r="AM42" i="1"/>
  <c r="AM39" i="1"/>
  <c r="AM36" i="1"/>
  <c r="AM35" i="1"/>
  <c r="AM34" i="1"/>
  <c r="AM31" i="1"/>
  <c r="AM28" i="1"/>
  <c r="AM25" i="1"/>
  <c r="AM24" i="1"/>
  <c r="AM21" i="1"/>
  <c r="AM18" i="1"/>
  <c r="AM15" i="1"/>
  <c r="AM14" i="1"/>
  <c r="AM11" i="1"/>
  <c r="AM10" i="1"/>
  <c r="AM8" i="1"/>
  <c r="AM7" i="1"/>
  <c r="AM6" i="1"/>
  <c r="AM5" i="1"/>
</calcChain>
</file>

<file path=xl/sharedStrings.xml><?xml version="1.0" encoding="utf-8"?>
<sst xmlns="http://schemas.openxmlformats.org/spreadsheetml/2006/main" count="390" uniqueCount="300">
  <si>
    <t>Official Abstract of Election Results in Phillips County on November 5th, 2024</t>
  </si>
  <si>
    <t>Time: 10:56 AM 11/15/2024</t>
  </si>
  <si>
    <t>Agra City</t>
  </si>
  <si>
    <t>Glade City</t>
  </si>
  <si>
    <t>Kirwin City</t>
  </si>
  <si>
    <t>Logan City</t>
  </si>
  <si>
    <t>Long Island City</t>
  </si>
  <si>
    <t>Phillipsburg Ward I</t>
  </si>
  <si>
    <t>Phillipsburg Ward II</t>
  </si>
  <si>
    <t>Phillipsburg Ward III</t>
  </si>
  <si>
    <t>Phillipsburg Ward III/Comm1</t>
  </si>
  <si>
    <t>Prairie View City</t>
  </si>
  <si>
    <t>Speed City</t>
  </si>
  <si>
    <t>Arcade</t>
  </si>
  <si>
    <t>Beaver</t>
  </si>
  <si>
    <t>Belmont</t>
  </si>
  <si>
    <t>Bow Creek</t>
  </si>
  <si>
    <t>Crystal</t>
  </si>
  <si>
    <t>Dayton</t>
  </si>
  <si>
    <t>Deer Creek</t>
  </si>
  <si>
    <t>Freedom</t>
  </si>
  <si>
    <t>Glenwood</t>
  </si>
  <si>
    <t>Granite</t>
  </si>
  <si>
    <t>Greenwood</t>
  </si>
  <si>
    <t>Kirwin</t>
  </si>
  <si>
    <t>Logan</t>
  </si>
  <si>
    <t>Long Island</t>
  </si>
  <si>
    <t>Mound</t>
  </si>
  <si>
    <t>Phillipsburg</t>
  </si>
  <si>
    <t>Plainview</t>
  </si>
  <si>
    <t>Plum</t>
  </si>
  <si>
    <t>Prairie View</t>
  </si>
  <si>
    <t>Rushville</t>
  </si>
  <si>
    <t>Solomon</t>
  </si>
  <si>
    <t>Sumner</t>
  </si>
  <si>
    <t>Towanda</t>
  </si>
  <si>
    <t>Valley</t>
  </si>
  <si>
    <t>Walnut</t>
  </si>
  <si>
    <t>TOTAL</t>
  </si>
  <si>
    <t>President &amp; Vice President</t>
  </si>
  <si>
    <t>Kennedy Jr. / Shanahan - I</t>
  </si>
  <si>
    <t>Oliver / ter Maat - L</t>
  </si>
  <si>
    <t>Trump / Vance - R</t>
  </si>
  <si>
    <t>Harris / Walz - D</t>
  </si>
  <si>
    <t>Write Ins</t>
  </si>
  <si>
    <t>Stein / Rudolph</t>
  </si>
  <si>
    <t>Garrity / Ballard</t>
  </si>
  <si>
    <t>United States House Representative 1st District</t>
  </si>
  <si>
    <t>Tracey Mann - R</t>
  </si>
  <si>
    <t>Paul Buskirk -D</t>
  </si>
  <si>
    <t>KS Senate, 36th District</t>
  </si>
  <si>
    <t>Elaine S. Bowers - R</t>
  </si>
  <si>
    <t>KS Senate, 40th District</t>
  </si>
  <si>
    <t>Richard (Rick) Billinger - R</t>
  </si>
  <si>
    <t>KS House, 110th District</t>
  </si>
  <si>
    <t>Ken Rahjes - R</t>
  </si>
  <si>
    <t>ellace Henderson - D</t>
  </si>
  <si>
    <t>District Court Judge, 17th District, 1st Division</t>
  </si>
  <si>
    <t>Jessie A. Thompson - R</t>
  </si>
  <si>
    <t>District Court Judge, 17th District, 2nd Division</t>
  </si>
  <si>
    <t>Paula D. Hofaker - R</t>
  </si>
  <si>
    <t>County Commissioner, 2nd District</t>
  </si>
  <si>
    <t>Brenda Chance - R</t>
  </si>
  <si>
    <t>Breton R. Miles -D</t>
  </si>
  <si>
    <t>Max Dibble - R</t>
  </si>
  <si>
    <t>County Commissioner, 3rd District</t>
  </si>
  <si>
    <t>Jerry Gruwell - R</t>
  </si>
  <si>
    <t>County Clerk</t>
  </si>
  <si>
    <t>Grant Rahjes - R</t>
  </si>
  <si>
    <t>County Treasurer</t>
  </si>
  <si>
    <t>Bret Derr - R</t>
  </si>
  <si>
    <t>County Register of Deeds</t>
  </si>
  <si>
    <t>Bailey L. Bogart - R</t>
  </si>
  <si>
    <t>County Attorney</t>
  </si>
  <si>
    <t>Melissa (Missi) Schoen - R</t>
  </si>
  <si>
    <t>County Sheriff</t>
  </si>
  <si>
    <t>Kyle Pinkerton - R</t>
  </si>
  <si>
    <t>Arcade Township Trustee</t>
  </si>
  <si>
    <t>Deb Robinson</t>
  </si>
  <si>
    <t>Rick Jarvis</t>
  </si>
  <si>
    <t>Jordan Dettmer *</t>
  </si>
  <si>
    <t>David Emery-Proctor</t>
  </si>
  <si>
    <t>Kari Moore</t>
  </si>
  <si>
    <t>Christina Dettmer</t>
  </si>
  <si>
    <t>Kathy Beard</t>
  </si>
  <si>
    <t>Beaver Township Trustee</t>
  </si>
  <si>
    <t>Jim Kats</t>
  </si>
  <si>
    <t>Roy Stutterheim *</t>
  </si>
  <si>
    <t>Kent Tien</t>
  </si>
  <si>
    <t>Becky Whitney</t>
  </si>
  <si>
    <t>Ashlee Tien</t>
  </si>
  <si>
    <t>Belmont Township Trustee</t>
  </si>
  <si>
    <t>Leland Rundle</t>
  </si>
  <si>
    <t>Stephen Reese *</t>
  </si>
  <si>
    <t>Stacie McClain</t>
  </si>
  <si>
    <t>Bow Creek Township Trustee</t>
  </si>
  <si>
    <t>Kenneth Stockman - R</t>
  </si>
  <si>
    <t>Crystal Township Trustee</t>
  </si>
  <si>
    <t>Nancy Dix</t>
  </si>
  <si>
    <t>Jared Grauerholz *</t>
  </si>
  <si>
    <t>Ken Rose</t>
  </si>
  <si>
    <t>Dayton Township Trustee</t>
  </si>
  <si>
    <t>Kandy Krafft *</t>
  </si>
  <si>
    <t>Blaine Krafft</t>
  </si>
  <si>
    <t>Jason Stapel</t>
  </si>
  <si>
    <t>Deer Creek Township Trustee</t>
  </si>
  <si>
    <t>Doug Van Allen *</t>
  </si>
  <si>
    <t>Brandy Christy</t>
  </si>
  <si>
    <t>Robert Bushnell</t>
  </si>
  <si>
    <t>Brent Still</t>
  </si>
  <si>
    <t>Shawn Cotton</t>
  </si>
  <si>
    <t>Alan Stapel</t>
  </si>
  <si>
    <t>Vicki Korobka</t>
  </si>
  <si>
    <t>Mary L. Bushnell</t>
  </si>
  <si>
    <t>Freedom Township Trustee</t>
  </si>
  <si>
    <t>Troy Turner</t>
  </si>
  <si>
    <t>Joanna Donohoe</t>
  </si>
  <si>
    <t>Ellen Runnion</t>
  </si>
  <si>
    <t>Tony Turner</t>
  </si>
  <si>
    <t>Douglas Craig Johnson</t>
  </si>
  <si>
    <t>Eloy Bruning</t>
  </si>
  <si>
    <t>David Stapel</t>
  </si>
  <si>
    <t>Glenwood Township Trustee</t>
  </si>
  <si>
    <t>Cris Mulder - R</t>
  </si>
  <si>
    <t>Granite Township Trustee</t>
  </si>
  <si>
    <t>Jan Long</t>
  </si>
  <si>
    <t>Tom Long</t>
  </si>
  <si>
    <t>Dane Christiansen</t>
  </si>
  <si>
    <t>Kaden Bach</t>
  </si>
  <si>
    <t>Greenwood Township Trustee</t>
  </si>
  <si>
    <t>Brock Johnson - R</t>
  </si>
  <si>
    <t>Lois Haas</t>
  </si>
  <si>
    <t>Kirwin Township Trustee</t>
  </si>
  <si>
    <t>William Jones</t>
  </si>
  <si>
    <t>Logan Township Trustee</t>
  </si>
  <si>
    <t>Janene Schneider - R</t>
  </si>
  <si>
    <t>Melvin Schooler</t>
  </si>
  <si>
    <t>Dorothy Becker</t>
  </si>
  <si>
    <t>Long Island Township Trustee</t>
  </si>
  <si>
    <t>Garth Gebhard</t>
  </si>
  <si>
    <t>Avery Thalheim *</t>
  </si>
  <si>
    <t>Marvin Gebhard</t>
  </si>
  <si>
    <t>Pat Hammond</t>
  </si>
  <si>
    <t>Jim Cole</t>
  </si>
  <si>
    <t>G. Hogan</t>
  </si>
  <si>
    <t>Mound Township Trustee</t>
  </si>
  <si>
    <t>Dan Zillinger</t>
  </si>
  <si>
    <t>Amy Conn</t>
  </si>
  <si>
    <t>Walter Jacobs</t>
  </si>
  <si>
    <t>Eldon Preuss</t>
  </si>
  <si>
    <t>John White</t>
  </si>
  <si>
    <t>Lee O. Manz</t>
  </si>
  <si>
    <t>Alan Woodside</t>
  </si>
  <si>
    <t>Tom Jacobs</t>
  </si>
  <si>
    <t>Jacob Dougherty</t>
  </si>
  <si>
    <t>Phillipsburg Township Trustee</t>
  </si>
  <si>
    <t>Dan Beyerlein - R</t>
  </si>
  <si>
    <t>Travis Stites</t>
  </si>
  <si>
    <t>Plainview Township Trustee</t>
  </si>
  <si>
    <t>John Russ</t>
  </si>
  <si>
    <t>Miranda Ashmore</t>
  </si>
  <si>
    <t>James Ashmore</t>
  </si>
  <si>
    <t>John Ebner</t>
  </si>
  <si>
    <t>Plum Township Trustee</t>
  </si>
  <si>
    <t>Sarah Rahjes</t>
  </si>
  <si>
    <t>Linda Miller</t>
  </si>
  <si>
    <t>Todd Ragsdale</t>
  </si>
  <si>
    <t>Mitch Miller</t>
  </si>
  <si>
    <t>Anita K. Christiansen</t>
  </si>
  <si>
    <t>Michael Rose</t>
  </si>
  <si>
    <t>Prairie View Township Trustee</t>
  </si>
  <si>
    <t>Beau Van Loenen</t>
  </si>
  <si>
    <t>Michael J. Kats</t>
  </si>
  <si>
    <t>Larry Tien</t>
  </si>
  <si>
    <t>Corey Vander Veen</t>
  </si>
  <si>
    <t>Calvin Lowry</t>
  </si>
  <si>
    <t>Mark Graham</t>
  </si>
  <si>
    <t>Bill Greving</t>
  </si>
  <si>
    <t>Rodney Jansonius</t>
  </si>
  <si>
    <t>Rushville Township Trustee</t>
  </si>
  <si>
    <t>Arloa Shaw</t>
  </si>
  <si>
    <t>Wendy Shaw</t>
  </si>
  <si>
    <t>Max Long</t>
  </si>
  <si>
    <t>Solomon Township Trustee</t>
  </si>
  <si>
    <t>Diana Hanchett - R</t>
  </si>
  <si>
    <t>Karen Runnion</t>
  </si>
  <si>
    <t>Sumner Township Trustee</t>
  </si>
  <si>
    <t>Jeff Dennis</t>
  </si>
  <si>
    <t>Robert Ragsdale</t>
  </si>
  <si>
    <t>Jeremy Dennis</t>
  </si>
  <si>
    <t>Larry Herr</t>
  </si>
  <si>
    <t>Towanda Township Trustee</t>
  </si>
  <si>
    <t>Terry Gottschalk</t>
  </si>
  <si>
    <t>Jim Morris</t>
  </si>
  <si>
    <t>Sam States</t>
  </si>
  <si>
    <t>Valley Township Trustee</t>
  </si>
  <si>
    <t>Guy Runyon</t>
  </si>
  <si>
    <t>Walnut Township Trustee</t>
  </si>
  <si>
    <t>-</t>
  </si>
  <si>
    <t>Arcade Township Treasurer</t>
  </si>
  <si>
    <t>Kathleen Beard</t>
  </si>
  <si>
    <t>Christina Dettmer *</t>
  </si>
  <si>
    <t>Dan Moore</t>
  </si>
  <si>
    <t>Beaver Township Treasurer</t>
  </si>
  <si>
    <t>Kurtis Wolf</t>
  </si>
  <si>
    <t>Roy Stutterheim</t>
  </si>
  <si>
    <t>Melissa Graham</t>
  </si>
  <si>
    <t>Belmont Township Treasurer</t>
  </si>
  <si>
    <t>Keith Forssberg</t>
  </si>
  <si>
    <t>Gene Forssberg</t>
  </si>
  <si>
    <t>Cory Horn</t>
  </si>
  <si>
    <t>Bow Creek Township Treasurer</t>
  </si>
  <si>
    <t>Zach Ewing - R</t>
  </si>
  <si>
    <t>Crystal Township Treasurer</t>
  </si>
  <si>
    <t>Bill Molzahn</t>
  </si>
  <si>
    <t>Dayton Township Treasurer</t>
  </si>
  <si>
    <t>Kandy Krafft</t>
  </si>
  <si>
    <t>Becky Stapel</t>
  </si>
  <si>
    <t>Deer Creek Township Treasurer</t>
  </si>
  <si>
    <t>Brady Christy</t>
  </si>
  <si>
    <t>Darcy Van Allen</t>
  </si>
  <si>
    <t>Vesta Jo Still</t>
  </si>
  <si>
    <t>Matt Van Allen</t>
  </si>
  <si>
    <t>Shawn Cotten</t>
  </si>
  <si>
    <t>Freedom Township Treasurer</t>
  </si>
  <si>
    <t>Johanna Peters</t>
  </si>
  <si>
    <t>Clark Hopson</t>
  </si>
  <si>
    <t>Karen Bruning</t>
  </si>
  <si>
    <t>Glenwood Township Treasurer</t>
  </si>
  <si>
    <t>Dan McClain - R</t>
  </si>
  <si>
    <t>Sally Brandon</t>
  </si>
  <si>
    <t>Granite Township Treasurer</t>
  </si>
  <si>
    <t>Tom Long *</t>
  </si>
  <si>
    <t>Caden Bach</t>
  </si>
  <si>
    <t>Greenwood Township Treasurer</t>
  </si>
  <si>
    <t>Roger Baker</t>
  </si>
  <si>
    <t>Sandie Jarvis</t>
  </si>
  <si>
    <t>Brenda Matteson</t>
  </si>
  <si>
    <t>Kelly Taylor</t>
  </si>
  <si>
    <t>Tina Johnson</t>
  </si>
  <si>
    <t>Justin Taylor</t>
  </si>
  <si>
    <t>Kirwin Township Treasurer</t>
  </si>
  <si>
    <t>Jay Weichman</t>
  </si>
  <si>
    <t>Logan Township Treasurer</t>
  </si>
  <si>
    <t>Lynn Clements</t>
  </si>
  <si>
    <t>Lloyd Schneider</t>
  </si>
  <si>
    <t>Landon Schneider</t>
  </si>
  <si>
    <t>Hayden Gottstein</t>
  </si>
  <si>
    <t>Debra Berg</t>
  </si>
  <si>
    <t>Shawn Becker</t>
  </si>
  <si>
    <t>Katie Becker</t>
  </si>
  <si>
    <t>Long Island Township Treasurer</t>
  </si>
  <si>
    <t>Avery Thalheim</t>
  </si>
  <si>
    <t>Mound Township Treasurer</t>
  </si>
  <si>
    <t>Mark Conn</t>
  </si>
  <si>
    <t>Sandi Preuss</t>
  </si>
  <si>
    <t>Sherry Woodside</t>
  </si>
  <si>
    <t>Phillipsburg Township Treasurer</t>
  </si>
  <si>
    <t>Stacey Solida</t>
  </si>
  <si>
    <t>Tera Keeten</t>
  </si>
  <si>
    <t>Kyle Barnes</t>
  </si>
  <si>
    <t>Cody Miller</t>
  </si>
  <si>
    <t>Greg Saville</t>
  </si>
  <si>
    <t>Donald Keeten</t>
  </si>
  <si>
    <t>Chad Hammons</t>
  </si>
  <si>
    <t>Dale Hanchett II</t>
  </si>
  <si>
    <t>Plainview Township Treasurer</t>
  </si>
  <si>
    <t>Kathy Ebner</t>
  </si>
  <si>
    <t>Plum Township Treasurer</t>
  </si>
  <si>
    <t>Steven Miller - R</t>
  </si>
  <si>
    <t>Prairie View Township Treasurer</t>
  </si>
  <si>
    <t>Mark C. Kats</t>
  </si>
  <si>
    <t>Elizabeth Woodside</t>
  </si>
  <si>
    <t>Gloria DeWitt</t>
  </si>
  <si>
    <t>Rushville Township Treasurer</t>
  </si>
  <si>
    <t>Solomon Township Treasurer</t>
  </si>
  <si>
    <t>Ronald Chester - R</t>
  </si>
  <si>
    <t>Sumner Township Treasurer</t>
  </si>
  <si>
    <t>Towanda Township Treasurer</t>
  </si>
  <si>
    <t>Janet Gottstine - R</t>
  </si>
  <si>
    <t>Trent Gottschalk</t>
  </si>
  <si>
    <t>Valley Township Treasurer</t>
  </si>
  <si>
    <t>Jacque Runyon</t>
  </si>
  <si>
    <t>Walnut Township Treasurer</t>
  </si>
  <si>
    <t>Court of Appeals Pos 4 Warner</t>
  </si>
  <si>
    <t>YES</t>
  </si>
  <si>
    <t>NO</t>
  </si>
  <si>
    <t>Court of Appeals Pos 6 Bruns</t>
  </si>
  <si>
    <t>Court of Appeals Pos 8 Atcheson</t>
  </si>
  <si>
    <t>Court of Appeals Pos 9 Burger</t>
  </si>
  <si>
    <t>Court of Appeals Pos 10 Pickering</t>
  </si>
  <si>
    <t>Court of Appeals Pos 12 Coble</t>
  </si>
  <si>
    <t>Court of Appeals Pos 14 Gardner</t>
  </si>
  <si>
    <t>Abstract of votes cast at the general election held in the several precincts in Phillips County on the 5th day of November, 2024 is true and correct, as shown by the returns of said election on file in the County Election Officer's office, and canvassed by us this ________ of November, 2024.</t>
  </si>
  <si>
    <t xml:space="preserve"> </t>
  </si>
  <si>
    <t>WITNESS our hands, this _____ day of November, 2024.</t>
  </si>
  <si>
    <t>Attest:</t>
  </si>
  <si>
    <t>County Election Officer</t>
  </si>
  <si>
    <t>Canvass Chairman</t>
  </si>
  <si>
    <t>Canvass Board Member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</si>
</sst>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2"/>
      <color theme="1"/>
      <name val="Arial"/>
      <family val="2"/>
    </font>
    <font>
      <sz val="11"/>
      <color theme="1"/>
      <name val="Arial"/>
      <family val="2"/>
    </font>
    <font>
      <b/>
      <sz val="11"/>
      <color theme="1"/>
      <name val="Arial"/>
      <family val="2"/>
    </font>
    <font>
      <b/>
      <sz val="11"/>
      <name val="Aptos Narrow"/>
      <family val="2"/>
      <scheme val="minor"/>
    </font>
    <font>
      <sz val="11"/>
      <name val="Aptos Narrow"/>
      <family val="2"/>
      <scheme val="minor"/>
    </font>
  </fonts>
  <fills count="2">
    <fill>
      <patternFill patternType="none"/>
    </fill>
    <fill>
      <patternFill patternType="gray125"/>
    </fill>
  </fills>
  <borders count="13">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top style="thin">
        <color indexed="64"/>
      </top>
      <bottom/>
      <diagonal/>
    </border>
    <border>
      <left/>
      <right/>
      <top/>
      <bottom style="medium">
        <color indexed="64"/>
      </bottom>
      <diagonal/>
    </border>
  </borders>
  <cellStyleXfs count="1">
    <xf numFmtId="0" fontId="0" fillId="0" borderId="0"/>
  </cellStyleXfs>
  <cellXfs count="36">
    <xf numFmtId="0" fontId="0" fillId="0" borderId="0" xfId="0"/>
    <xf numFmtId="0" fontId="1" fillId="0" borderId="0" xfId="0" applyFont="1"/>
    <xf numFmtId="0" fontId="2" fillId="0" borderId="0" xfId="0" applyFont="1"/>
    <xf numFmtId="0" fontId="1" fillId="0" borderId="1" xfId="0" applyFont="1" applyBorder="1" applyAlignment="1">
      <alignment horizontal="left"/>
    </xf>
    <xf numFmtId="0" fontId="2" fillId="0" borderId="1" xfId="0" applyFont="1" applyBorder="1" applyAlignment="1">
      <alignment horizontal="center"/>
    </xf>
    <xf numFmtId="0" fontId="2" fillId="0" borderId="1" xfId="0" applyFont="1" applyBorder="1"/>
    <xf numFmtId="0" fontId="2" fillId="0" borderId="2" xfId="0" applyFont="1" applyBorder="1" applyAlignment="1">
      <alignment textRotation="90"/>
    </xf>
    <xf numFmtId="0" fontId="2" fillId="0" borderId="3" xfId="0" applyFont="1" applyBorder="1" applyAlignment="1">
      <alignment textRotation="90"/>
    </xf>
    <xf numFmtId="0" fontId="2" fillId="0" borderId="4" xfId="0" applyFont="1" applyBorder="1" applyAlignment="1">
      <alignment textRotation="90"/>
    </xf>
    <xf numFmtId="0" fontId="3" fillId="0" borderId="4" xfId="0" applyFont="1" applyBorder="1" applyAlignment="1">
      <alignment horizontal="center" textRotation="90"/>
    </xf>
    <xf numFmtId="0" fontId="2" fillId="0" borderId="5" xfId="0" applyFont="1" applyBorder="1" applyAlignment="1">
      <alignment horizontal="left" vertical="top" readingOrder="1"/>
    </xf>
    <xf numFmtId="0" fontId="2" fillId="0" borderId="1" xfId="0" applyFont="1" applyBorder="1" applyAlignment="1">
      <alignment horizontal="left" vertical="top" readingOrder="1"/>
    </xf>
    <xf numFmtId="0" fontId="2" fillId="0" borderId="4" xfId="0" applyFont="1" applyBorder="1" applyAlignment="1">
      <alignment horizontal="left" vertical="top" readingOrder="1"/>
    </xf>
    <xf numFmtId="0" fontId="2" fillId="0" borderId="4" xfId="0" applyFont="1" applyBorder="1"/>
    <xf numFmtId="0" fontId="2" fillId="0" borderId="5" xfId="0" applyFont="1" applyBorder="1"/>
    <xf numFmtId="0" fontId="3" fillId="0" borderId="1" xfId="0" applyFont="1" applyBorder="1"/>
    <xf numFmtId="0" fontId="2" fillId="0" borderId="4" xfId="0" applyFont="1" applyBorder="1" applyAlignment="1">
      <alignment horizontal="center"/>
    </xf>
    <xf numFmtId="0" fontId="2" fillId="0" borderId="5" xfId="0" applyFont="1" applyBorder="1" applyAlignment="1">
      <alignment horizontal="right" indent="1"/>
    </xf>
    <xf numFmtId="0" fontId="2" fillId="0" borderId="6" xfId="0" applyFont="1" applyBorder="1" applyAlignment="1">
      <alignment horizontal="left"/>
    </xf>
    <xf numFmtId="0" fontId="3" fillId="0" borderId="4" xfId="0" applyFont="1" applyBorder="1"/>
    <xf numFmtId="0" fontId="2" fillId="0" borderId="4" xfId="0" applyFont="1" applyBorder="1" applyAlignment="1">
      <alignment horizontal="left"/>
    </xf>
    <xf numFmtId="0" fontId="2" fillId="0" borderId="4" xfId="0" applyFont="1" applyBorder="1" applyAlignment="1">
      <alignment horizontal="right" indent="1"/>
    </xf>
    <xf numFmtId="0" fontId="0" fillId="0" borderId="4" xfId="0" applyBorder="1"/>
    <xf numFmtId="0" fontId="2" fillId="0" borderId="4" xfId="0" applyFont="1" applyBorder="1" applyAlignment="1">
      <alignment horizontal="left"/>
    </xf>
    <xf numFmtId="0" fontId="3" fillId="0" borderId="4" xfId="0" applyFont="1" applyBorder="1" applyAlignment="1">
      <alignment horizontal="left"/>
    </xf>
    <xf numFmtId="0" fontId="2" fillId="0" borderId="7" xfId="0" applyFont="1" applyBorder="1"/>
    <xf numFmtId="0" fontId="2" fillId="0" borderId="8" xfId="0" applyFont="1" applyBorder="1"/>
    <xf numFmtId="0" fontId="2" fillId="0" borderId="2" xfId="0" applyFont="1" applyBorder="1" applyAlignment="1">
      <alignment horizontal="right" indent="1"/>
    </xf>
    <xf numFmtId="0" fontId="4" fillId="0" borderId="4" xfId="0" applyFont="1" applyBorder="1"/>
    <xf numFmtId="0" fontId="5" fillId="0" borderId="4" xfId="0" applyFont="1" applyBorder="1"/>
    <xf numFmtId="0" fontId="5" fillId="0" borderId="3" xfId="0" applyFont="1" applyBorder="1"/>
    <xf numFmtId="0" fontId="5" fillId="0" borderId="9" xfId="0" applyFont="1" applyBorder="1"/>
    <xf numFmtId="0" fontId="5" fillId="0" borderId="10" xfId="0" applyFont="1" applyBorder="1"/>
    <xf numFmtId="0" fontId="2" fillId="0" borderId="11" xfId="0" applyFont="1" applyBorder="1" applyAlignment="1">
      <alignment horizontal="left" wrapText="1"/>
    </xf>
    <xf numFmtId="0" fontId="2" fillId="0" borderId="12" xfId="0" applyFont="1" applyBorder="1" applyAlignment="1">
      <alignment horizontal="center"/>
    </xf>
    <xf numFmtId="0" fontId="2" fillId="0" borderId="12"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25746-F708-46F1-9B57-A72C111E6C07}">
  <dimension ref="A1:AM390"/>
  <sheetViews>
    <sheetView tabSelected="1" topLeftCell="A340" workbookViewId="0">
      <selection activeCell="G12" sqref="G12"/>
    </sheetView>
  </sheetViews>
  <sheetFormatPr defaultRowHeight="15" x14ac:dyDescent="0.25"/>
  <cols>
    <col min="1" max="1" width="87.28515625" bestFit="1" customWidth="1"/>
    <col min="2" max="2" width="28.42578125" bestFit="1" customWidth="1"/>
    <col min="3" max="3" width="4.42578125" bestFit="1" customWidth="1"/>
    <col min="4" max="5" width="3.5703125" bestFit="1" customWidth="1"/>
    <col min="6" max="6" width="4.42578125" bestFit="1" customWidth="1"/>
    <col min="7" max="7" width="3.5703125" bestFit="1" customWidth="1"/>
    <col min="8" max="10" width="4.42578125" bestFit="1" customWidth="1"/>
    <col min="11" max="28" width="3.5703125" bestFit="1" customWidth="1"/>
    <col min="29" max="29" width="4.42578125" bestFit="1" customWidth="1"/>
    <col min="30" max="38" width="3.5703125" bestFit="1" customWidth="1"/>
    <col min="39" max="39" width="5.5703125" bestFit="1" customWidth="1"/>
  </cols>
  <sheetData>
    <row r="1" spans="1:39" ht="15.75" x14ac:dyDescent="0.25">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row>
    <row r="2" spans="1:39" ht="15.75" x14ac:dyDescent="0.25">
      <c r="A2" s="3" t="s">
        <v>1</v>
      </c>
      <c r="B2" s="3"/>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4"/>
      <c r="AL2" s="4"/>
      <c r="AM2" s="5"/>
    </row>
    <row r="3" spans="1:39" ht="147" x14ac:dyDescent="0.25">
      <c r="A3" s="6"/>
      <c r="B3" s="7"/>
      <c r="C3" s="7" t="s">
        <v>2</v>
      </c>
      <c r="D3" s="8" t="s">
        <v>3</v>
      </c>
      <c r="E3" s="8" t="s">
        <v>4</v>
      </c>
      <c r="F3" s="8" t="s">
        <v>5</v>
      </c>
      <c r="G3" s="8" t="s">
        <v>6</v>
      </c>
      <c r="H3" s="8" t="s">
        <v>7</v>
      </c>
      <c r="I3" s="8" t="s">
        <v>8</v>
      </c>
      <c r="J3" s="8" t="s">
        <v>9</v>
      </c>
      <c r="K3" s="8" t="s">
        <v>10</v>
      </c>
      <c r="L3" s="8" t="s">
        <v>11</v>
      </c>
      <c r="M3" s="8" t="s">
        <v>12</v>
      </c>
      <c r="N3" s="8" t="s">
        <v>13</v>
      </c>
      <c r="O3" s="8" t="s">
        <v>14</v>
      </c>
      <c r="P3" s="8" t="s">
        <v>15</v>
      </c>
      <c r="Q3" s="8" t="s">
        <v>16</v>
      </c>
      <c r="R3" s="8" t="s">
        <v>17</v>
      </c>
      <c r="S3" s="8" t="s">
        <v>18</v>
      </c>
      <c r="T3" s="8" t="s">
        <v>19</v>
      </c>
      <c r="U3" s="8" t="s">
        <v>20</v>
      </c>
      <c r="V3" s="8" t="s">
        <v>21</v>
      </c>
      <c r="W3" s="8" t="s">
        <v>22</v>
      </c>
      <c r="X3" s="8" t="s">
        <v>23</v>
      </c>
      <c r="Y3" s="8" t="s">
        <v>24</v>
      </c>
      <c r="Z3" s="8" t="s">
        <v>25</v>
      </c>
      <c r="AA3" s="8" t="s">
        <v>26</v>
      </c>
      <c r="AB3" s="8" t="s">
        <v>27</v>
      </c>
      <c r="AC3" s="8" t="s">
        <v>28</v>
      </c>
      <c r="AD3" s="8" t="s">
        <v>29</v>
      </c>
      <c r="AE3" s="8" t="s">
        <v>30</v>
      </c>
      <c r="AF3" s="8" t="s">
        <v>31</v>
      </c>
      <c r="AG3" s="8" t="s">
        <v>32</v>
      </c>
      <c r="AH3" s="8" t="s">
        <v>33</v>
      </c>
      <c r="AI3" s="8" t="s">
        <v>34</v>
      </c>
      <c r="AJ3" s="8" t="s">
        <v>35</v>
      </c>
      <c r="AK3" s="8" t="s">
        <v>36</v>
      </c>
      <c r="AL3" s="8" t="s">
        <v>37</v>
      </c>
      <c r="AM3" s="9" t="s">
        <v>38</v>
      </c>
    </row>
    <row r="4" spans="1:39" x14ac:dyDescent="0.25">
      <c r="A4" s="10" t="s">
        <v>39</v>
      </c>
      <c r="B4" s="11"/>
      <c r="C4" s="12"/>
      <c r="D4" s="12"/>
      <c r="E4" s="12"/>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9"/>
    </row>
    <row r="5" spans="1:39" x14ac:dyDescent="0.25">
      <c r="A5" s="10"/>
      <c r="B5" s="11" t="s">
        <v>40</v>
      </c>
      <c r="C5" s="12">
        <v>2</v>
      </c>
      <c r="D5" s="12">
        <v>0</v>
      </c>
      <c r="E5" s="12">
        <v>0</v>
      </c>
      <c r="F5" s="13">
        <v>6</v>
      </c>
      <c r="G5" s="13">
        <v>0</v>
      </c>
      <c r="H5" s="13">
        <v>8</v>
      </c>
      <c r="I5" s="13">
        <v>5</v>
      </c>
      <c r="J5" s="13">
        <v>4</v>
      </c>
      <c r="K5" s="13">
        <v>0</v>
      </c>
      <c r="L5" s="13">
        <v>1</v>
      </c>
      <c r="M5" s="13">
        <v>0</v>
      </c>
      <c r="N5" s="13">
        <v>0</v>
      </c>
      <c r="O5" s="13">
        <v>0</v>
      </c>
      <c r="P5" s="13">
        <v>0</v>
      </c>
      <c r="Q5" s="13">
        <v>0</v>
      </c>
      <c r="R5" s="13">
        <v>2</v>
      </c>
      <c r="S5" s="13">
        <v>0</v>
      </c>
      <c r="T5" s="13">
        <v>0</v>
      </c>
      <c r="U5" s="13">
        <v>0</v>
      </c>
      <c r="V5" s="13">
        <v>0</v>
      </c>
      <c r="W5" s="13">
        <v>0</v>
      </c>
      <c r="X5" s="13">
        <v>0</v>
      </c>
      <c r="Y5" s="13">
        <v>1</v>
      </c>
      <c r="Z5" s="13">
        <v>0</v>
      </c>
      <c r="AA5" s="13">
        <v>0</v>
      </c>
      <c r="AB5" s="13">
        <v>3</v>
      </c>
      <c r="AC5" s="13">
        <v>4</v>
      </c>
      <c r="AD5" s="13">
        <v>0</v>
      </c>
      <c r="AE5" s="13">
        <v>0</v>
      </c>
      <c r="AF5" s="13">
        <v>1</v>
      </c>
      <c r="AG5" s="13">
        <v>1</v>
      </c>
      <c r="AH5" s="13">
        <v>1</v>
      </c>
      <c r="AI5" s="13">
        <v>10</v>
      </c>
      <c r="AJ5" s="13">
        <v>0</v>
      </c>
      <c r="AK5" s="13">
        <v>0</v>
      </c>
      <c r="AL5" s="13">
        <v>0</v>
      </c>
      <c r="AM5" s="13">
        <f>SUM(C5:AL5)</f>
        <v>49</v>
      </c>
    </row>
    <row r="6" spans="1:39" x14ac:dyDescent="0.25">
      <c r="A6" s="10"/>
      <c r="B6" s="11" t="s">
        <v>41</v>
      </c>
      <c r="C6" s="12">
        <v>2</v>
      </c>
      <c r="D6" s="12">
        <v>0</v>
      </c>
      <c r="E6" s="12">
        <v>0</v>
      </c>
      <c r="F6" s="13">
        <v>1</v>
      </c>
      <c r="G6" s="13">
        <v>1</v>
      </c>
      <c r="H6" s="13">
        <v>2</v>
      </c>
      <c r="I6" s="13">
        <v>2</v>
      </c>
      <c r="J6" s="13">
        <v>0</v>
      </c>
      <c r="K6" s="13">
        <v>0</v>
      </c>
      <c r="L6" s="13">
        <v>0</v>
      </c>
      <c r="M6" s="13">
        <v>0</v>
      </c>
      <c r="N6" s="13">
        <v>0</v>
      </c>
      <c r="O6" s="13">
        <v>0</v>
      </c>
      <c r="P6" s="13">
        <v>0</v>
      </c>
      <c r="Q6" s="13">
        <v>0</v>
      </c>
      <c r="R6" s="13">
        <v>0</v>
      </c>
      <c r="S6" s="13">
        <v>0</v>
      </c>
      <c r="T6" s="13">
        <v>0</v>
      </c>
      <c r="U6" s="13">
        <v>0</v>
      </c>
      <c r="V6" s="13">
        <v>0</v>
      </c>
      <c r="W6" s="13">
        <v>0</v>
      </c>
      <c r="X6" s="13">
        <v>1</v>
      </c>
      <c r="Y6" s="13">
        <v>1</v>
      </c>
      <c r="Z6" s="13">
        <v>0</v>
      </c>
      <c r="AA6" s="13">
        <v>0</v>
      </c>
      <c r="AB6" s="13">
        <v>0</v>
      </c>
      <c r="AC6" s="13">
        <v>1</v>
      </c>
      <c r="AD6" s="13">
        <v>0</v>
      </c>
      <c r="AE6" s="13">
        <v>0</v>
      </c>
      <c r="AF6" s="13">
        <v>0</v>
      </c>
      <c r="AG6" s="13">
        <v>0</v>
      </c>
      <c r="AH6" s="13">
        <v>0</v>
      </c>
      <c r="AI6" s="13">
        <v>0</v>
      </c>
      <c r="AJ6" s="13">
        <v>0</v>
      </c>
      <c r="AK6" s="13">
        <v>0</v>
      </c>
      <c r="AL6" s="13">
        <v>0</v>
      </c>
      <c r="AM6" s="13">
        <f>SUM(C6:AL6)</f>
        <v>11</v>
      </c>
    </row>
    <row r="7" spans="1:39" x14ac:dyDescent="0.25">
      <c r="A7" s="14"/>
      <c r="B7" s="15" t="s">
        <v>42</v>
      </c>
      <c r="C7" s="13">
        <v>103</v>
      </c>
      <c r="D7" s="13">
        <v>30</v>
      </c>
      <c r="E7" s="16">
        <v>59</v>
      </c>
      <c r="F7" s="13">
        <v>217</v>
      </c>
      <c r="G7" s="13">
        <v>63</v>
      </c>
      <c r="H7" s="13">
        <v>371</v>
      </c>
      <c r="I7" s="13">
        <v>276</v>
      </c>
      <c r="J7" s="13">
        <v>287</v>
      </c>
      <c r="K7" s="13">
        <v>1</v>
      </c>
      <c r="L7" s="13">
        <v>62</v>
      </c>
      <c r="M7" s="13">
        <v>16</v>
      </c>
      <c r="N7" s="13">
        <v>37</v>
      </c>
      <c r="O7" s="13">
        <v>23</v>
      </c>
      <c r="P7" s="13">
        <v>30</v>
      </c>
      <c r="Q7" s="13">
        <v>18</v>
      </c>
      <c r="R7" s="13">
        <v>32</v>
      </c>
      <c r="S7" s="13">
        <v>26</v>
      </c>
      <c r="T7" s="13">
        <v>49</v>
      </c>
      <c r="U7" s="13">
        <v>51</v>
      </c>
      <c r="V7" s="13">
        <v>28</v>
      </c>
      <c r="W7" s="13">
        <v>12</v>
      </c>
      <c r="X7" s="13">
        <v>21</v>
      </c>
      <c r="Y7" s="13">
        <v>35</v>
      </c>
      <c r="Z7" s="13">
        <v>29</v>
      </c>
      <c r="AA7" s="13">
        <v>53</v>
      </c>
      <c r="AB7" s="13">
        <v>59</v>
      </c>
      <c r="AC7" s="13">
        <v>144</v>
      </c>
      <c r="AD7" s="13">
        <v>14</v>
      </c>
      <c r="AE7" s="13">
        <v>56</v>
      </c>
      <c r="AF7" s="13">
        <v>37</v>
      </c>
      <c r="AG7" s="13">
        <v>18</v>
      </c>
      <c r="AH7" s="13">
        <v>48</v>
      </c>
      <c r="AI7" s="13">
        <v>22</v>
      </c>
      <c r="AJ7" s="13">
        <v>16</v>
      </c>
      <c r="AK7" s="13">
        <v>9</v>
      </c>
      <c r="AL7" s="13">
        <v>4</v>
      </c>
      <c r="AM7" s="13">
        <f>SUM(C7:AL7)</f>
        <v>2356</v>
      </c>
    </row>
    <row r="8" spans="1:39" x14ac:dyDescent="0.25">
      <c r="A8" s="14"/>
      <c r="B8" s="5" t="s">
        <v>43</v>
      </c>
      <c r="C8" s="13">
        <v>14</v>
      </c>
      <c r="D8" s="13">
        <v>2</v>
      </c>
      <c r="E8" s="16">
        <v>9</v>
      </c>
      <c r="F8" s="13">
        <v>34</v>
      </c>
      <c r="G8" s="13">
        <v>14</v>
      </c>
      <c r="H8" s="13">
        <v>65</v>
      </c>
      <c r="I8" s="13">
        <v>46</v>
      </c>
      <c r="J8" s="13">
        <v>50</v>
      </c>
      <c r="K8" s="13">
        <v>1</v>
      </c>
      <c r="L8" s="13">
        <v>7</v>
      </c>
      <c r="M8" s="13">
        <v>4</v>
      </c>
      <c r="N8" s="13">
        <v>10</v>
      </c>
      <c r="O8" s="13">
        <v>3</v>
      </c>
      <c r="P8" s="13">
        <v>3</v>
      </c>
      <c r="Q8" s="13">
        <v>1</v>
      </c>
      <c r="R8" s="13">
        <v>2</v>
      </c>
      <c r="S8" s="13">
        <v>1</v>
      </c>
      <c r="T8" s="13">
        <v>3</v>
      </c>
      <c r="U8" s="13">
        <v>3</v>
      </c>
      <c r="V8" s="13">
        <v>1</v>
      </c>
      <c r="W8" s="13">
        <v>3</v>
      </c>
      <c r="X8" s="13">
        <v>2</v>
      </c>
      <c r="Y8" s="13">
        <v>0</v>
      </c>
      <c r="Z8" s="13">
        <v>3</v>
      </c>
      <c r="AA8" s="13">
        <v>3</v>
      </c>
      <c r="AB8" s="13">
        <v>19</v>
      </c>
      <c r="AC8" s="13">
        <v>12</v>
      </c>
      <c r="AD8" s="13">
        <v>1</v>
      </c>
      <c r="AE8" s="13">
        <v>5</v>
      </c>
      <c r="AF8" s="13">
        <v>2</v>
      </c>
      <c r="AG8" s="13">
        <v>0</v>
      </c>
      <c r="AH8" s="13">
        <v>7</v>
      </c>
      <c r="AI8" s="13">
        <v>0</v>
      </c>
      <c r="AJ8" s="13">
        <v>0</v>
      </c>
      <c r="AK8" s="13">
        <v>1</v>
      </c>
      <c r="AL8" s="13">
        <v>0</v>
      </c>
      <c r="AM8" s="13">
        <f>SUM(C8:AL8)</f>
        <v>331</v>
      </c>
    </row>
    <row r="9" spans="1:39" x14ac:dyDescent="0.25">
      <c r="A9" s="17" t="s">
        <v>44</v>
      </c>
      <c r="B9" s="5"/>
      <c r="C9" s="13"/>
      <c r="D9" s="13"/>
      <c r="E9" s="16"/>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row>
    <row r="10" spans="1:39" x14ac:dyDescent="0.25">
      <c r="A10" s="17"/>
      <c r="B10" s="5" t="s">
        <v>45</v>
      </c>
      <c r="C10" s="13"/>
      <c r="D10" s="13"/>
      <c r="E10" s="16"/>
      <c r="F10" s="13"/>
      <c r="G10" s="13"/>
      <c r="H10" s="13"/>
      <c r="I10" s="13"/>
      <c r="J10" s="13"/>
      <c r="K10" s="13"/>
      <c r="L10" s="13"/>
      <c r="M10" s="13"/>
      <c r="N10" s="13"/>
      <c r="O10" s="13"/>
      <c r="P10" s="13"/>
      <c r="Q10" s="13"/>
      <c r="R10" s="13"/>
      <c r="S10" s="13"/>
      <c r="T10" s="13"/>
      <c r="U10" s="13"/>
      <c r="V10" s="13"/>
      <c r="W10" s="13"/>
      <c r="X10" s="13"/>
      <c r="Y10" s="13"/>
      <c r="Z10" s="13"/>
      <c r="AA10" s="13"/>
      <c r="AB10" s="13"/>
      <c r="AC10" s="13">
        <v>1</v>
      </c>
      <c r="AD10" s="13"/>
      <c r="AE10" s="13"/>
      <c r="AF10" s="13"/>
      <c r="AG10" s="13"/>
      <c r="AH10" s="13"/>
      <c r="AI10" s="13"/>
      <c r="AJ10" s="13"/>
      <c r="AK10" s="13">
        <v>1</v>
      </c>
      <c r="AL10" s="13"/>
      <c r="AM10" s="13">
        <f>SUM(C10:AL10)</f>
        <v>2</v>
      </c>
    </row>
    <row r="11" spans="1:39" x14ac:dyDescent="0.25">
      <c r="A11" s="17"/>
      <c r="B11" s="5" t="s">
        <v>46</v>
      </c>
      <c r="C11" s="13"/>
      <c r="D11" s="13"/>
      <c r="E11" s="16"/>
      <c r="F11" s="13"/>
      <c r="G11" s="13">
        <v>1</v>
      </c>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f>SUM(C11:AL11)</f>
        <v>1</v>
      </c>
    </row>
    <row r="12" spans="1:39" x14ac:dyDescent="0.25">
      <c r="A12" s="17"/>
      <c r="B12" s="5"/>
      <c r="C12" s="13"/>
      <c r="D12" s="13"/>
      <c r="E12" s="16"/>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9"/>
    </row>
    <row r="13" spans="1:39" x14ac:dyDescent="0.25">
      <c r="A13" s="18" t="s">
        <v>47</v>
      </c>
      <c r="B13" s="18"/>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row>
    <row r="14" spans="1:39" x14ac:dyDescent="0.25">
      <c r="A14" s="13"/>
      <c r="B14" s="19" t="s">
        <v>48</v>
      </c>
      <c r="C14" s="13">
        <v>106</v>
      </c>
      <c r="D14" s="13">
        <v>27</v>
      </c>
      <c r="E14" s="13">
        <v>54</v>
      </c>
      <c r="F14" s="13">
        <v>232</v>
      </c>
      <c r="G14" s="13">
        <v>69</v>
      </c>
      <c r="H14" s="13">
        <v>388</v>
      </c>
      <c r="I14" s="13">
        <v>276</v>
      </c>
      <c r="J14" s="13">
        <v>303</v>
      </c>
      <c r="K14" s="13">
        <v>2</v>
      </c>
      <c r="L14" s="13">
        <v>60</v>
      </c>
      <c r="M14" s="13">
        <v>18</v>
      </c>
      <c r="N14" s="13">
        <v>39</v>
      </c>
      <c r="O14" s="13">
        <v>23</v>
      </c>
      <c r="P14" s="13">
        <v>30</v>
      </c>
      <c r="Q14" s="13">
        <v>19</v>
      </c>
      <c r="R14" s="13">
        <v>33</v>
      </c>
      <c r="S14" s="13">
        <v>25</v>
      </c>
      <c r="T14" s="13">
        <v>49</v>
      </c>
      <c r="U14" s="13">
        <v>50</v>
      </c>
      <c r="V14" s="13">
        <v>26</v>
      </c>
      <c r="W14" s="13">
        <v>14</v>
      </c>
      <c r="X14" s="13">
        <v>22</v>
      </c>
      <c r="Y14" s="13">
        <v>37</v>
      </c>
      <c r="Z14" s="13">
        <v>30</v>
      </c>
      <c r="AA14" s="13">
        <v>53</v>
      </c>
      <c r="AB14" s="13">
        <v>67</v>
      </c>
      <c r="AC14" s="13">
        <v>146</v>
      </c>
      <c r="AD14" s="13">
        <v>14</v>
      </c>
      <c r="AE14" s="13">
        <v>55</v>
      </c>
      <c r="AF14" s="13">
        <v>38</v>
      </c>
      <c r="AG14" s="13">
        <v>18</v>
      </c>
      <c r="AH14" s="13">
        <v>49</v>
      </c>
      <c r="AI14" s="13">
        <v>22</v>
      </c>
      <c r="AJ14" s="13">
        <v>15</v>
      </c>
      <c r="AK14" s="13">
        <v>8</v>
      </c>
      <c r="AL14" s="13">
        <v>4</v>
      </c>
      <c r="AM14" s="13">
        <f>SUM(C14:AL14)</f>
        <v>2421</v>
      </c>
    </row>
    <row r="15" spans="1:39" x14ac:dyDescent="0.25">
      <c r="A15" s="13"/>
      <c r="B15" s="13" t="s">
        <v>49</v>
      </c>
      <c r="C15" s="13">
        <v>10</v>
      </c>
      <c r="D15" s="13">
        <v>4</v>
      </c>
      <c r="E15" s="13">
        <v>9</v>
      </c>
      <c r="F15" s="13">
        <v>22</v>
      </c>
      <c r="G15" s="13">
        <v>8</v>
      </c>
      <c r="H15" s="13">
        <v>53</v>
      </c>
      <c r="I15" s="13">
        <v>2</v>
      </c>
      <c r="J15" s="13">
        <v>33</v>
      </c>
      <c r="K15" s="13">
        <v>0</v>
      </c>
      <c r="L15" s="13">
        <v>5</v>
      </c>
      <c r="M15" s="13">
        <v>2</v>
      </c>
      <c r="N15" s="13">
        <v>6</v>
      </c>
      <c r="O15" s="13">
        <v>3</v>
      </c>
      <c r="P15" s="13">
        <v>2</v>
      </c>
      <c r="Q15" s="13">
        <v>0</v>
      </c>
      <c r="R15" s="13">
        <v>2</v>
      </c>
      <c r="S15" s="13">
        <v>1</v>
      </c>
      <c r="T15" s="13">
        <v>2</v>
      </c>
      <c r="U15" s="13">
        <v>2</v>
      </c>
      <c r="V15" s="13">
        <v>2</v>
      </c>
      <c r="W15" s="13">
        <v>1</v>
      </c>
      <c r="X15" s="13">
        <v>1</v>
      </c>
      <c r="Y15" s="13">
        <v>0</v>
      </c>
      <c r="Z15" s="13">
        <v>2</v>
      </c>
      <c r="AA15" s="13">
        <v>2</v>
      </c>
      <c r="AB15" s="13">
        <v>11</v>
      </c>
      <c r="AC15" s="13">
        <v>13</v>
      </c>
      <c r="AD15" s="13">
        <v>1</v>
      </c>
      <c r="AE15" s="13">
        <v>4</v>
      </c>
      <c r="AF15" s="13">
        <v>2</v>
      </c>
      <c r="AG15" s="13">
        <v>1</v>
      </c>
      <c r="AH15" s="13">
        <v>5</v>
      </c>
      <c r="AI15" s="13">
        <v>0</v>
      </c>
      <c r="AJ15" s="13">
        <v>0</v>
      </c>
      <c r="AK15" s="13">
        <v>2</v>
      </c>
      <c r="AL15" s="13">
        <v>0</v>
      </c>
      <c r="AM15" s="13">
        <f>SUM(C15:AL15)</f>
        <v>213</v>
      </c>
    </row>
    <row r="16" spans="1:39"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row>
    <row r="17" spans="1:39" x14ac:dyDescent="0.25">
      <c r="A17" s="20" t="s">
        <v>50</v>
      </c>
      <c r="B17" s="20"/>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row>
    <row r="18" spans="1:39" x14ac:dyDescent="0.25">
      <c r="A18" s="13"/>
      <c r="B18" s="19" t="s">
        <v>51</v>
      </c>
      <c r="C18" s="13">
        <v>111</v>
      </c>
      <c r="D18" s="13">
        <v>29</v>
      </c>
      <c r="E18" s="13">
        <v>60</v>
      </c>
      <c r="F18" s="13"/>
      <c r="G18" s="13"/>
      <c r="H18" s="13">
        <v>410</v>
      </c>
      <c r="I18" s="13">
        <v>300</v>
      </c>
      <c r="J18" s="13">
        <v>317</v>
      </c>
      <c r="K18" s="13">
        <v>2</v>
      </c>
      <c r="L18" s="13"/>
      <c r="M18" s="13"/>
      <c r="N18" s="13">
        <v>43</v>
      </c>
      <c r="O18" s="13"/>
      <c r="P18" s="13"/>
      <c r="Q18" s="13">
        <v>19</v>
      </c>
      <c r="R18" s="13">
        <v>34</v>
      </c>
      <c r="S18" s="13"/>
      <c r="T18" s="13">
        <v>46</v>
      </c>
      <c r="U18" s="13">
        <v>49</v>
      </c>
      <c r="V18" s="13">
        <v>28</v>
      </c>
      <c r="W18" s="13"/>
      <c r="X18" s="13">
        <v>22</v>
      </c>
      <c r="Y18" s="13">
        <v>36</v>
      </c>
      <c r="Z18" s="13"/>
      <c r="AA18" s="13"/>
      <c r="AB18" s="13"/>
      <c r="AC18" s="13">
        <v>151</v>
      </c>
      <c r="AD18" s="13"/>
      <c r="AE18" s="13">
        <v>57</v>
      </c>
      <c r="AF18" s="13"/>
      <c r="AG18" s="13">
        <v>19</v>
      </c>
      <c r="AH18" s="13">
        <v>52</v>
      </c>
      <c r="AI18" s="13">
        <v>21</v>
      </c>
      <c r="AJ18" s="13"/>
      <c r="AK18" s="13">
        <v>8</v>
      </c>
      <c r="AL18" s="13">
        <v>3</v>
      </c>
      <c r="AM18" s="13">
        <f>SUM(C18:AL18)</f>
        <v>1817</v>
      </c>
    </row>
    <row r="19" spans="1:39"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row>
    <row r="20" spans="1:39" x14ac:dyDescent="0.25">
      <c r="A20" s="20" t="s">
        <v>52</v>
      </c>
      <c r="B20" s="20"/>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row>
    <row r="21" spans="1:39" x14ac:dyDescent="0.25">
      <c r="A21" s="13"/>
      <c r="B21" s="19" t="s">
        <v>53</v>
      </c>
      <c r="C21" s="13"/>
      <c r="D21" s="13"/>
      <c r="E21" s="13"/>
      <c r="F21" s="13">
        <v>237</v>
      </c>
      <c r="G21" s="13">
        <v>75</v>
      </c>
      <c r="H21" s="13"/>
      <c r="I21" s="13"/>
      <c r="J21" s="13"/>
      <c r="K21" s="13"/>
      <c r="L21" s="13">
        <v>58</v>
      </c>
      <c r="M21" s="13">
        <v>17</v>
      </c>
      <c r="N21" s="13"/>
      <c r="O21" s="13">
        <v>24</v>
      </c>
      <c r="P21" s="13">
        <v>30</v>
      </c>
      <c r="Q21" s="13"/>
      <c r="R21" s="13"/>
      <c r="S21" s="13">
        <v>26</v>
      </c>
      <c r="T21" s="13"/>
      <c r="U21" s="13"/>
      <c r="V21" s="13"/>
      <c r="W21" s="13">
        <v>15</v>
      </c>
      <c r="X21" s="13"/>
      <c r="Y21" s="13"/>
      <c r="Z21" s="13">
        <v>28</v>
      </c>
      <c r="AA21" s="13">
        <v>56</v>
      </c>
      <c r="AB21" s="13">
        <v>75</v>
      </c>
      <c r="AC21" s="13"/>
      <c r="AD21" s="13">
        <v>15</v>
      </c>
      <c r="AE21" s="13"/>
      <c r="AF21" s="13">
        <v>38</v>
      </c>
      <c r="AG21" s="13"/>
      <c r="AH21" s="13"/>
      <c r="AI21" s="13"/>
      <c r="AJ21" s="13">
        <v>15</v>
      </c>
      <c r="AK21" s="13"/>
      <c r="AL21" s="13"/>
      <c r="AM21" s="13">
        <f>SUM(C21:AL21)</f>
        <v>709</v>
      </c>
    </row>
    <row r="22" spans="1:39"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row>
    <row r="23" spans="1:39" x14ac:dyDescent="0.25">
      <c r="A23" s="20" t="s">
        <v>54</v>
      </c>
      <c r="B23" s="20"/>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row>
    <row r="24" spans="1:39" x14ac:dyDescent="0.25">
      <c r="A24" s="13"/>
      <c r="B24" s="19" t="s">
        <v>55</v>
      </c>
      <c r="C24" s="13">
        <v>107</v>
      </c>
      <c r="D24" s="13">
        <v>25</v>
      </c>
      <c r="E24" s="13">
        <v>58</v>
      </c>
      <c r="F24" s="13">
        <v>227</v>
      </c>
      <c r="G24" s="13">
        <v>70</v>
      </c>
      <c r="H24" s="13">
        <v>386</v>
      </c>
      <c r="I24" s="13">
        <v>269</v>
      </c>
      <c r="J24" s="13">
        <v>299</v>
      </c>
      <c r="K24" s="13">
        <v>2</v>
      </c>
      <c r="L24" s="13">
        <v>58</v>
      </c>
      <c r="M24" s="13">
        <v>19</v>
      </c>
      <c r="N24" s="13">
        <v>35</v>
      </c>
      <c r="O24" s="13">
        <v>22</v>
      </c>
      <c r="P24" s="13">
        <v>31</v>
      </c>
      <c r="Q24" s="13">
        <v>18</v>
      </c>
      <c r="R24" s="13">
        <v>35</v>
      </c>
      <c r="S24" s="13">
        <v>24</v>
      </c>
      <c r="T24" s="13">
        <v>47</v>
      </c>
      <c r="U24" s="13">
        <v>48</v>
      </c>
      <c r="V24" s="13">
        <v>26</v>
      </c>
      <c r="W24" s="13">
        <v>13</v>
      </c>
      <c r="X24" s="13">
        <v>23</v>
      </c>
      <c r="Y24" s="13">
        <v>31</v>
      </c>
      <c r="Z24" s="13">
        <v>31</v>
      </c>
      <c r="AA24" s="13">
        <v>50</v>
      </c>
      <c r="AB24" s="13">
        <v>68</v>
      </c>
      <c r="AC24" s="13">
        <v>143</v>
      </c>
      <c r="AD24" s="13">
        <v>14</v>
      </c>
      <c r="AE24" s="13">
        <v>58</v>
      </c>
      <c r="AF24" s="13">
        <v>38</v>
      </c>
      <c r="AG24" s="13">
        <v>19</v>
      </c>
      <c r="AH24" s="13">
        <v>45</v>
      </c>
      <c r="AI24" s="13">
        <v>22</v>
      </c>
      <c r="AJ24" s="13">
        <v>16</v>
      </c>
      <c r="AK24" s="13">
        <v>8</v>
      </c>
      <c r="AL24" s="13">
        <v>4</v>
      </c>
      <c r="AM24" s="13">
        <f>SUM(C24:AL24)</f>
        <v>2389</v>
      </c>
    </row>
    <row r="25" spans="1:39" x14ac:dyDescent="0.25">
      <c r="A25" s="13"/>
      <c r="B25" s="13" t="s">
        <v>56</v>
      </c>
      <c r="C25" s="13">
        <v>10</v>
      </c>
      <c r="D25" s="13">
        <v>6</v>
      </c>
      <c r="E25" s="13">
        <v>10</v>
      </c>
      <c r="F25" s="13">
        <v>27</v>
      </c>
      <c r="G25" s="13">
        <v>10</v>
      </c>
      <c r="H25" s="13">
        <v>58</v>
      </c>
      <c r="I25" s="13">
        <v>54</v>
      </c>
      <c r="J25" s="13">
        <v>41</v>
      </c>
      <c r="K25" s="13">
        <v>0</v>
      </c>
      <c r="L25" s="13">
        <v>9</v>
      </c>
      <c r="M25" s="13">
        <v>1</v>
      </c>
      <c r="N25" s="13">
        <v>9</v>
      </c>
      <c r="O25" s="13">
        <v>4</v>
      </c>
      <c r="P25" s="13">
        <v>2</v>
      </c>
      <c r="Q25" s="13">
        <v>1</v>
      </c>
      <c r="R25" s="13">
        <v>1</v>
      </c>
      <c r="S25" s="13">
        <v>2</v>
      </c>
      <c r="T25" s="13">
        <v>4</v>
      </c>
      <c r="U25" s="13">
        <v>2</v>
      </c>
      <c r="V25" s="13">
        <v>1</v>
      </c>
      <c r="W25" s="13">
        <v>2</v>
      </c>
      <c r="X25" s="13">
        <v>1</v>
      </c>
      <c r="Y25" s="13">
        <v>4</v>
      </c>
      <c r="Z25" s="13">
        <v>1</v>
      </c>
      <c r="AA25" s="13">
        <v>4</v>
      </c>
      <c r="AB25" s="13">
        <v>12</v>
      </c>
      <c r="AC25" s="13">
        <v>16</v>
      </c>
      <c r="AD25" s="13">
        <v>1</v>
      </c>
      <c r="AE25" s="13">
        <v>2</v>
      </c>
      <c r="AF25" s="13">
        <v>3</v>
      </c>
      <c r="AG25" s="13">
        <v>0</v>
      </c>
      <c r="AH25" s="13">
        <v>5</v>
      </c>
      <c r="AI25" s="13">
        <v>0</v>
      </c>
      <c r="AJ25" s="13">
        <v>0</v>
      </c>
      <c r="AK25" s="13">
        <v>2</v>
      </c>
      <c r="AL25" s="13">
        <v>0</v>
      </c>
      <c r="AM25" s="13">
        <f>SUM(C25:AL25)</f>
        <v>305</v>
      </c>
    </row>
    <row r="26" spans="1:39"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row>
    <row r="27" spans="1:39" x14ac:dyDescent="0.25">
      <c r="A27" s="20" t="s">
        <v>57</v>
      </c>
      <c r="B27" s="20"/>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row>
    <row r="28" spans="1:39" x14ac:dyDescent="0.25">
      <c r="A28" s="13"/>
      <c r="B28" s="19" t="s">
        <v>58</v>
      </c>
      <c r="C28" s="13">
        <v>100</v>
      </c>
      <c r="D28" s="13">
        <v>27</v>
      </c>
      <c r="E28" s="13">
        <v>60</v>
      </c>
      <c r="F28" s="13">
        <v>230</v>
      </c>
      <c r="G28" s="13">
        <v>73</v>
      </c>
      <c r="H28" s="13">
        <v>398</v>
      </c>
      <c r="I28" s="13">
        <v>291</v>
      </c>
      <c r="J28" s="13">
        <v>313</v>
      </c>
      <c r="K28" s="13">
        <v>2</v>
      </c>
      <c r="L28" s="13">
        <v>54</v>
      </c>
      <c r="M28" s="13">
        <v>20</v>
      </c>
      <c r="N28" s="13">
        <v>43</v>
      </c>
      <c r="O28" s="13">
        <v>24</v>
      </c>
      <c r="P28" s="13">
        <v>28</v>
      </c>
      <c r="Q28" s="13">
        <v>17</v>
      </c>
      <c r="R28" s="13">
        <v>33</v>
      </c>
      <c r="S28" s="13">
        <v>25</v>
      </c>
      <c r="T28" s="13">
        <v>45</v>
      </c>
      <c r="U28" s="13">
        <v>48</v>
      </c>
      <c r="V28" s="13">
        <v>24</v>
      </c>
      <c r="W28" s="13">
        <v>15</v>
      </c>
      <c r="X28" s="13">
        <v>20</v>
      </c>
      <c r="Y28" s="13">
        <v>35</v>
      </c>
      <c r="Z28" s="13">
        <v>26</v>
      </c>
      <c r="AA28" s="13">
        <v>53</v>
      </c>
      <c r="AB28" s="13">
        <v>72</v>
      </c>
      <c r="AC28" s="13">
        <v>149</v>
      </c>
      <c r="AD28" s="13">
        <v>15</v>
      </c>
      <c r="AE28" s="13">
        <v>49</v>
      </c>
      <c r="AF28" s="13">
        <v>40</v>
      </c>
      <c r="AG28" s="13">
        <v>14</v>
      </c>
      <c r="AH28" s="13">
        <v>52</v>
      </c>
      <c r="AI28" s="13">
        <v>21</v>
      </c>
      <c r="AJ28" s="13">
        <v>15</v>
      </c>
      <c r="AK28" s="13">
        <v>10</v>
      </c>
      <c r="AL28" s="13">
        <v>4</v>
      </c>
      <c r="AM28" s="13">
        <f>SUM(C28:AL28)</f>
        <v>2445</v>
      </c>
    </row>
    <row r="29" spans="1:39"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row>
    <row r="30" spans="1:39" x14ac:dyDescent="0.25">
      <c r="A30" s="20" t="s">
        <v>59</v>
      </c>
      <c r="B30" s="20"/>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row>
    <row r="31" spans="1:39" x14ac:dyDescent="0.25">
      <c r="A31" s="13"/>
      <c r="B31" s="19" t="s">
        <v>60</v>
      </c>
      <c r="C31" s="13">
        <v>101</v>
      </c>
      <c r="D31" s="13">
        <v>22</v>
      </c>
      <c r="E31" s="13">
        <v>56</v>
      </c>
      <c r="F31" s="13">
        <v>242</v>
      </c>
      <c r="G31" s="13">
        <v>72</v>
      </c>
      <c r="H31" s="13">
        <v>390</v>
      </c>
      <c r="I31" s="13">
        <v>283</v>
      </c>
      <c r="J31" s="13">
        <v>317</v>
      </c>
      <c r="K31" s="13">
        <v>2</v>
      </c>
      <c r="L31" s="13">
        <v>58</v>
      </c>
      <c r="M31" s="13">
        <v>20</v>
      </c>
      <c r="N31" s="13">
        <v>44</v>
      </c>
      <c r="O31" s="13">
        <v>24</v>
      </c>
      <c r="P31" s="13">
        <v>33</v>
      </c>
      <c r="Q31" s="13">
        <v>18</v>
      </c>
      <c r="R31" s="13">
        <v>32</v>
      </c>
      <c r="S31" s="13">
        <v>26</v>
      </c>
      <c r="T31" s="13">
        <v>41</v>
      </c>
      <c r="U31" s="13">
        <v>51</v>
      </c>
      <c r="V31" s="13">
        <v>24</v>
      </c>
      <c r="W31" s="13">
        <v>14</v>
      </c>
      <c r="X31" s="13">
        <v>21</v>
      </c>
      <c r="Y31" s="13">
        <v>33</v>
      </c>
      <c r="Z31" s="13">
        <v>25</v>
      </c>
      <c r="AA31" s="13">
        <v>54</v>
      </c>
      <c r="AB31" s="13">
        <v>74</v>
      </c>
      <c r="AC31" s="13">
        <v>147</v>
      </c>
      <c r="AD31" s="13">
        <v>15</v>
      </c>
      <c r="AE31" s="13">
        <v>50</v>
      </c>
      <c r="AF31" s="13">
        <v>41</v>
      </c>
      <c r="AG31" s="13">
        <v>14</v>
      </c>
      <c r="AH31" s="13">
        <v>50</v>
      </c>
      <c r="AI31" s="13">
        <v>21</v>
      </c>
      <c r="AJ31" s="13">
        <v>16</v>
      </c>
      <c r="AK31" s="13">
        <v>9</v>
      </c>
      <c r="AL31" s="13">
        <v>4</v>
      </c>
      <c r="AM31" s="13">
        <f>SUM(C31:AL31)</f>
        <v>2444</v>
      </c>
    </row>
    <row r="32" spans="1:39"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row>
    <row r="33" spans="1:39" x14ac:dyDescent="0.25">
      <c r="A33" s="20" t="s">
        <v>61</v>
      </c>
      <c r="B33" s="20"/>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row>
    <row r="34" spans="1:39" x14ac:dyDescent="0.25">
      <c r="A34" s="13"/>
      <c r="B34" s="19" t="s">
        <v>62</v>
      </c>
      <c r="C34" s="13"/>
      <c r="D34" s="13"/>
      <c r="E34" s="13"/>
      <c r="F34" s="13"/>
      <c r="G34" s="13"/>
      <c r="H34" s="13">
        <v>322</v>
      </c>
      <c r="I34" s="13"/>
      <c r="J34" s="13">
        <v>264</v>
      </c>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f>SUM(C34:AL34)</f>
        <v>586</v>
      </c>
    </row>
    <row r="35" spans="1:39" x14ac:dyDescent="0.25">
      <c r="A35" s="13"/>
      <c r="B35" s="13" t="s">
        <v>63</v>
      </c>
      <c r="C35" s="13"/>
      <c r="D35" s="13"/>
      <c r="E35" s="13"/>
      <c r="F35" s="13"/>
      <c r="G35" s="13"/>
      <c r="H35" s="13">
        <v>52</v>
      </c>
      <c r="I35" s="13"/>
      <c r="J35" s="13">
        <v>40</v>
      </c>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f>SUM(C35:AL35)</f>
        <v>92</v>
      </c>
    </row>
    <row r="36" spans="1:39" x14ac:dyDescent="0.25">
      <c r="A36" s="21" t="s">
        <v>44</v>
      </c>
      <c r="B36" s="13" t="s">
        <v>64</v>
      </c>
      <c r="C36" s="13"/>
      <c r="D36" s="13"/>
      <c r="E36" s="13"/>
      <c r="F36" s="13"/>
      <c r="G36" s="13"/>
      <c r="H36" s="13">
        <v>56</v>
      </c>
      <c r="I36" s="13"/>
      <c r="J36" s="13">
        <v>34</v>
      </c>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f>SUM(C36:AL36)</f>
        <v>90</v>
      </c>
    </row>
    <row r="37" spans="1:39"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row>
    <row r="38" spans="1:39" x14ac:dyDescent="0.25">
      <c r="A38" s="20" t="s">
        <v>65</v>
      </c>
      <c r="B38" s="20"/>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row>
    <row r="39" spans="1:39" x14ac:dyDescent="0.25">
      <c r="A39" s="13"/>
      <c r="B39" s="19" t="s">
        <v>66</v>
      </c>
      <c r="C39" s="13">
        <v>109</v>
      </c>
      <c r="D39" s="13"/>
      <c r="E39" s="13"/>
      <c r="F39" s="13"/>
      <c r="G39" s="13">
        <v>74</v>
      </c>
      <c r="H39" s="13"/>
      <c r="I39" s="13">
        <v>289</v>
      </c>
      <c r="J39" s="13"/>
      <c r="K39" s="13"/>
      <c r="L39" s="13">
        <v>54</v>
      </c>
      <c r="M39" s="13"/>
      <c r="N39" s="13"/>
      <c r="O39" s="13"/>
      <c r="P39" s="13"/>
      <c r="Q39" s="13"/>
      <c r="R39" s="13">
        <v>31</v>
      </c>
      <c r="S39" s="13">
        <v>24</v>
      </c>
      <c r="T39" s="13"/>
      <c r="U39" s="13">
        <v>49</v>
      </c>
      <c r="V39" s="13">
        <v>23</v>
      </c>
      <c r="W39" s="13">
        <v>15</v>
      </c>
      <c r="X39" s="13">
        <v>24</v>
      </c>
      <c r="Y39" s="13"/>
      <c r="Z39" s="13"/>
      <c r="AA39" s="13">
        <v>53</v>
      </c>
      <c r="AB39" s="13"/>
      <c r="AC39" s="13"/>
      <c r="AD39" s="13"/>
      <c r="AE39" s="13">
        <v>53</v>
      </c>
      <c r="AF39" s="13">
        <v>37</v>
      </c>
      <c r="AG39" s="13"/>
      <c r="AH39" s="13"/>
      <c r="AI39" s="13">
        <v>24</v>
      </c>
      <c r="AJ39" s="13"/>
      <c r="AK39" s="13"/>
      <c r="AL39" s="13">
        <v>4</v>
      </c>
      <c r="AM39" s="13">
        <f>SUM(C39:AL39)</f>
        <v>863</v>
      </c>
    </row>
    <row r="40" spans="1:39"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row>
    <row r="41" spans="1:39" x14ac:dyDescent="0.25">
      <c r="A41" s="20" t="s">
        <v>67</v>
      </c>
      <c r="B41" s="20"/>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row>
    <row r="42" spans="1:39" x14ac:dyDescent="0.25">
      <c r="A42" s="13"/>
      <c r="B42" s="19" t="s">
        <v>68</v>
      </c>
      <c r="C42" s="13">
        <v>112</v>
      </c>
      <c r="D42" s="13">
        <v>29</v>
      </c>
      <c r="E42" s="13">
        <v>61</v>
      </c>
      <c r="F42" s="13">
        <v>239</v>
      </c>
      <c r="G42" s="13">
        <v>75</v>
      </c>
      <c r="H42" s="13">
        <v>416</v>
      </c>
      <c r="I42" s="13">
        <v>304</v>
      </c>
      <c r="J42" s="13">
        <v>325</v>
      </c>
      <c r="K42" s="13">
        <v>2</v>
      </c>
      <c r="L42" s="13">
        <v>60</v>
      </c>
      <c r="M42" s="13">
        <v>20</v>
      </c>
      <c r="N42" s="13">
        <v>44</v>
      </c>
      <c r="O42" s="13">
        <v>24</v>
      </c>
      <c r="P42" s="13">
        <v>29</v>
      </c>
      <c r="Q42" s="13">
        <v>19</v>
      </c>
      <c r="R42" s="13">
        <v>35</v>
      </c>
      <c r="S42" s="13">
        <v>25</v>
      </c>
      <c r="T42" s="13">
        <v>47</v>
      </c>
      <c r="U42" s="13">
        <v>51</v>
      </c>
      <c r="V42" s="13">
        <v>29</v>
      </c>
      <c r="W42" s="13">
        <v>15</v>
      </c>
      <c r="X42" s="13">
        <v>24</v>
      </c>
      <c r="Y42" s="13">
        <v>34</v>
      </c>
      <c r="Z42" s="13">
        <v>26</v>
      </c>
      <c r="AA42" s="13">
        <v>56</v>
      </c>
      <c r="AB42" s="13">
        <v>77</v>
      </c>
      <c r="AC42" s="13">
        <v>151</v>
      </c>
      <c r="AD42" s="13">
        <v>15</v>
      </c>
      <c r="AE42" s="13">
        <v>55</v>
      </c>
      <c r="AF42" s="13">
        <v>38</v>
      </c>
      <c r="AG42" s="13">
        <v>19</v>
      </c>
      <c r="AH42" s="13">
        <v>51</v>
      </c>
      <c r="AI42" s="13">
        <v>22</v>
      </c>
      <c r="AJ42" s="13">
        <v>16</v>
      </c>
      <c r="AK42" s="13">
        <v>10</v>
      </c>
      <c r="AL42" s="13">
        <v>4</v>
      </c>
      <c r="AM42" s="13">
        <f>SUM(C42:AL42)</f>
        <v>2559</v>
      </c>
    </row>
    <row r="43" spans="1:39"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row>
    <row r="44" spans="1:39" x14ac:dyDescent="0.25">
      <c r="A44" s="20" t="s">
        <v>69</v>
      </c>
      <c r="B44" s="20"/>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row>
    <row r="45" spans="1:39" x14ac:dyDescent="0.25">
      <c r="A45" s="13"/>
      <c r="B45" s="19" t="s">
        <v>70</v>
      </c>
      <c r="C45" s="13">
        <v>108</v>
      </c>
      <c r="D45" s="13">
        <v>28</v>
      </c>
      <c r="E45" s="13">
        <v>64</v>
      </c>
      <c r="F45" s="13">
        <v>238</v>
      </c>
      <c r="G45" s="13">
        <v>76</v>
      </c>
      <c r="H45" s="13">
        <v>412</v>
      </c>
      <c r="I45" s="13">
        <v>292</v>
      </c>
      <c r="J45" s="13">
        <v>323</v>
      </c>
      <c r="K45" s="13">
        <v>2</v>
      </c>
      <c r="L45" s="13">
        <v>65</v>
      </c>
      <c r="M45" s="13">
        <v>19</v>
      </c>
      <c r="N45" s="13">
        <v>39</v>
      </c>
      <c r="O45" s="13">
        <v>24</v>
      </c>
      <c r="P45" s="13">
        <v>29</v>
      </c>
      <c r="Q45" s="13">
        <v>19</v>
      </c>
      <c r="R45" s="13">
        <v>34</v>
      </c>
      <c r="S45" s="13">
        <v>25</v>
      </c>
      <c r="T45" s="13">
        <v>45</v>
      </c>
      <c r="U45" s="13">
        <v>50</v>
      </c>
      <c r="V45" s="13">
        <v>29</v>
      </c>
      <c r="W45" s="13">
        <v>14</v>
      </c>
      <c r="X45" s="13">
        <v>24</v>
      </c>
      <c r="Y45" s="13">
        <v>37</v>
      </c>
      <c r="Z45" s="13">
        <v>26</v>
      </c>
      <c r="AA45" s="13">
        <v>55</v>
      </c>
      <c r="AB45" s="13">
        <v>74</v>
      </c>
      <c r="AC45" s="13">
        <v>148</v>
      </c>
      <c r="AD45" s="13">
        <v>15</v>
      </c>
      <c r="AE45" s="13">
        <v>53</v>
      </c>
      <c r="AF45" s="13">
        <v>38</v>
      </c>
      <c r="AG45" s="13">
        <v>18</v>
      </c>
      <c r="AH45" s="13">
        <v>51</v>
      </c>
      <c r="AI45" s="13">
        <v>22</v>
      </c>
      <c r="AJ45" s="13">
        <v>16</v>
      </c>
      <c r="AK45" s="13">
        <v>10</v>
      </c>
      <c r="AL45" s="13">
        <v>4</v>
      </c>
      <c r="AM45" s="13">
        <f>SUM(C45:AL45)</f>
        <v>2526</v>
      </c>
    </row>
    <row r="46" spans="1:39"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row>
    <row r="47" spans="1:39" x14ac:dyDescent="0.25">
      <c r="A47" s="20" t="s">
        <v>71</v>
      </c>
      <c r="B47" s="20"/>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row>
    <row r="48" spans="1:39" x14ac:dyDescent="0.25">
      <c r="A48" s="13"/>
      <c r="B48" s="19" t="s">
        <v>72</v>
      </c>
      <c r="C48" s="13">
        <v>113</v>
      </c>
      <c r="D48" s="13">
        <v>30</v>
      </c>
      <c r="E48" s="13">
        <v>66</v>
      </c>
      <c r="F48" s="13">
        <v>234</v>
      </c>
      <c r="G48" s="13">
        <v>77</v>
      </c>
      <c r="H48" s="13">
        <v>420</v>
      </c>
      <c r="I48" s="13">
        <v>305</v>
      </c>
      <c r="J48" s="13">
        <v>323</v>
      </c>
      <c r="K48" s="13">
        <v>2</v>
      </c>
      <c r="L48" s="13">
        <v>58</v>
      </c>
      <c r="M48" s="13">
        <v>19</v>
      </c>
      <c r="N48" s="13">
        <v>45</v>
      </c>
      <c r="O48" s="13">
        <v>24</v>
      </c>
      <c r="P48" s="13">
        <v>29</v>
      </c>
      <c r="Q48" s="13">
        <v>18</v>
      </c>
      <c r="R48" s="13">
        <v>35</v>
      </c>
      <c r="S48" s="13">
        <v>25</v>
      </c>
      <c r="T48" s="13">
        <v>48</v>
      </c>
      <c r="U48" s="13">
        <v>50</v>
      </c>
      <c r="V48" s="13">
        <v>25</v>
      </c>
      <c r="W48" s="13">
        <v>15</v>
      </c>
      <c r="X48" s="13">
        <v>24</v>
      </c>
      <c r="Y48" s="13">
        <v>36</v>
      </c>
      <c r="Z48" s="13">
        <v>26</v>
      </c>
      <c r="AA48" s="13">
        <v>56</v>
      </c>
      <c r="AB48" s="13">
        <v>78</v>
      </c>
      <c r="AC48" s="13">
        <v>152</v>
      </c>
      <c r="AD48" s="13">
        <v>15</v>
      </c>
      <c r="AE48" s="13">
        <v>54</v>
      </c>
      <c r="AF48" s="13">
        <v>40</v>
      </c>
      <c r="AG48" s="13">
        <v>18</v>
      </c>
      <c r="AH48" s="13">
        <v>51</v>
      </c>
      <c r="AI48" s="13">
        <v>22</v>
      </c>
      <c r="AJ48" s="13">
        <v>16</v>
      </c>
      <c r="AK48" s="13">
        <v>10</v>
      </c>
      <c r="AL48" s="13">
        <v>4</v>
      </c>
      <c r="AM48" s="13">
        <f>SUM(C48:AL48)</f>
        <v>2563</v>
      </c>
    </row>
    <row r="49" spans="1:39"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row>
    <row r="50" spans="1:39" x14ac:dyDescent="0.25">
      <c r="A50" s="20" t="s">
        <v>73</v>
      </c>
      <c r="B50" s="20"/>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row>
    <row r="51" spans="1:39" x14ac:dyDescent="0.25">
      <c r="A51" s="13"/>
      <c r="B51" s="19" t="s">
        <v>74</v>
      </c>
      <c r="C51" s="13">
        <v>59</v>
      </c>
      <c r="D51" s="13">
        <v>21</v>
      </c>
      <c r="E51" s="13">
        <v>44</v>
      </c>
      <c r="F51" s="13">
        <v>190</v>
      </c>
      <c r="G51" s="13">
        <v>57</v>
      </c>
      <c r="H51" s="13">
        <v>278</v>
      </c>
      <c r="I51" s="13">
        <v>198</v>
      </c>
      <c r="J51" s="13">
        <v>239</v>
      </c>
      <c r="K51" s="13">
        <v>2</v>
      </c>
      <c r="L51" s="13">
        <v>41</v>
      </c>
      <c r="M51" s="13">
        <v>17</v>
      </c>
      <c r="N51" s="13">
        <v>24</v>
      </c>
      <c r="O51" s="13">
        <v>17</v>
      </c>
      <c r="P51" s="13">
        <v>20</v>
      </c>
      <c r="Q51" s="13">
        <v>15</v>
      </c>
      <c r="R51" s="13">
        <v>26</v>
      </c>
      <c r="S51" s="13">
        <v>21</v>
      </c>
      <c r="T51" s="13">
        <v>33</v>
      </c>
      <c r="U51" s="13">
        <v>34</v>
      </c>
      <c r="V51" s="13">
        <v>20</v>
      </c>
      <c r="W51" s="13">
        <v>12</v>
      </c>
      <c r="X51" s="13">
        <v>15</v>
      </c>
      <c r="Y51" s="13">
        <v>21</v>
      </c>
      <c r="Z51" s="13">
        <v>21</v>
      </c>
      <c r="AA51" s="13">
        <v>51</v>
      </c>
      <c r="AB51" s="13">
        <v>51</v>
      </c>
      <c r="AC51" s="13">
        <v>97</v>
      </c>
      <c r="AD51" s="13">
        <v>8</v>
      </c>
      <c r="AE51" s="13">
        <v>30</v>
      </c>
      <c r="AF51" s="13">
        <v>23</v>
      </c>
      <c r="AG51" s="13">
        <v>14</v>
      </c>
      <c r="AH51" s="13">
        <v>42</v>
      </c>
      <c r="AI51" s="13">
        <v>21</v>
      </c>
      <c r="AJ51" s="13">
        <v>13</v>
      </c>
      <c r="AK51" s="13">
        <v>9</v>
      </c>
      <c r="AL51" s="13">
        <v>4</v>
      </c>
      <c r="AM51" s="13">
        <f>SUM(C51:AL51)</f>
        <v>1788</v>
      </c>
    </row>
    <row r="52" spans="1:39"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row>
    <row r="53" spans="1:39" x14ac:dyDescent="0.25">
      <c r="A53" s="20" t="s">
        <v>75</v>
      </c>
      <c r="B53" s="20"/>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row>
    <row r="54" spans="1:39" x14ac:dyDescent="0.25">
      <c r="A54" s="13"/>
      <c r="B54" s="19" t="s">
        <v>76</v>
      </c>
      <c r="C54" s="13">
        <v>97</v>
      </c>
      <c r="D54" s="13">
        <v>28</v>
      </c>
      <c r="E54" s="13">
        <v>52</v>
      </c>
      <c r="F54" s="13">
        <v>230</v>
      </c>
      <c r="G54" s="13">
        <v>67</v>
      </c>
      <c r="H54" s="13">
        <v>395</v>
      </c>
      <c r="I54" s="13">
        <v>308</v>
      </c>
      <c r="J54" s="13">
        <v>311</v>
      </c>
      <c r="K54" s="13">
        <v>2</v>
      </c>
      <c r="L54" s="13">
        <v>58</v>
      </c>
      <c r="M54" s="13">
        <v>15</v>
      </c>
      <c r="N54" s="13">
        <v>45</v>
      </c>
      <c r="O54" s="13">
        <v>17</v>
      </c>
      <c r="P54" s="13">
        <v>28</v>
      </c>
      <c r="Q54" s="13">
        <v>17</v>
      </c>
      <c r="R54" s="13">
        <v>34</v>
      </c>
      <c r="S54" s="13">
        <v>24</v>
      </c>
      <c r="T54" s="13">
        <v>43</v>
      </c>
      <c r="U54" s="13">
        <v>49</v>
      </c>
      <c r="V54" s="13">
        <v>23</v>
      </c>
      <c r="W54" s="13">
        <v>14</v>
      </c>
      <c r="X54" s="13">
        <v>21</v>
      </c>
      <c r="Y54" s="13">
        <v>36</v>
      </c>
      <c r="Z54" s="13">
        <v>25</v>
      </c>
      <c r="AA54" s="13">
        <v>51</v>
      </c>
      <c r="AB54" s="13">
        <v>73</v>
      </c>
      <c r="AC54" s="13">
        <v>149</v>
      </c>
      <c r="AD54" s="13">
        <v>12</v>
      </c>
      <c r="AE54" s="13">
        <v>50</v>
      </c>
      <c r="AF54" s="13">
        <v>42</v>
      </c>
      <c r="AG54" s="13">
        <v>19</v>
      </c>
      <c r="AH54" s="13">
        <v>50</v>
      </c>
      <c r="AI54" s="13">
        <v>20</v>
      </c>
      <c r="AJ54" s="13">
        <v>13</v>
      </c>
      <c r="AK54" s="13">
        <v>11</v>
      </c>
      <c r="AL54" s="13">
        <v>3</v>
      </c>
      <c r="AM54" s="13">
        <f>SUM(C54:AL54)</f>
        <v>2432</v>
      </c>
    </row>
    <row r="55" spans="1:39"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row>
    <row r="56" spans="1:39" x14ac:dyDescent="0.25">
      <c r="A56" s="20" t="s">
        <v>77</v>
      </c>
      <c r="B56" s="20"/>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row>
    <row r="57" spans="1:39" x14ac:dyDescent="0.25">
      <c r="A57" s="21" t="s">
        <v>44</v>
      </c>
      <c r="B57" s="13" t="s">
        <v>78</v>
      </c>
      <c r="C57" s="13"/>
      <c r="D57" s="13"/>
      <c r="E57" s="13"/>
      <c r="F57" s="13"/>
      <c r="G57" s="13"/>
      <c r="H57" s="13"/>
      <c r="I57" s="13"/>
      <c r="J57" s="13"/>
      <c r="K57" s="13"/>
      <c r="L57" s="13"/>
      <c r="M57" s="13"/>
      <c r="N57" s="13">
        <v>1</v>
      </c>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f t="shared" ref="AM57:AM63" si="0">SUM(C57:AL57)</f>
        <v>1</v>
      </c>
    </row>
    <row r="58" spans="1:39" x14ac:dyDescent="0.25">
      <c r="A58" s="21"/>
      <c r="B58" s="13" t="s">
        <v>79</v>
      </c>
      <c r="C58" s="13"/>
      <c r="D58" s="13"/>
      <c r="E58" s="13"/>
      <c r="F58" s="13"/>
      <c r="G58" s="13"/>
      <c r="H58" s="13"/>
      <c r="I58" s="13"/>
      <c r="J58" s="13"/>
      <c r="K58" s="13"/>
      <c r="L58" s="13"/>
      <c r="M58" s="13"/>
      <c r="N58" s="13">
        <v>1</v>
      </c>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f t="shared" si="0"/>
        <v>1</v>
      </c>
    </row>
    <row r="59" spans="1:39" x14ac:dyDescent="0.25">
      <c r="A59" s="21"/>
      <c r="B59" s="19" t="s">
        <v>80</v>
      </c>
      <c r="C59" s="13"/>
      <c r="D59" s="13"/>
      <c r="E59" s="13"/>
      <c r="F59" s="13"/>
      <c r="G59" s="13"/>
      <c r="H59" s="13"/>
      <c r="I59" s="13"/>
      <c r="J59" s="13"/>
      <c r="K59" s="13"/>
      <c r="L59" s="13"/>
      <c r="M59" s="13"/>
      <c r="N59" s="13">
        <v>1</v>
      </c>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f t="shared" si="0"/>
        <v>1</v>
      </c>
    </row>
    <row r="60" spans="1:39" x14ac:dyDescent="0.25">
      <c r="A60" s="21"/>
      <c r="B60" s="13" t="s">
        <v>81</v>
      </c>
      <c r="C60" s="13"/>
      <c r="D60" s="13"/>
      <c r="E60" s="13"/>
      <c r="F60" s="13"/>
      <c r="G60" s="13"/>
      <c r="H60" s="13"/>
      <c r="I60" s="13"/>
      <c r="J60" s="13"/>
      <c r="K60" s="13"/>
      <c r="L60" s="13"/>
      <c r="M60" s="13"/>
      <c r="N60" s="13">
        <v>1</v>
      </c>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f t="shared" si="0"/>
        <v>1</v>
      </c>
    </row>
    <row r="61" spans="1:39" x14ac:dyDescent="0.25">
      <c r="A61" s="21"/>
      <c r="B61" s="13" t="s">
        <v>82</v>
      </c>
      <c r="C61" s="13"/>
      <c r="D61" s="13"/>
      <c r="E61" s="13"/>
      <c r="F61" s="13"/>
      <c r="G61" s="13"/>
      <c r="H61" s="13"/>
      <c r="I61" s="13"/>
      <c r="J61" s="13"/>
      <c r="K61" s="13"/>
      <c r="L61" s="13"/>
      <c r="M61" s="13"/>
      <c r="N61" s="13">
        <v>1</v>
      </c>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f t="shared" si="0"/>
        <v>1</v>
      </c>
    </row>
    <row r="62" spans="1:39" x14ac:dyDescent="0.25">
      <c r="A62" s="21"/>
      <c r="B62" s="13" t="s">
        <v>83</v>
      </c>
      <c r="C62" s="13"/>
      <c r="D62" s="13"/>
      <c r="E62" s="13"/>
      <c r="F62" s="13"/>
      <c r="G62" s="13"/>
      <c r="H62" s="13"/>
      <c r="I62" s="13"/>
      <c r="J62" s="13"/>
      <c r="K62" s="13"/>
      <c r="L62" s="13"/>
      <c r="M62" s="13"/>
      <c r="N62" s="13">
        <v>1</v>
      </c>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f t="shared" si="0"/>
        <v>1</v>
      </c>
    </row>
    <row r="63" spans="1:39" x14ac:dyDescent="0.25">
      <c r="A63" s="21"/>
      <c r="B63" s="13" t="s">
        <v>84</v>
      </c>
      <c r="C63" s="13"/>
      <c r="D63" s="13"/>
      <c r="E63" s="13"/>
      <c r="F63" s="13"/>
      <c r="G63" s="13"/>
      <c r="H63" s="13"/>
      <c r="I63" s="13"/>
      <c r="J63" s="13"/>
      <c r="K63" s="13"/>
      <c r="L63" s="13"/>
      <c r="M63" s="13"/>
      <c r="N63" s="13">
        <v>1</v>
      </c>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f t="shared" si="0"/>
        <v>1</v>
      </c>
    </row>
    <row r="64" spans="1:39"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row>
    <row r="65" spans="1:39" x14ac:dyDescent="0.25">
      <c r="A65" s="20" t="s">
        <v>85</v>
      </c>
      <c r="B65" s="20"/>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row>
    <row r="66" spans="1:39" x14ac:dyDescent="0.25">
      <c r="A66" s="21" t="s">
        <v>44</v>
      </c>
      <c r="B66" s="13" t="s">
        <v>86</v>
      </c>
      <c r="C66" s="13"/>
      <c r="D66" s="13"/>
      <c r="E66" s="13"/>
      <c r="F66" s="13"/>
      <c r="G66" s="13"/>
      <c r="H66" s="13"/>
      <c r="I66" s="13"/>
      <c r="J66" s="13"/>
      <c r="K66" s="13"/>
      <c r="L66" s="13"/>
      <c r="M66" s="13"/>
      <c r="N66" s="13"/>
      <c r="O66" s="13">
        <v>1</v>
      </c>
      <c r="P66" s="13"/>
      <c r="Q66" s="13"/>
      <c r="R66" s="13"/>
      <c r="S66" s="13"/>
      <c r="T66" s="13"/>
      <c r="U66" s="13"/>
      <c r="V66" s="13"/>
      <c r="W66" s="13"/>
      <c r="X66" s="13"/>
      <c r="Y66" s="13"/>
      <c r="Z66" s="13"/>
      <c r="AA66" s="13"/>
      <c r="AB66" s="13"/>
      <c r="AC66" s="13"/>
      <c r="AD66" s="13"/>
      <c r="AE66" s="13"/>
      <c r="AF66" s="13"/>
      <c r="AG66" s="13"/>
      <c r="AH66" s="13"/>
      <c r="AI66" s="13"/>
      <c r="AJ66" s="13"/>
      <c r="AK66" s="13"/>
      <c r="AL66" s="13"/>
      <c r="AM66" s="13">
        <f>SUM(C66:AL66)</f>
        <v>1</v>
      </c>
    </row>
    <row r="67" spans="1:39" x14ac:dyDescent="0.25">
      <c r="A67" s="21"/>
      <c r="B67" s="19" t="s">
        <v>87</v>
      </c>
      <c r="C67" s="13"/>
      <c r="D67" s="13"/>
      <c r="E67" s="13"/>
      <c r="F67" s="13"/>
      <c r="G67" s="13"/>
      <c r="H67" s="13"/>
      <c r="I67" s="13"/>
      <c r="J67" s="13"/>
      <c r="K67" s="13"/>
      <c r="L67" s="13"/>
      <c r="M67" s="13"/>
      <c r="N67" s="13"/>
      <c r="O67" s="13">
        <v>2</v>
      </c>
      <c r="P67" s="13"/>
      <c r="Q67" s="13"/>
      <c r="R67" s="13"/>
      <c r="S67" s="13"/>
      <c r="T67" s="13"/>
      <c r="U67" s="13"/>
      <c r="V67" s="13"/>
      <c r="W67" s="13"/>
      <c r="X67" s="13"/>
      <c r="Y67" s="13"/>
      <c r="Z67" s="13"/>
      <c r="AA67" s="13"/>
      <c r="AB67" s="13"/>
      <c r="AC67" s="13"/>
      <c r="AD67" s="13"/>
      <c r="AE67" s="13"/>
      <c r="AF67" s="13"/>
      <c r="AG67" s="13"/>
      <c r="AH67" s="13"/>
      <c r="AI67" s="13"/>
      <c r="AJ67" s="13"/>
      <c r="AK67" s="13"/>
      <c r="AL67" s="13"/>
      <c r="AM67" s="13">
        <f>SUM(C67:AL67)</f>
        <v>2</v>
      </c>
    </row>
    <row r="68" spans="1:39" x14ac:dyDescent="0.25">
      <c r="A68" s="21"/>
      <c r="B68" s="13" t="s">
        <v>88</v>
      </c>
      <c r="C68" s="13"/>
      <c r="D68" s="13"/>
      <c r="E68" s="13"/>
      <c r="F68" s="13"/>
      <c r="G68" s="13"/>
      <c r="H68" s="13"/>
      <c r="I68" s="13"/>
      <c r="J68" s="13"/>
      <c r="K68" s="13"/>
      <c r="L68" s="13"/>
      <c r="M68" s="13"/>
      <c r="N68" s="13"/>
      <c r="O68" s="13">
        <v>2</v>
      </c>
      <c r="P68" s="13"/>
      <c r="Q68" s="13"/>
      <c r="R68" s="13"/>
      <c r="S68" s="13"/>
      <c r="T68" s="13"/>
      <c r="U68" s="13"/>
      <c r="V68" s="13"/>
      <c r="W68" s="13"/>
      <c r="X68" s="13"/>
      <c r="Y68" s="13"/>
      <c r="Z68" s="13"/>
      <c r="AA68" s="13"/>
      <c r="AB68" s="13"/>
      <c r="AC68" s="13"/>
      <c r="AD68" s="13"/>
      <c r="AE68" s="13"/>
      <c r="AF68" s="13"/>
      <c r="AG68" s="13"/>
      <c r="AH68" s="13"/>
      <c r="AI68" s="13"/>
      <c r="AJ68" s="13"/>
      <c r="AK68" s="13"/>
      <c r="AL68" s="13"/>
      <c r="AM68" s="13">
        <f>SUM(C68:AL68)</f>
        <v>2</v>
      </c>
    </row>
    <row r="69" spans="1:39" x14ac:dyDescent="0.25">
      <c r="A69" s="21"/>
      <c r="B69" s="13" t="s">
        <v>89</v>
      </c>
      <c r="C69" s="13"/>
      <c r="D69" s="13"/>
      <c r="E69" s="13"/>
      <c r="F69" s="13"/>
      <c r="G69" s="13"/>
      <c r="H69" s="13"/>
      <c r="I69" s="13"/>
      <c r="J69" s="13"/>
      <c r="K69" s="13"/>
      <c r="L69" s="13"/>
      <c r="M69" s="13"/>
      <c r="N69" s="13"/>
      <c r="O69" s="13">
        <v>1</v>
      </c>
      <c r="P69" s="13"/>
      <c r="Q69" s="13"/>
      <c r="R69" s="13"/>
      <c r="S69" s="13"/>
      <c r="T69" s="13"/>
      <c r="U69" s="13"/>
      <c r="V69" s="13"/>
      <c r="W69" s="13"/>
      <c r="X69" s="13"/>
      <c r="Y69" s="13"/>
      <c r="Z69" s="13"/>
      <c r="AA69" s="13"/>
      <c r="AB69" s="13"/>
      <c r="AC69" s="13"/>
      <c r="AD69" s="13"/>
      <c r="AE69" s="13"/>
      <c r="AF69" s="13"/>
      <c r="AG69" s="13"/>
      <c r="AH69" s="13"/>
      <c r="AI69" s="13"/>
      <c r="AJ69" s="13"/>
      <c r="AK69" s="13"/>
      <c r="AL69" s="13"/>
      <c r="AM69" s="13">
        <f>SUM(C69:AL69)</f>
        <v>1</v>
      </c>
    </row>
    <row r="70" spans="1:39" x14ac:dyDescent="0.25">
      <c r="A70" s="21"/>
      <c r="B70" s="13" t="s">
        <v>90</v>
      </c>
      <c r="C70" s="13"/>
      <c r="D70" s="13"/>
      <c r="E70" s="13"/>
      <c r="F70" s="13"/>
      <c r="G70" s="13"/>
      <c r="H70" s="13"/>
      <c r="I70" s="13"/>
      <c r="J70" s="13"/>
      <c r="K70" s="13"/>
      <c r="L70" s="13"/>
      <c r="M70" s="13"/>
      <c r="N70" s="13"/>
      <c r="O70" s="13">
        <v>2</v>
      </c>
      <c r="P70" s="13"/>
      <c r="Q70" s="13"/>
      <c r="R70" s="13"/>
      <c r="S70" s="13"/>
      <c r="T70" s="13"/>
      <c r="U70" s="13"/>
      <c r="V70" s="13"/>
      <c r="W70" s="13"/>
      <c r="X70" s="13"/>
      <c r="Y70" s="13"/>
      <c r="Z70" s="13"/>
      <c r="AA70" s="13"/>
      <c r="AB70" s="13"/>
      <c r="AC70" s="13"/>
      <c r="AD70" s="13"/>
      <c r="AE70" s="13"/>
      <c r="AF70" s="13"/>
      <c r="AG70" s="13"/>
      <c r="AH70" s="13"/>
      <c r="AI70" s="13"/>
      <c r="AJ70" s="13"/>
      <c r="AK70" s="13"/>
      <c r="AL70" s="13"/>
      <c r="AM70" s="13">
        <f>SUM(C70:AL70)</f>
        <v>2</v>
      </c>
    </row>
    <row r="71" spans="1:39"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row>
    <row r="72" spans="1:39" x14ac:dyDescent="0.25">
      <c r="A72" s="20" t="s">
        <v>91</v>
      </c>
      <c r="B72" s="20"/>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row>
    <row r="73" spans="1:39" x14ac:dyDescent="0.25">
      <c r="A73" s="21" t="s">
        <v>44</v>
      </c>
      <c r="B73" s="13" t="s">
        <v>92</v>
      </c>
      <c r="C73" s="13"/>
      <c r="D73" s="13"/>
      <c r="E73" s="13"/>
      <c r="F73" s="13"/>
      <c r="G73" s="13"/>
      <c r="H73" s="13"/>
      <c r="I73" s="13"/>
      <c r="J73" s="13"/>
      <c r="K73" s="13"/>
      <c r="L73" s="13"/>
      <c r="M73" s="13"/>
      <c r="N73" s="13"/>
      <c r="O73" s="13"/>
      <c r="P73" s="13">
        <v>3</v>
      </c>
      <c r="Q73" s="13"/>
      <c r="R73" s="13"/>
      <c r="S73" s="13"/>
      <c r="T73" s="13"/>
      <c r="U73" s="13"/>
      <c r="V73" s="13"/>
      <c r="W73" s="13"/>
      <c r="X73" s="13"/>
      <c r="Y73" s="13"/>
      <c r="Z73" s="13"/>
      <c r="AA73" s="13"/>
      <c r="AB73" s="13"/>
      <c r="AC73" s="13"/>
      <c r="AD73" s="13"/>
      <c r="AE73" s="13"/>
      <c r="AF73" s="13"/>
      <c r="AG73" s="13"/>
      <c r="AH73" s="13"/>
      <c r="AI73" s="13"/>
      <c r="AJ73" s="13"/>
      <c r="AK73" s="13"/>
      <c r="AL73" s="13"/>
      <c r="AM73" s="13">
        <f>SUM(C73:AL73)</f>
        <v>3</v>
      </c>
    </row>
    <row r="74" spans="1:39" x14ac:dyDescent="0.25">
      <c r="A74" s="21"/>
      <c r="B74" s="19" t="s">
        <v>93</v>
      </c>
      <c r="C74" s="13"/>
      <c r="D74" s="13"/>
      <c r="E74" s="13"/>
      <c r="F74" s="13"/>
      <c r="G74" s="13"/>
      <c r="H74" s="13"/>
      <c r="I74" s="13"/>
      <c r="J74" s="13"/>
      <c r="K74" s="13"/>
      <c r="L74" s="13"/>
      <c r="M74" s="13"/>
      <c r="N74" s="13"/>
      <c r="O74" s="13"/>
      <c r="P74" s="13">
        <v>3</v>
      </c>
      <c r="Q74" s="13"/>
      <c r="R74" s="13"/>
      <c r="S74" s="13"/>
      <c r="T74" s="13"/>
      <c r="U74" s="13"/>
      <c r="V74" s="13"/>
      <c r="W74" s="13"/>
      <c r="X74" s="13"/>
      <c r="Y74" s="13"/>
      <c r="Z74" s="13"/>
      <c r="AA74" s="13"/>
      <c r="AB74" s="13"/>
      <c r="AC74" s="13"/>
      <c r="AD74" s="13"/>
      <c r="AE74" s="13"/>
      <c r="AF74" s="13"/>
      <c r="AG74" s="13"/>
      <c r="AH74" s="13"/>
      <c r="AI74" s="13"/>
      <c r="AJ74" s="13"/>
      <c r="AK74" s="13"/>
      <c r="AL74" s="13"/>
      <c r="AM74" s="13">
        <f>SUM(C74:AL74)</f>
        <v>3</v>
      </c>
    </row>
    <row r="75" spans="1:39" x14ac:dyDescent="0.25">
      <c r="A75" s="21"/>
      <c r="B75" s="13" t="s">
        <v>94</v>
      </c>
      <c r="C75" s="13"/>
      <c r="D75" s="13"/>
      <c r="E75" s="13"/>
      <c r="F75" s="13"/>
      <c r="G75" s="13"/>
      <c r="H75" s="13"/>
      <c r="I75" s="13"/>
      <c r="J75" s="13"/>
      <c r="K75" s="13"/>
      <c r="L75" s="13"/>
      <c r="M75" s="13"/>
      <c r="N75" s="13"/>
      <c r="O75" s="13"/>
      <c r="P75" s="13">
        <v>1</v>
      </c>
      <c r="Q75" s="13"/>
      <c r="R75" s="13"/>
      <c r="S75" s="13"/>
      <c r="T75" s="13"/>
      <c r="U75" s="13"/>
      <c r="V75" s="13"/>
      <c r="W75" s="13"/>
      <c r="X75" s="13"/>
      <c r="Y75" s="13"/>
      <c r="Z75" s="13"/>
      <c r="AA75" s="13"/>
      <c r="AB75" s="13"/>
      <c r="AC75" s="13"/>
      <c r="AD75" s="13"/>
      <c r="AE75" s="13"/>
      <c r="AF75" s="13"/>
      <c r="AG75" s="13"/>
      <c r="AH75" s="13"/>
      <c r="AI75" s="13"/>
      <c r="AJ75" s="13"/>
      <c r="AK75" s="13"/>
      <c r="AL75" s="13"/>
      <c r="AM75" s="13">
        <f>SUM(C75:AL75)</f>
        <v>1</v>
      </c>
    </row>
    <row r="76" spans="1:39"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row>
    <row r="77" spans="1:39" x14ac:dyDescent="0.25">
      <c r="A77" s="20" t="s">
        <v>95</v>
      </c>
      <c r="B77" s="20"/>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row>
    <row r="78" spans="1:39" x14ac:dyDescent="0.25">
      <c r="A78" s="2"/>
      <c r="B78" s="19" t="s">
        <v>96</v>
      </c>
      <c r="C78" s="13"/>
      <c r="D78" s="13"/>
      <c r="E78" s="13"/>
      <c r="F78" s="13"/>
      <c r="G78" s="13"/>
      <c r="H78" s="13"/>
      <c r="I78" s="13"/>
      <c r="J78" s="13"/>
      <c r="K78" s="13"/>
      <c r="L78" s="13"/>
      <c r="M78" s="13"/>
      <c r="N78" s="13"/>
      <c r="O78" s="13"/>
      <c r="P78" s="13"/>
      <c r="Q78" s="13">
        <v>18</v>
      </c>
      <c r="R78" s="13"/>
      <c r="S78" s="13"/>
      <c r="T78" s="13"/>
      <c r="U78" s="13"/>
      <c r="V78" s="13"/>
      <c r="W78" s="13"/>
      <c r="X78" s="13"/>
      <c r="Y78" s="13"/>
      <c r="Z78" s="13"/>
      <c r="AA78" s="13"/>
      <c r="AB78" s="13"/>
      <c r="AC78" s="13"/>
      <c r="AD78" s="13"/>
      <c r="AE78" s="13"/>
      <c r="AF78" s="13"/>
      <c r="AG78" s="13"/>
      <c r="AH78" s="13"/>
      <c r="AI78" s="13"/>
      <c r="AJ78" s="13"/>
      <c r="AK78" s="13"/>
      <c r="AL78" s="13"/>
      <c r="AM78" s="13">
        <f>SUM(C78:AL78)</f>
        <v>18</v>
      </c>
    </row>
    <row r="79" spans="1:39" x14ac:dyDescent="0.25">
      <c r="A79" s="21" t="s">
        <v>44</v>
      </c>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row>
    <row r="80" spans="1:39"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row>
    <row r="81" spans="1:39" x14ac:dyDescent="0.25">
      <c r="A81" s="20" t="s">
        <v>97</v>
      </c>
      <c r="B81" s="20"/>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row>
    <row r="82" spans="1:39" x14ac:dyDescent="0.25">
      <c r="A82" s="21" t="s">
        <v>44</v>
      </c>
      <c r="B82" s="13" t="s">
        <v>98</v>
      </c>
      <c r="C82" s="13"/>
      <c r="D82" s="13"/>
      <c r="E82" s="13"/>
      <c r="F82" s="13"/>
      <c r="G82" s="13"/>
      <c r="H82" s="13"/>
      <c r="I82" s="13"/>
      <c r="J82" s="13"/>
      <c r="K82" s="13"/>
      <c r="L82" s="13"/>
      <c r="M82" s="13"/>
      <c r="N82" s="13"/>
      <c r="O82" s="13"/>
      <c r="P82" s="13"/>
      <c r="Q82" s="13"/>
      <c r="R82" s="13">
        <v>1</v>
      </c>
      <c r="S82" s="13"/>
      <c r="T82" s="13"/>
      <c r="U82" s="13"/>
      <c r="V82" s="13"/>
      <c r="W82" s="13"/>
      <c r="X82" s="13"/>
      <c r="Y82" s="13"/>
      <c r="Z82" s="13"/>
      <c r="AA82" s="13"/>
      <c r="AB82" s="13"/>
      <c r="AC82" s="13"/>
      <c r="AD82" s="13"/>
      <c r="AE82" s="13"/>
      <c r="AF82" s="13"/>
      <c r="AG82" s="13"/>
      <c r="AH82" s="13"/>
      <c r="AI82" s="13"/>
      <c r="AJ82" s="13"/>
      <c r="AK82" s="13"/>
      <c r="AL82" s="13"/>
      <c r="AM82" s="13">
        <f>SUM(C82:AL82)</f>
        <v>1</v>
      </c>
    </row>
    <row r="83" spans="1:39" x14ac:dyDescent="0.25">
      <c r="A83" s="21"/>
      <c r="B83" s="19" t="s">
        <v>99</v>
      </c>
      <c r="C83" s="13"/>
      <c r="D83" s="13"/>
      <c r="E83" s="13"/>
      <c r="F83" s="13"/>
      <c r="G83" s="13"/>
      <c r="H83" s="13"/>
      <c r="I83" s="13"/>
      <c r="J83" s="13"/>
      <c r="K83" s="13"/>
      <c r="L83" s="13"/>
      <c r="M83" s="13"/>
      <c r="N83" s="13"/>
      <c r="O83" s="13"/>
      <c r="P83" s="13"/>
      <c r="Q83" s="13"/>
      <c r="R83" s="13">
        <v>1</v>
      </c>
      <c r="S83" s="13"/>
      <c r="T83" s="13"/>
      <c r="U83" s="13"/>
      <c r="V83" s="13"/>
      <c r="W83" s="13"/>
      <c r="X83" s="13"/>
      <c r="Y83" s="13"/>
      <c r="Z83" s="13"/>
      <c r="AA83" s="13"/>
      <c r="AB83" s="13"/>
      <c r="AC83" s="13"/>
      <c r="AD83" s="13"/>
      <c r="AE83" s="13"/>
      <c r="AF83" s="13"/>
      <c r="AG83" s="13"/>
      <c r="AH83" s="13"/>
      <c r="AI83" s="13"/>
      <c r="AJ83" s="13"/>
      <c r="AK83" s="13"/>
      <c r="AL83" s="13"/>
      <c r="AM83" s="13">
        <f>SUM(C83:AL83)</f>
        <v>1</v>
      </c>
    </row>
    <row r="84" spans="1:39" x14ac:dyDescent="0.25">
      <c r="A84" s="21"/>
      <c r="B84" s="13" t="s">
        <v>100</v>
      </c>
      <c r="C84" s="13"/>
      <c r="D84" s="13"/>
      <c r="E84" s="13"/>
      <c r="F84" s="13"/>
      <c r="G84" s="13"/>
      <c r="H84" s="13"/>
      <c r="I84" s="13"/>
      <c r="J84" s="13"/>
      <c r="K84" s="13"/>
      <c r="L84" s="13"/>
      <c r="M84" s="13"/>
      <c r="N84" s="13"/>
      <c r="O84" s="13"/>
      <c r="P84" s="13"/>
      <c r="Q84" s="13"/>
      <c r="R84" s="13">
        <v>1</v>
      </c>
      <c r="S84" s="13"/>
      <c r="T84" s="13"/>
      <c r="U84" s="13"/>
      <c r="V84" s="13"/>
      <c r="W84" s="13"/>
      <c r="X84" s="13"/>
      <c r="Y84" s="13"/>
      <c r="Z84" s="13"/>
      <c r="AA84" s="13"/>
      <c r="AB84" s="13"/>
      <c r="AC84" s="13"/>
      <c r="AD84" s="13"/>
      <c r="AE84" s="13"/>
      <c r="AF84" s="13"/>
      <c r="AG84" s="13"/>
      <c r="AH84" s="13"/>
      <c r="AI84" s="13"/>
      <c r="AJ84" s="13"/>
      <c r="AK84" s="13"/>
      <c r="AL84" s="13"/>
      <c r="AM84" s="13">
        <f>SUM(C84:AL84)</f>
        <v>1</v>
      </c>
    </row>
    <row r="85" spans="1:39"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row>
    <row r="86" spans="1:39" x14ac:dyDescent="0.25">
      <c r="A86" s="20" t="s">
        <v>101</v>
      </c>
      <c r="B86" s="20"/>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row>
    <row r="87" spans="1:39" x14ac:dyDescent="0.25">
      <c r="A87" s="21" t="s">
        <v>44</v>
      </c>
      <c r="B87" s="13" t="s">
        <v>102</v>
      </c>
      <c r="C87" s="13"/>
      <c r="D87" s="13"/>
      <c r="E87" s="13"/>
      <c r="F87" s="13"/>
      <c r="G87" s="13"/>
      <c r="H87" s="13"/>
      <c r="I87" s="13"/>
      <c r="J87" s="13"/>
      <c r="K87" s="13"/>
      <c r="L87" s="13"/>
      <c r="M87" s="13"/>
      <c r="N87" s="13"/>
      <c r="O87" s="13"/>
      <c r="P87" s="13"/>
      <c r="Q87" s="13"/>
      <c r="R87" s="13"/>
      <c r="S87" s="13">
        <v>1</v>
      </c>
      <c r="T87" s="13"/>
      <c r="U87" s="13"/>
      <c r="V87" s="13"/>
      <c r="W87" s="13"/>
      <c r="X87" s="13"/>
      <c r="Y87" s="13"/>
      <c r="Z87" s="13"/>
      <c r="AA87" s="13"/>
      <c r="AB87" s="13"/>
      <c r="AC87" s="13"/>
      <c r="AD87" s="13"/>
      <c r="AE87" s="13"/>
      <c r="AF87" s="13"/>
      <c r="AG87" s="13"/>
      <c r="AH87" s="13"/>
      <c r="AI87" s="13"/>
      <c r="AJ87" s="13"/>
      <c r="AK87" s="13"/>
      <c r="AL87" s="13"/>
      <c r="AM87" s="13">
        <f>SUM(C87:AL87)</f>
        <v>1</v>
      </c>
    </row>
    <row r="88" spans="1:39" x14ac:dyDescent="0.25">
      <c r="A88" s="21"/>
      <c r="B88" s="13" t="s">
        <v>103</v>
      </c>
      <c r="C88" s="13"/>
      <c r="D88" s="13"/>
      <c r="E88" s="13"/>
      <c r="F88" s="13"/>
      <c r="G88" s="13"/>
      <c r="H88" s="13"/>
      <c r="I88" s="13"/>
      <c r="J88" s="13"/>
      <c r="K88" s="13"/>
      <c r="L88" s="13"/>
      <c r="M88" s="13"/>
      <c r="N88" s="13"/>
      <c r="O88" s="13"/>
      <c r="P88" s="13"/>
      <c r="Q88" s="13"/>
      <c r="R88" s="13"/>
      <c r="S88" s="13">
        <v>1</v>
      </c>
      <c r="T88" s="13"/>
      <c r="U88" s="13"/>
      <c r="V88" s="13"/>
      <c r="W88" s="13"/>
      <c r="X88" s="13"/>
      <c r="Y88" s="13"/>
      <c r="Z88" s="13"/>
      <c r="AA88" s="13"/>
      <c r="AB88" s="13"/>
      <c r="AC88" s="13"/>
      <c r="AD88" s="13"/>
      <c r="AE88" s="13"/>
      <c r="AF88" s="13"/>
      <c r="AG88" s="13"/>
      <c r="AH88" s="13"/>
      <c r="AI88" s="13"/>
      <c r="AJ88" s="13"/>
      <c r="AK88" s="13"/>
      <c r="AL88" s="13"/>
      <c r="AM88" s="13">
        <f>SUM(C88:AL88)</f>
        <v>1</v>
      </c>
    </row>
    <row r="89" spans="1:39" x14ac:dyDescent="0.25">
      <c r="A89" s="21"/>
      <c r="B89" s="13" t="s">
        <v>104</v>
      </c>
      <c r="C89" s="13"/>
      <c r="D89" s="13"/>
      <c r="E89" s="13"/>
      <c r="F89" s="13"/>
      <c r="G89" s="13"/>
      <c r="H89" s="13"/>
      <c r="I89" s="13"/>
      <c r="J89" s="13"/>
      <c r="K89" s="13"/>
      <c r="L89" s="13"/>
      <c r="M89" s="13"/>
      <c r="N89" s="13"/>
      <c r="O89" s="13"/>
      <c r="P89" s="13"/>
      <c r="Q89" s="13"/>
      <c r="R89" s="13"/>
      <c r="S89" s="13">
        <v>1</v>
      </c>
      <c r="T89" s="13"/>
      <c r="U89" s="13"/>
      <c r="V89" s="13"/>
      <c r="W89" s="13"/>
      <c r="X89" s="13"/>
      <c r="Y89" s="13"/>
      <c r="Z89" s="13"/>
      <c r="AA89" s="13"/>
      <c r="AB89" s="13"/>
      <c r="AC89" s="13"/>
      <c r="AD89" s="13"/>
      <c r="AE89" s="13"/>
      <c r="AF89" s="13"/>
      <c r="AG89" s="13"/>
      <c r="AH89" s="13"/>
      <c r="AI89" s="13"/>
      <c r="AJ89" s="13"/>
      <c r="AK89" s="13"/>
      <c r="AL89" s="13"/>
      <c r="AM89" s="13">
        <f>SUM(C89:AL89)</f>
        <v>1</v>
      </c>
    </row>
    <row r="90" spans="1:39"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row>
    <row r="91" spans="1:39" x14ac:dyDescent="0.25">
      <c r="A91" s="20" t="s">
        <v>105</v>
      </c>
      <c r="B91" s="20"/>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row>
    <row r="92" spans="1:39" x14ac:dyDescent="0.25">
      <c r="A92" s="21" t="s">
        <v>44</v>
      </c>
      <c r="B92" s="19" t="s">
        <v>106</v>
      </c>
      <c r="C92" s="13"/>
      <c r="D92" s="13"/>
      <c r="E92" s="13"/>
      <c r="F92" s="13"/>
      <c r="G92" s="13"/>
      <c r="H92" s="13"/>
      <c r="I92" s="13"/>
      <c r="J92" s="13"/>
      <c r="K92" s="13"/>
      <c r="L92" s="13"/>
      <c r="M92" s="13"/>
      <c r="N92" s="13"/>
      <c r="O92" s="13"/>
      <c r="P92" s="13"/>
      <c r="Q92" s="13"/>
      <c r="R92" s="13"/>
      <c r="S92" s="13"/>
      <c r="T92" s="13">
        <v>2</v>
      </c>
      <c r="U92" s="13"/>
      <c r="V92" s="13"/>
      <c r="W92" s="13"/>
      <c r="X92" s="13"/>
      <c r="Y92" s="13"/>
      <c r="Z92" s="13"/>
      <c r="AA92" s="13"/>
      <c r="AB92" s="13"/>
      <c r="AC92" s="13"/>
      <c r="AD92" s="13"/>
      <c r="AE92" s="13"/>
      <c r="AF92" s="13"/>
      <c r="AG92" s="13"/>
      <c r="AH92" s="13"/>
      <c r="AI92" s="13"/>
      <c r="AJ92" s="13"/>
      <c r="AK92" s="13"/>
      <c r="AL92" s="13"/>
      <c r="AM92" s="13">
        <f t="shared" ref="AM92:AM99" si="1">SUM(C92:AL92)</f>
        <v>2</v>
      </c>
    </row>
    <row r="93" spans="1:39" x14ac:dyDescent="0.25">
      <c r="A93" s="21"/>
      <c r="B93" s="13" t="s">
        <v>107</v>
      </c>
      <c r="C93" s="13"/>
      <c r="D93" s="13"/>
      <c r="E93" s="13"/>
      <c r="F93" s="13"/>
      <c r="G93" s="13"/>
      <c r="H93" s="13"/>
      <c r="I93" s="13"/>
      <c r="J93" s="13"/>
      <c r="K93" s="13"/>
      <c r="L93" s="13"/>
      <c r="M93" s="13"/>
      <c r="N93" s="13"/>
      <c r="O93" s="13"/>
      <c r="P93" s="13"/>
      <c r="Q93" s="13"/>
      <c r="R93" s="13"/>
      <c r="S93" s="13"/>
      <c r="T93" s="13">
        <v>2</v>
      </c>
      <c r="U93" s="13"/>
      <c r="V93" s="13"/>
      <c r="W93" s="13"/>
      <c r="X93" s="13"/>
      <c r="Y93" s="13"/>
      <c r="Z93" s="13"/>
      <c r="AA93" s="13"/>
      <c r="AB93" s="13"/>
      <c r="AC93" s="13"/>
      <c r="AD93" s="13"/>
      <c r="AE93" s="13"/>
      <c r="AF93" s="13"/>
      <c r="AG93" s="13"/>
      <c r="AH93" s="13"/>
      <c r="AI93" s="13"/>
      <c r="AJ93" s="13"/>
      <c r="AK93" s="13"/>
      <c r="AL93" s="13"/>
      <c r="AM93" s="13">
        <f t="shared" si="1"/>
        <v>2</v>
      </c>
    </row>
    <row r="94" spans="1:39" x14ac:dyDescent="0.25">
      <c r="A94" s="21"/>
      <c r="B94" s="13" t="s">
        <v>108</v>
      </c>
      <c r="C94" s="13"/>
      <c r="D94" s="13"/>
      <c r="E94" s="13"/>
      <c r="F94" s="13"/>
      <c r="G94" s="13"/>
      <c r="H94" s="13"/>
      <c r="I94" s="13"/>
      <c r="J94" s="13"/>
      <c r="K94" s="13"/>
      <c r="L94" s="13"/>
      <c r="M94" s="13"/>
      <c r="N94" s="13"/>
      <c r="O94" s="13"/>
      <c r="P94" s="13"/>
      <c r="Q94" s="13"/>
      <c r="R94" s="13"/>
      <c r="S94" s="13"/>
      <c r="T94" s="13">
        <v>1</v>
      </c>
      <c r="U94" s="13"/>
      <c r="V94" s="13"/>
      <c r="W94" s="13"/>
      <c r="X94" s="13"/>
      <c r="Y94" s="13"/>
      <c r="Z94" s="13"/>
      <c r="AA94" s="13"/>
      <c r="AB94" s="13"/>
      <c r="AC94" s="13"/>
      <c r="AD94" s="13"/>
      <c r="AE94" s="13"/>
      <c r="AF94" s="13"/>
      <c r="AG94" s="13"/>
      <c r="AH94" s="13"/>
      <c r="AI94" s="13"/>
      <c r="AJ94" s="13"/>
      <c r="AK94" s="13"/>
      <c r="AL94" s="13"/>
      <c r="AM94" s="13">
        <f t="shared" si="1"/>
        <v>1</v>
      </c>
    </row>
    <row r="95" spans="1:39" x14ac:dyDescent="0.25">
      <c r="A95" s="21"/>
      <c r="B95" s="13" t="s">
        <v>109</v>
      </c>
      <c r="C95" s="13"/>
      <c r="D95" s="13"/>
      <c r="E95" s="13"/>
      <c r="F95" s="13"/>
      <c r="G95" s="13"/>
      <c r="H95" s="13"/>
      <c r="I95" s="13"/>
      <c r="J95" s="13"/>
      <c r="K95" s="13"/>
      <c r="L95" s="13"/>
      <c r="M95" s="13"/>
      <c r="N95" s="13"/>
      <c r="O95" s="13"/>
      <c r="P95" s="13"/>
      <c r="Q95" s="13"/>
      <c r="R95" s="13"/>
      <c r="S95" s="13"/>
      <c r="T95" s="13">
        <v>1</v>
      </c>
      <c r="U95" s="13"/>
      <c r="V95" s="13"/>
      <c r="W95" s="13"/>
      <c r="X95" s="13"/>
      <c r="Y95" s="13"/>
      <c r="Z95" s="13"/>
      <c r="AA95" s="13"/>
      <c r="AB95" s="13"/>
      <c r="AC95" s="13"/>
      <c r="AD95" s="13"/>
      <c r="AE95" s="13"/>
      <c r="AF95" s="13"/>
      <c r="AG95" s="13"/>
      <c r="AH95" s="13"/>
      <c r="AI95" s="13"/>
      <c r="AJ95" s="13"/>
      <c r="AK95" s="13"/>
      <c r="AL95" s="13"/>
      <c r="AM95" s="13">
        <f t="shared" si="1"/>
        <v>1</v>
      </c>
    </row>
    <row r="96" spans="1:39" x14ac:dyDescent="0.25">
      <c r="A96" s="21"/>
      <c r="B96" s="13" t="s">
        <v>110</v>
      </c>
      <c r="C96" s="13"/>
      <c r="D96" s="13"/>
      <c r="E96" s="13"/>
      <c r="F96" s="13"/>
      <c r="G96" s="13"/>
      <c r="H96" s="13"/>
      <c r="I96" s="13"/>
      <c r="J96" s="13"/>
      <c r="K96" s="13"/>
      <c r="L96" s="13"/>
      <c r="M96" s="13"/>
      <c r="N96" s="13"/>
      <c r="O96" s="13"/>
      <c r="P96" s="13"/>
      <c r="Q96" s="13"/>
      <c r="R96" s="13"/>
      <c r="S96" s="13"/>
      <c r="T96" s="13">
        <v>2</v>
      </c>
      <c r="U96" s="13"/>
      <c r="V96" s="13"/>
      <c r="W96" s="13"/>
      <c r="X96" s="13"/>
      <c r="Y96" s="13"/>
      <c r="Z96" s="13"/>
      <c r="AA96" s="13"/>
      <c r="AB96" s="13"/>
      <c r="AC96" s="13"/>
      <c r="AD96" s="13"/>
      <c r="AE96" s="13"/>
      <c r="AF96" s="13"/>
      <c r="AG96" s="13"/>
      <c r="AH96" s="13"/>
      <c r="AI96" s="13"/>
      <c r="AJ96" s="13"/>
      <c r="AK96" s="13"/>
      <c r="AL96" s="13"/>
      <c r="AM96" s="13">
        <f t="shared" si="1"/>
        <v>2</v>
      </c>
    </row>
    <row r="97" spans="1:39" x14ac:dyDescent="0.25">
      <c r="A97" s="21"/>
      <c r="B97" s="13" t="s">
        <v>111</v>
      </c>
      <c r="C97" s="13"/>
      <c r="D97" s="13"/>
      <c r="E97" s="13"/>
      <c r="F97" s="13"/>
      <c r="G97" s="13"/>
      <c r="H97" s="13"/>
      <c r="I97" s="13"/>
      <c r="J97" s="13"/>
      <c r="K97" s="13"/>
      <c r="L97" s="13"/>
      <c r="M97" s="13"/>
      <c r="N97" s="13"/>
      <c r="O97" s="13"/>
      <c r="P97" s="13"/>
      <c r="Q97" s="13"/>
      <c r="R97" s="13"/>
      <c r="S97" s="13"/>
      <c r="T97" s="13">
        <v>1</v>
      </c>
      <c r="U97" s="13"/>
      <c r="V97" s="13"/>
      <c r="W97" s="13"/>
      <c r="X97" s="13"/>
      <c r="Y97" s="13"/>
      <c r="Z97" s="13"/>
      <c r="AA97" s="13"/>
      <c r="AB97" s="13"/>
      <c r="AC97" s="13"/>
      <c r="AD97" s="13"/>
      <c r="AE97" s="13"/>
      <c r="AF97" s="13"/>
      <c r="AG97" s="13"/>
      <c r="AH97" s="13"/>
      <c r="AI97" s="13"/>
      <c r="AJ97" s="13"/>
      <c r="AK97" s="13"/>
      <c r="AL97" s="13"/>
      <c r="AM97" s="13">
        <f t="shared" si="1"/>
        <v>1</v>
      </c>
    </row>
    <row r="98" spans="1:39" x14ac:dyDescent="0.25">
      <c r="A98" s="21"/>
      <c r="B98" s="13" t="s">
        <v>112</v>
      </c>
      <c r="C98" s="13"/>
      <c r="D98" s="13"/>
      <c r="E98" s="13"/>
      <c r="F98" s="13"/>
      <c r="G98" s="13"/>
      <c r="H98" s="13"/>
      <c r="I98" s="13"/>
      <c r="J98" s="13"/>
      <c r="K98" s="13"/>
      <c r="L98" s="13"/>
      <c r="M98" s="13"/>
      <c r="N98" s="13"/>
      <c r="O98" s="13"/>
      <c r="P98" s="13"/>
      <c r="Q98" s="13"/>
      <c r="R98" s="13"/>
      <c r="S98" s="13"/>
      <c r="T98" s="13">
        <v>1</v>
      </c>
      <c r="U98" s="13"/>
      <c r="V98" s="13"/>
      <c r="W98" s="13"/>
      <c r="X98" s="13"/>
      <c r="Y98" s="13"/>
      <c r="Z98" s="13"/>
      <c r="AA98" s="13"/>
      <c r="AB98" s="13"/>
      <c r="AC98" s="13"/>
      <c r="AD98" s="13"/>
      <c r="AE98" s="13"/>
      <c r="AF98" s="13"/>
      <c r="AG98" s="13"/>
      <c r="AH98" s="13"/>
      <c r="AI98" s="13"/>
      <c r="AJ98" s="13"/>
      <c r="AK98" s="13"/>
      <c r="AL98" s="13"/>
      <c r="AM98" s="13">
        <f t="shared" si="1"/>
        <v>1</v>
      </c>
    </row>
    <row r="99" spans="1:39" x14ac:dyDescent="0.25">
      <c r="A99" s="13"/>
      <c r="B99" s="13" t="s">
        <v>113</v>
      </c>
      <c r="C99" s="13"/>
      <c r="D99" s="13"/>
      <c r="E99" s="13"/>
      <c r="F99" s="13"/>
      <c r="G99" s="13"/>
      <c r="H99" s="13"/>
      <c r="I99" s="13"/>
      <c r="J99" s="13"/>
      <c r="K99" s="13"/>
      <c r="L99" s="13"/>
      <c r="M99" s="13"/>
      <c r="N99" s="13"/>
      <c r="O99" s="13"/>
      <c r="P99" s="13"/>
      <c r="Q99" s="13"/>
      <c r="R99" s="13"/>
      <c r="S99" s="13"/>
      <c r="T99" s="13">
        <v>1</v>
      </c>
      <c r="U99" s="13"/>
      <c r="V99" s="13"/>
      <c r="W99" s="13"/>
      <c r="X99" s="13"/>
      <c r="Y99" s="13"/>
      <c r="Z99" s="13"/>
      <c r="AA99" s="13"/>
      <c r="AB99" s="13"/>
      <c r="AC99" s="13"/>
      <c r="AD99" s="13"/>
      <c r="AE99" s="13"/>
      <c r="AF99" s="13"/>
      <c r="AG99" s="13"/>
      <c r="AH99" s="13"/>
      <c r="AI99" s="13"/>
      <c r="AJ99" s="13"/>
      <c r="AK99" s="13"/>
      <c r="AL99" s="13"/>
      <c r="AM99" s="13">
        <f t="shared" si="1"/>
        <v>1</v>
      </c>
    </row>
    <row r="100" spans="1:39"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row>
    <row r="101" spans="1:39" x14ac:dyDescent="0.25">
      <c r="A101" s="20" t="s">
        <v>114</v>
      </c>
      <c r="B101" s="20"/>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row>
    <row r="102" spans="1:39" x14ac:dyDescent="0.25">
      <c r="A102" s="21" t="s">
        <v>44</v>
      </c>
      <c r="B102" s="19" t="s">
        <v>115</v>
      </c>
      <c r="C102" s="13"/>
      <c r="D102" s="13"/>
      <c r="E102" s="13"/>
      <c r="F102" s="13"/>
      <c r="G102" s="13"/>
      <c r="H102" s="13"/>
      <c r="I102" s="13"/>
      <c r="J102" s="13"/>
      <c r="K102" s="13"/>
      <c r="L102" s="13"/>
      <c r="M102" s="13"/>
      <c r="N102" s="13"/>
      <c r="O102" s="13"/>
      <c r="P102" s="13"/>
      <c r="Q102" s="13"/>
      <c r="R102" s="13"/>
      <c r="S102" s="13"/>
      <c r="T102" s="13"/>
      <c r="U102" s="13">
        <v>22</v>
      </c>
      <c r="V102" s="13"/>
      <c r="W102" s="13"/>
      <c r="X102" s="13"/>
      <c r="Y102" s="13"/>
      <c r="Z102" s="13"/>
      <c r="AA102" s="13"/>
      <c r="AB102" s="13"/>
      <c r="AC102" s="13"/>
      <c r="AD102" s="13"/>
      <c r="AE102" s="13"/>
      <c r="AF102" s="13"/>
      <c r="AG102" s="13"/>
      <c r="AH102" s="13"/>
      <c r="AI102" s="13"/>
      <c r="AJ102" s="13"/>
      <c r="AK102" s="13"/>
      <c r="AL102" s="13"/>
      <c r="AM102" s="13">
        <f t="shared" ref="AM102:AM109" si="2">SUM(C102:AL102)</f>
        <v>22</v>
      </c>
    </row>
    <row r="103" spans="1:39" x14ac:dyDescent="0.25">
      <c r="A103" s="21"/>
      <c r="B103" s="13" t="s">
        <v>116</v>
      </c>
      <c r="C103" s="13"/>
      <c r="D103" s="13"/>
      <c r="E103" s="13"/>
      <c r="F103" s="13"/>
      <c r="G103" s="13"/>
      <c r="H103" s="13"/>
      <c r="I103" s="13"/>
      <c r="J103" s="13"/>
      <c r="K103" s="13"/>
      <c r="L103" s="13"/>
      <c r="M103" s="13"/>
      <c r="N103" s="13"/>
      <c r="O103" s="13"/>
      <c r="P103" s="13"/>
      <c r="Q103" s="13"/>
      <c r="R103" s="13"/>
      <c r="S103" s="13"/>
      <c r="T103" s="13"/>
      <c r="U103" s="13">
        <v>4</v>
      </c>
      <c r="V103" s="13"/>
      <c r="W103" s="13"/>
      <c r="X103" s="13"/>
      <c r="Y103" s="13"/>
      <c r="Z103" s="13"/>
      <c r="AA103" s="13"/>
      <c r="AB103" s="13"/>
      <c r="AC103" s="13"/>
      <c r="AD103" s="13"/>
      <c r="AE103" s="13"/>
      <c r="AF103" s="13"/>
      <c r="AG103" s="13"/>
      <c r="AH103" s="13"/>
      <c r="AI103" s="13"/>
      <c r="AJ103" s="13"/>
      <c r="AK103" s="13"/>
      <c r="AL103" s="13"/>
      <c r="AM103" s="13">
        <f t="shared" si="2"/>
        <v>4</v>
      </c>
    </row>
    <row r="104" spans="1:39" x14ac:dyDescent="0.25">
      <c r="A104" s="21"/>
      <c r="B104" s="13" t="s">
        <v>117</v>
      </c>
      <c r="C104" s="13"/>
      <c r="D104" s="13"/>
      <c r="E104" s="13"/>
      <c r="F104" s="13"/>
      <c r="G104" s="13"/>
      <c r="H104" s="13"/>
      <c r="I104" s="13"/>
      <c r="J104" s="13"/>
      <c r="K104" s="13"/>
      <c r="L104" s="13"/>
      <c r="M104" s="13"/>
      <c r="N104" s="13"/>
      <c r="O104" s="13"/>
      <c r="P104" s="13"/>
      <c r="Q104" s="13"/>
      <c r="R104" s="13"/>
      <c r="S104" s="13"/>
      <c r="T104" s="13"/>
      <c r="U104" s="13">
        <v>1</v>
      </c>
      <c r="V104" s="13"/>
      <c r="W104" s="13"/>
      <c r="X104" s="13"/>
      <c r="Y104" s="13"/>
      <c r="Z104" s="13"/>
      <c r="AA104" s="13"/>
      <c r="AB104" s="13"/>
      <c r="AC104" s="13"/>
      <c r="AD104" s="13"/>
      <c r="AE104" s="13"/>
      <c r="AF104" s="13"/>
      <c r="AG104" s="13"/>
      <c r="AH104" s="13"/>
      <c r="AI104" s="13"/>
      <c r="AJ104" s="13"/>
      <c r="AK104" s="13"/>
      <c r="AL104" s="13"/>
      <c r="AM104" s="13">
        <f t="shared" si="2"/>
        <v>1</v>
      </c>
    </row>
    <row r="105" spans="1:39" x14ac:dyDescent="0.25">
      <c r="A105" s="21"/>
      <c r="B105" s="13" t="s">
        <v>118</v>
      </c>
      <c r="C105" s="13"/>
      <c r="D105" s="13"/>
      <c r="E105" s="13"/>
      <c r="F105" s="13"/>
      <c r="G105" s="13"/>
      <c r="H105" s="13"/>
      <c r="I105" s="13"/>
      <c r="J105" s="13"/>
      <c r="K105" s="13"/>
      <c r="L105" s="13"/>
      <c r="M105" s="13"/>
      <c r="N105" s="13"/>
      <c r="O105" s="13"/>
      <c r="P105" s="13"/>
      <c r="Q105" s="13"/>
      <c r="R105" s="13"/>
      <c r="S105" s="13"/>
      <c r="T105" s="13"/>
      <c r="U105" s="13">
        <v>1</v>
      </c>
      <c r="V105" s="13"/>
      <c r="W105" s="13"/>
      <c r="X105" s="13"/>
      <c r="Y105" s="13"/>
      <c r="Z105" s="13"/>
      <c r="AA105" s="13"/>
      <c r="AB105" s="13"/>
      <c r="AC105" s="13"/>
      <c r="AD105" s="13"/>
      <c r="AE105" s="13"/>
      <c r="AF105" s="13"/>
      <c r="AG105" s="13"/>
      <c r="AH105" s="13"/>
      <c r="AI105" s="13"/>
      <c r="AJ105" s="13"/>
      <c r="AK105" s="13"/>
      <c r="AL105" s="13"/>
      <c r="AM105" s="13">
        <f t="shared" si="2"/>
        <v>1</v>
      </c>
    </row>
    <row r="106" spans="1:39" x14ac:dyDescent="0.25">
      <c r="A106" s="21"/>
      <c r="B106" s="13" t="s">
        <v>119</v>
      </c>
      <c r="C106" s="13"/>
      <c r="D106" s="13"/>
      <c r="E106" s="13"/>
      <c r="F106" s="13"/>
      <c r="G106" s="13"/>
      <c r="H106" s="13"/>
      <c r="I106" s="13"/>
      <c r="J106" s="13"/>
      <c r="K106" s="13"/>
      <c r="L106" s="13"/>
      <c r="M106" s="13"/>
      <c r="N106" s="13"/>
      <c r="O106" s="13"/>
      <c r="P106" s="13"/>
      <c r="Q106" s="13"/>
      <c r="R106" s="13"/>
      <c r="S106" s="13"/>
      <c r="T106" s="13"/>
      <c r="U106" s="13">
        <v>1</v>
      </c>
      <c r="V106" s="13"/>
      <c r="W106" s="13"/>
      <c r="X106" s="13"/>
      <c r="Y106" s="13"/>
      <c r="Z106" s="13"/>
      <c r="AA106" s="13"/>
      <c r="AB106" s="13"/>
      <c r="AC106" s="13"/>
      <c r="AD106" s="13"/>
      <c r="AE106" s="13"/>
      <c r="AF106" s="13"/>
      <c r="AG106" s="13"/>
      <c r="AH106" s="13"/>
      <c r="AI106" s="13"/>
      <c r="AJ106" s="13"/>
      <c r="AK106" s="13"/>
      <c r="AL106" s="13"/>
      <c r="AM106" s="13">
        <f t="shared" si="2"/>
        <v>1</v>
      </c>
    </row>
    <row r="107" spans="1:39" x14ac:dyDescent="0.25">
      <c r="A107" s="21"/>
      <c r="B107" s="13" t="s">
        <v>120</v>
      </c>
      <c r="C107" s="13"/>
      <c r="D107" s="13"/>
      <c r="E107" s="13"/>
      <c r="F107" s="13"/>
      <c r="G107" s="13"/>
      <c r="H107" s="13"/>
      <c r="I107" s="13"/>
      <c r="J107" s="13"/>
      <c r="K107" s="13"/>
      <c r="L107" s="13"/>
      <c r="M107" s="13"/>
      <c r="N107" s="13"/>
      <c r="O107" s="13"/>
      <c r="P107" s="13"/>
      <c r="Q107" s="13"/>
      <c r="R107" s="13"/>
      <c r="S107" s="13"/>
      <c r="T107" s="13"/>
      <c r="U107" s="13">
        <v>1</v>
      </c>
      <c r="V107" s="13"/>
      <c r="W107" s="13"/>
      <c r="X107" s="13"/>
      <c r="Y107" s="13"/>
      <c r="Z107" s="13"/>
      <c r="AA107" s="13"/>
      <c r="AB107" s="13"/>
      <c r="AC107" s="13"/>
      <c r="AD107" s="13"/>
      <c r="AE107" s="13"/>
      <c r="AF107" s="13"/>
      <c r="AG107" s="13"/>
      <c r="AH107" s="13"/>
      <c r="AI107" s="13"/>
      <c r="AJ107" s="13"/>
      <c r="AK107" s="13"/>
      <c r="AL107" s="13"/>
      <c r="AM107" s="13">
        <f t="shared" si="2"/>
        <v>1</v>
      </c>
    </row>
    <row r="108" spans="1:39" x14ac:dyDescent="0.25">
      <c r="A108" s="21"/>
      <c r="B108" s="13" t="s">
        <v>104</v>
      </c>
      <c r="C108" s="13"/>
      <c r="D108" s="13"/>
      <c r="E108" s="13"/>
      <c r="F108" s="13"/>
      <c r="G108" s="13"/>
      <c r="H108" s="13"/>
      <c r="I108" s="13"/>
      <c r="J108" s="13"/>
      <c r="K108" s="13"/>
      <c r="L108" s="13"/>
      <c r="M108" s="13"/>
      <c r="N108" s="13"/>
      <c r="O108" s="13"/>
      <c r="P108" s="13"/>
      <c r="Q108" s="13"/>
      <c r="R108" s="13"/>
      <c r="S108" s="13"/>
      <c r="T108" s="13"/>
      <c r="U108" s="13">
        <v>2</v>
      </c>
      <c r="V108" s="13"/>
      <c r="W108" s="13"/>
      <c r="X108" s="13"/>
      <c r="Y108" s="13"/>
      <c r="Z108" s="13"/>
      <c r="AA108" s="13"/>
      <c r="AB108" s="13"/>
      <c r="AC108" s="13"/>
      <c r="AD108" s="13"/>
      <c r="AE108" s="13"/>
      <c r="AF108" s="13"/>
      <c r="AG108" s="13"/>
      <c r="AH108" s="13"/>
      <c r="AI108" s="13"/>
      <c r="AJ108" s="13"/>
      <c r="AK108" s="13"/>
      <c r="AL108" s="13"/>
      <c r="AM108" s="13">
        <f t="shared" si="2"/>
        <v>2</v>
      </c>
    </row>
    <row r="109" spans="1:39" x14ac:dyDescent="0.25">
      <c r="A109" s="21"/>
      <c r="B109" s="13" t="s">
        <v>121</v>
      </c>
      <c r="C109" s="13"/>
      <c r="D109" s="13"/>
      <c r="E109" s="13"/>
      <c r="F109" s="13"/>
      <c r="G109" s="13"/>
      <c r="H109" s="13"/>
      <c r="I109" s="13"/>
      <c r="J109" s="13"/>
      <c r="K109" s="13"/>
      <c r="L109" s="13"/>
      <c r="M109" s="13"/>
      <c r="N109" s="13"/>
      <c r="O109" s="13"/>
      <c r="P109" s="13"/>
      <c r="Q109" s="13"/>
      <c r="R109" s="13"/>
      <c r="S109" s="13"/>
      <c r="T109" s="13"/>
      <c r="U109" s="13">
        <v>1</v>
      </c>
      <c r="V109" s="13"/>
      <c r="W109" s="13"/>
      <c r="X109" s="13"/>
      <c r="Y109" s="13"/>
      <c r="Z109" s="13"/>
      <c r="AA109" s="13"/>
      <c r="AB109" s="13"/>
      <c r="AC109" s="13"/>
      <c r="AD109" s="13"/>
      <c r="AE109" s="13"/>
      <c r="AF109" s="13"/>
      <c r="AG109" s="13"/>
      <c r="AH109" s="13"/>
      <c r="AI109" s="13"/>
      <c r="AJ109" s="13"/>
      <c r="AK109" s="13"/>
      <c r="AL109" s="13"/>
      <c r="AM109" s="13">
        <f t="shared" si="2"/>
        <v>1</v>
      </c>
    </row>
    <row r="110" spans="1:39"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row>
    <row r="111" spans="1:39" x14ac:dyDescent="0.25">
      <c r="A111" s="20" t="s">
        <v>122</v>
      </c>
      <c r="B111" s="20"/>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row>
    <row r="112" spans="1:39" x14ac:dyDescent="0.25">
      <c r="A112" s="2"/>
      <c r="B112" s="19" t="s">
        <v>123</v>
      </c>
      <c r="C112" s="13"/>
      <c r="D112" s="13"/>
      <c r="E112" s="13"/>
      <c r="F112" s="13"/>
      <c r="G112" s="13"/>
      <c r="H112" s="13"/>
      <c r="I112" s="13"/>
      <c r="J112" s="13"/>
      <c r="K112" s="13"/>
      <c r="L112" s="13"/>
      <c r="M112" s="13"/>
      <c r="N112" s="13"/>
      <c r="O112" s="13"/>
      <c r="P112" s="13"/>
      <c r="Q112" s="13"/>
      <c r="R112" s="13"/>
      <c r="S112" s="13"/>
      <c r="T112" s="13"/>
      <c r="U112" s="13"/>
      <c r="V112" s="13">
        <v>28</v>
      </c>
      <c r="W112" s="13"/>
      <c r="X112" s="13"/>
      <c r="Y112" s="13"/>
      <c r="Z112" s="13"/>
      <c r="AA112" s="13"/>
      <c r="AB112" s="13"/>
      <c r="AC112" s="13"/>
      <c r="AD112" s="13"/>
      <c r="AE112" s="13"/>
      <c r="AF112" s="13"/>
      <c r="AG112" s="13"/>
      <c r="AH112" s="13"/>
      <c r="AI112" s="13"/>
      <c r="AJ112" s="13"/>
      <c r="AK112" s="13"/>
      <c r="AL112" s="13"/>
      <c r="AM112" s="13">
        <f>SUM(C112:AL112)</f>
        <v>28</v>
      </c>
    </row>
    <row r="113" spans="1:39" x14ac:dyDescent="0.25">
      <c r="A113" s="21" t="s">
        <v>44</v>
      </c>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row>
    <row r="114" spans="1:39"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row>
    <row r="115" spans="1:39" x14ac:dyDescent="0.25">
      <c r="A115" s="20" t="s">
        <v>124</v>
      </c>
      <c r="B115" s="20"/>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row>
    <row r="116" spans="1:39" x14ac:dyDescent="0.25">
      <c r="A116" s="21" t="s">
        <v>44</v>
      </c>
      <c r="B116" s="13" t="s">
        <v>125</v>
      </c>
      <c r="C116" s="13"/>
      <c r="D116" s="13"/>
      <c r="E116" s="13"/>
      <c r="F116" s="13"/>
      <c r="G116" s="13"/>
      <c r="H116" s="13"/>
      <c r="I116" s="13"/>
      <c r="J116" s="13"/>
      <c r="K116" s="13"/>
      <c r="L116" s="13"/>
      <c r="M116" s="13"/>
      <c r="N116" s="13"/>
      <c r="O116" s="13"/>
      <c r="P116" s="13"/>
      <c r="Q116" s="13"/>
      <c r="R116" s="13"/>
      <c r="S116" s="13"/>
      <c r="T116" s="13"/>
      <c r="U116" s="13"/>
      <c r="V116" s="13"/>
      <c r="W116" s="13">
        <v>2</v>
      </c>
      <c r="X116" s="13"/>
      <c r="Y116" s="13"/>
      <c r="Z116" s="13"/>
      <c r="AA116" s="13"/>
      <c r="AB116" s="13"/>
      <c r="AC116" s="13"/>
      <c r="AD116" s="13"/>
      <c r="AE116" s="13"/>
      <c r="AF116" s="13"/>
      <c r="AG116" s="13"/>
      <c r="AH116" s="13"/>
      <c r="AI116" s="13"/>
      <c r="AJ116" s="13"/>
      <c r="AK116" s="13"/>
      <c r="AL116" s="13"/>
      <c r="AM116" s="13">
        <f>SUM(C116:AL116)</f>
        <v>2</v>
      </c>
    </row>
    <row r="117" spans="1:39" x14ac:dyDescent="0.25">
      <c r="A117" s="21"/>
      <c r="B117" s="19" t="s">
        <v>126</v>
      </c>
      <c r="C117" s="13"/>
      <c r="D117" s="13"/>
      <c r="E117" s="13"/>
      <c r="F117" s="13"/>
      <c r="G117" s="13"/>
      <c r="H117" s="13"/>
      <c r="I117" s="13"/>
      <c r="J117" s="13"/>
      <c r="K117" s="13"/>
      <c r="L117" s="13"/>
      <c r="M117" s="13"/>
      <c r="N117" s="13"/>
      <c r="O117" s="13"/>
      <c r="P117" s="13"/>
      <c r="Q117" s="13"/>
      <c r="R117" s="13"/>
      <c r="S117" s="13"/>
      <c r="T117" s="13"/>
      <c r="U117" s="13"/>
      <c r="V117" s="13"/>
      <c r="W117" s="13">
        <v>4</v>
      </c>
      <c r="X117" s="13"/>
      <c r="Y117" s="13"/>
      <c r="Z117" s="13"/>
      <c r="AA117" s="13"/>
      <c r="AB117" s="13"/>
      <c r="AC117" s="13"/>
      <c r="AD117" s="13"/>
      <c r="AE117" s="13"/>
      <c r="AF117" s="13"/>
      <c r="AG117" s="13"/>
      <c r="AH117" s="13"/>
      <c r="AI117" s="13"/>
      <c r="AJ117" s="13"/>
      <c r="AK117" s="13"/>
      <c r="AL117" s="13"/>
      <c r="AM117" s="13">
        <f>SUM(C117:AL117)</f>
        <v>4</v>
      </c>
    </row>
    <row r="118" spans="1:39" x14ac:dyDescent="0.25">
      <c r="A118" s="21"/>
      <c r="B118" s="13" t="s">
        <v>127</v>
      </c>
      <c r="C118" s="13"/>
      <c r="D118" s="13"/>
      <c r="E118" s="13"/>
      <c r="F118" s="13"/>
      <c r="G118" s="13"/>
      <c r="H118" s="13"/>
      <c r="I118" s="13"/>
      <c r="J118" s="13"/>
      <c r="K118" s="13"/>
      <c r="L118" s="13"/>
      <c r="M118" s="13"/>
      <c r="N118" s="13"/>
      <c r="O118" s="13"/>
      <c r="P118" s="13"/>
      <c r="Q118" s="13"/>
      <c r="R118" s="13"/>
      <c r="S118" s="13"/>
      <c r="T118" s="13"/>
      <c r="U118" s="13"/>
      <c r="V118" s="13"/>
      <c r="W118" s="13">
        <v>1</v>
      </c>
      <c r="X118" s="13"/>
      <c r="Y118" s="13"/>
      <c r="Z118" s="13"/>
      <c r="AA118" s="13"/>
      <c r="AB118" s="13"/>
      <c r="AC118" s="13"/>
      <c r="AD118" s="13"/>
      <c r="AE118" s="13"/>
      <c r="AF118" s="13"/>
      <c r="AG118" s="13"/>
      <c r="AH118" s="13"/>
      <c r="AI118" s="13"/>
      <c r="AJ118" s="13"/>
      <c r="AK118" s="13"/>
      <c r="AL118" s="13"/>
      <c r="AM118" s="13">
        <f>SUM(C118:AL118)</f>
        <v>1</v>
      </c>
    </row>
    <row r="119" spans="1:39" x14ac:dyDescent="0.25">
      <c r="A119" s="21"/>
      <c r="B119" s="13" t="s">
        <v>128</v>
      </c>
      <c r="C119" s="13"/>
      <c r="D119" s="13"/>
      <c r="E119" s="13"/>
      <c r="F119" s="13"/>
      <c r="G119" s="13"/>
      <c r="H119" s="13"/>
      <c r="I119" s="13"/>
      <c r="J119" s="13"/>
      <c r="K119" s="13"/>
      <c r="L119" s="13"/>
      <c r="M119" s="13"/>
      <c r="N119" s="13"/>
      <c r="O119" s="13"/>
      <c r="P119" s="13"/>
      <c r="Q119" s="13"/>
      <c r="R119" s="13"/>
      <c r="S119" s="13"/>
      <c r="T119" s="13"/>
      <c r="U119" s="13"/>
      <c r="V119" s="13"/>
      <c r="W119" s="13">
        <v>1</v>
      </c>
      <c r="X119" s="13"/>
      <c r="Y119" s="13"/>
      <c r="Z119" s="13"/>
      <c r="AA119" s="13"/>
      <c r="AB119" s="13"/>
      <c r="AC119" s="13"/>
      <c r="AD119" s="13"/>
      <c r="AE119" s="13"/>
      <c r="AF119" s="13"/>
      <c r="AG119" s="13"/>
      <c r="AH119" s="13"/>
      <c r="AI119" s="13"/>
      <c r="AJ119" s="13"/>
      <c r="AK119" s="13"/>
      <c r="AL119" s="13"/>
      <c r="AM119" s="13">
        <f>SUM(C119:AL119)</f>
        <v>1</v>
      </c>
    </row>
    <row r="120" spans="1:39"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row>
    <row r="121" spans="1:39" x14ac:dyDescent="0.25">
      <c r="A121" s="20" t="s">
        <v>129</v>
      </c>
      <c r="B121" s="20"/>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22"/>
    </row>
    <row r="122" spans="1:39" x14ac:dyDescent="0.25">
      <c r="A122" s="23"/>
      <c r="B122" s="24" t="s">
        <v>130</v>
      </c>
      <c r="C122" s="13"/>
      <c r="D122" s="13"/>
      <c r="E122" s="13"/>
      <c r="F122" s="13"/>
      <c r="G122" s="13"/>
      <c r="H122" s="13"/>
      <c r="I122" s="13"/>
      <c r="J122" s="13"/>
      <c r="K122" s="13"/>
      <c r="L122" s="13"/>
      <c r="M122" s="13"/>
      <c r="N122" s="13"/>
      <c r="O122" s="13"/>
      <c r="P122" s="13"/>
      <c r="Q122" s="13"/>
      <c r="R122" s="13"/>
      <c r="S122" s="13"/>
      <c r="T122" s="13"/>
      <c r="U122" s="13"/>
      <c r="V122" s="13"/>
      <c r="W122" s="13"/>
      <c r="X122" s="13">
        <v>23</v>
      </c>
      <c r="Y122" s="13"/>
      <c r="Z122" s="13"/>
      <c r="AA122" s="13"/>
      <c r="AB122" s="13"/>
      <c r="AC122" s="13"/>
      <c r="AD122" s="13"/>
      <c r="AE122" s="13"/>
      <c r="AF122" s="13"/>
      <c r="AG122" s="13"/>
      <c r="AH122" s="13"/>
      <c r="AI122" s="13"/>
      <c r="AJ122" s="13"/>
      <c r="AK122" s="13"/>
      <c r="AL122" s="13"/>
      <c r="AM122" s="13">
        <f>SUM(C122:AL122)</f>
        <v>23</v>
      </c>
    </row>
    <row r="123" spans="1:39" x14ac:dyDescent="0.25">
      <c r="A123" s="21" t="s">
        <v>44</v>
      </c>
      <c r="B123" s="13" t="s">
        <v>131</v>
      </c>
      <c r="C123" s="13"/>
      <c r="D123" s="13"/>
      <c r="E123" s="13"/>
      <c r="F123" s="13"/>
      <c r="G123" s="13"/>
      <c r="H123" s="13"/>
      <c r="I123" s="13"/>
      <c r="J123" s="13"/>
      <c r="K123" s="13"/>
      <c r="L123" s="13"/>
      <c r="M123" s="13"/>
      <c r="N123" s="13"/>
      <c r="O123" s="13"/>
      <c r="P123" s="13"/>
      <c r="Q123" s="13"/>
      <c r="R123" s="13"/>
      <c r="S123" s="13"/>
      <c r="T123" s="13"/>
      <c r="U123" s="13"/>
      <c r="V123" s="13"/>
      <c r="W123" s="13"/>
      <c r="X123" s="13">
        <v>1</v>
      </c>
      <c r="Y123" s="13"/>
      <c r="Z123" s="13"/>
      <c r="AA123" s="13"/>
      <c r="AB123" s="13"/>
      <c r="AC123" s="13"/>
      <c r="AD123" s="13"/>
      <c r="AE123" s="13"/>
      <c r="AF123" s="13"/>
      <c r="AG123" s="13"/>
      <c r="AH123" s="13"/>
      <c r="AI123" s="13"/>
      <c r="AJ123" s="13"/>
      <c r="AK123" s="13"/>
      <c r="AL123" s="13"/>
      <c r="AM123" s="13">
        <f>SUM(C123:AL123)</f>
        <v>1</v>
      </c>
    </row>
    <row r="124" spans="1:39"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row>
    <row r="125" spans="1:39" x14ac:dyDescent="0.25">
      <c r="A125" s="20" t="s">
        <v>132</v>
      </c>
      <c r="B125" s="20"/>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row>
    <row r="126" spans="1:39" x14ac:dyDescent="0.25">
      <c r="A126" s="21" t="s">
        <v>44</v>
      </c>
      <c r="B126" s="19" t="s">
        <v>133</v>
      </c>
      <c r="C126" s="13"/>
      <c r="D126" s="13"/>
      <c r="E126" s="13"/>
      <c r="F126" s="13"/>
      <c r="G126" s="13"/>
      <c r="H126" s="13"/>
      <c r="I126" s="13"/>
      <c r="J126" s="13"/>
      <c r="K126" s="13"/>
      <c r="L126" s="13"/>
      <c r="M126" s="13"/>
      <c r="N126" s="13"/>
      <c r="O126" s="13"/>
      <c r="P126" s="13"/>
      <c r="Q126" s="13"/>
      <c r="R126" s="13"/>
      <c r="S126" s="13"/>
      <c r="T126" s="13"/>
      <c r="U126" s="13"/>
      <c r="V126" s="13"/>
      <c r="W126" s="13"/>
      <c r="X126" s="13"/>
      <c r="Y126" s="13">
        <v>1</v>
      </c>
      <c r="Z126" s="13"/>
      <c r="AA126" s="13"/>
      <c r="AB126" s="13"/>
      <c r="AC126" s="13"/>
      <c r="AD126" s="13"/>
      <c r="AE126" s="13"/>
      <c r="AF126" s="13"/>
      <c r="AG126" s="13"/>
      <c r="AH126" s="13"/>
      <c r="AI126" s="13"/>
      <c r="AJ126" s="13"/>
      <c r="AK126" s="13"/>
      <c r="AL126" s="13"/>
      <c r="AM126" s="13">
        <f>SUM(C126:AL126)</f>
        <v>1</v>
      </c>
    </row>
    <row r="127" spans="1:39"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row>
    <row r="128" spans="1:39" x14ac:dyDescent="0.25">
      <c r="A128" s="20" t="s">
        <v>134</v>
      </c>
      <c r="B128" s="20"/>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row>
    <row r="129" spans="1:39" x14ac:dyDescent="0.25">
      <c r="A129" s="2"/>
      <c r="B129" s="19" t="s">
        <v>135</v>
      </c>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v>28</v>
      </c>
      <c r="AA129" s="13"/>
      <c r="AB129" s="13"/>
      <c r="AC129" s="13"/>
      <c r="AD129" s="13"/>
      <c r="AE129" s="13"/>
      <c r="AF129" s="13"/>
      <c r="AG129" s="13"/>
      <c r="AH129" s="13"/>
      <c r="AI129" s="13"/>
      <c r="AJ129" s="13"/>
      <c r="AK129" s="13"/>
      <c r="AL129" s="13"/>
      <c r="AM129" s="13">
        <f>SUM(C129:AL129)</f>
        <v>28</v>
      </c>
    </row>
    <row r="130" spans="1:39" x14ac:dyDescent="0.25">
      <c r="A130" s="21" t="s">
        <v>44</v>
      </c>
      <c r="B130" s="13" t="s">
        <v>136</v>
      </c>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v>1</v>
      </c>
      <c r="AA130" s="13"/>
      <c r="AB130" s="13"/>
      <c r="AC130" s="13"/>
      <c r="AD130" s="13"/>
      <c r="AE130" s="13"/>
      <c r="AF130" s="13"/>
      <c r="AG130" s="13"/>
      <c r="AH130" s="13"/>
      <c r="AI130" s="13"/>
      <c r="AJ130" s="13"/>
      <c r="AK130" s="13"/>
      <c r="AL130" s="13"/>
      <c r="AM130" s="13">
        <f>SUM(C130:AL130)</f>
        <v>1</v>
      </c>
    </row>
    <row r="131" spans="1:39" x14ac:dyDescent="0.25">
      <c r="A131" s="21"/>
      <c r="B131" s="13" t="s">
        <v>137</v>
      </c>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v>1</v>
      </c>
      <c r="AA131" s="13"/>
      <c r="AB131" s="13"/>
      <c r="AC131" s="13"/>
      <c r="AD131" s="13"/>
      <c r="AE131" s="13"/>
      <c r="AF131" s="13"/>
      <c r="AG131" s="13"/>
      <c r="AH131" s="13"/>
      <c r="AI131" s="13"/>
      <c r="AJ131" s="13"/>
      <c r="AK131" s="13"/>
      <c r="AL131" s="13"/>
      <c r="AM131" s="13">
        <f>SUM(C131:AL131)</f>
        <v>1</v>
      </c>
    </row>
    <row r="132" spans="1:39"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row>
    <row r="133" spans="1:39" x14ac:dyDescent="0.25">
      <c r="A133" s="20" t="s">
        <v>138</v>
      </c>
      <c r="B133" s="20"/>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row>
    <row r="134" spans="1:39" x14ac:dyDescent="0.25">
      <c r="A134" s="21" t="s">
        <v>44</v>
      </c>
      <c r="B134" s="13" t="s">
        <v>139</v>
      </c>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v>5</v>
      </c>
      <c r="AB134" s="13"/>
      <c r="AC134" s="13"/>
      <c r="AD134" s="13"/>
      <c r="AE134" s="13"/>
      <c r="AF134" s="13"/>
      <c r="AG134" s="13"/>
      <c r="AH134" s="13"/>
      <c r="AI134" s="13"/>
      <c r="AJ134" s="13"/>
      <c r="AK134" s="13"/>
      <c r="AL134" s="13"/>
      <c r="AM134" s="13">
        <f t="shared" ref="AM134:AM139" si="3">SUM(C134:AL134)</f>
        <v>5</v>
      </c>
    </row>
    <row r="135" spans="1:39" x14ac:dyDescent="0.25">
      <c r="A135" s="21"/>
      <c r="B135" s="19" t="s">
        <v>140</v>
      </c>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v>5</v>
      </c>
      <c r="AB135" s="13"/>
      <c r="AC135" s="13"/>
      <c r="AD135" s="13"/>
      <c r="AE135" s="13"/>
      <c r="AF135" s="13"/>
      <c r="AG135" s="13"/>
      <c r="AH135" s="13"/>
      <c r="AI135" s="13"/>
      <c r="AJ135" s="13"/>
      <c r="AK135" s="13"/>
      <c r="AL135" s="13"/>
      <c r="AM135" s="13">
        <f t="shared" si="3"/>
        <v>5</v>
      </c>
    </row>
    <row r="136" spans="1:39" x14ac:dyDescent="0.25">
      <c r="A136" s="21"/>
      <c r="B136" s="13" t="s">
        <v>141</v>
      </c>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v>1</v>
      </c>
      <c r="AB136" s="13"/>
      <c r="AC136" s="13"/>
      <c r="AD136" s="13"/>
      <c r="AE136" s="13"/>
      <c r="AF136" s="13"/>
      <c r="AG136" s="13"/>
      <c r="AH136" s="13"/>
      <c r="AI136" s="13"/>
      <c r="AJ136" s="13"/>
      <c r="AK136" s="13"/>
      <c r="AL136" s="13"/>
      <c r="AM136" s="13">
        <f t="shared" si="3"/>
        <v>1</v>
      </c>
    </row>
    <row r="137" spans="1:39" x14ac:dyDescent="0.25">
      <c r="A137" s="21"/>
      <c r="B137" s="13" t="s">
        <v>142</v>
      </c>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v>2</v>
      </c>
      <c r="AB137" s="13"/>
      <c r="AC137" s="13"/>
      <c r="AD137" s="13"/>
      <c r="AE137" s="13"/>
      <c r="AF137" s="13"/>
      <c r="AG137" s="13"/>
      <c r="AH137" s="13"/>
      <c r="AI137" s="13"/>
      <c r="AJ137" s="13"/>
      <c r="AK137" s="13"/>
      <c r="AL137" s="13"/>
      <c r="AM137" s="13">
        <f t="shared" si="3"/>
        <v>2</v>
      </c>
    </row>
    <row r="138" spans="1:39" x14ac:dyDescent="0.25">
      <c r="A138" s="21"/>
      <c r="B138" s="13" t="s">
        <v>143</v>
      </c>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v>1</v>
      </c>
      <c r="AB138" s="13"/>
      <c r="AC138" s="13"/>
      <c r="AD138" s="13"/>
      <c r="AE138" s="13"/>
      <c r="AF138" s="13"/>
      <c r="AG138" s="13"/>
      <c r="AH138" s="13"/>
      <c r="AI138" s="13"/>
      <c r="AJ138" s="13"/>
      <c r="AK138" s="13"/>
      <c r="AL138" s="13"/>
      <c r="AM138" s="13">
        <f t="shared" si="3"/>
        <v>1</v>
      </c>
    </row>
    <row r="139" spans="1:39" x14ac:dyDescent="0.25">
      <c r="A139" s="21"/>
      <c r="B139" s="13" t="s">
        <v>144</v>
      </c>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v>1</v>
      </c>
      <c r="AB139" s="13"/>
      <c r="AC139" s="13"/>
      <c r="AD139" s="13"/>
      <c r="AE139" s="13"/>
      <c r="AF139" s="13"/>
      <c r="AG139" s="13"/>
      <c r="AH139" s="13"/>
      <c r="AI139" s="13"/>
      <c r="AJ139" s="13"/>
      <c r="AK139" s="13"/>
      <c r="AL139" s="13"/>
      <c r="AM139" s="13">
        <f t="shared" si="3"/>
        <v>1</v>
      </c>
    </row>
    <row r="140" spans="1:39"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row>
    <row r="141" spans="1:39" x14ac:dyDescent="0.25">
      <c r="A141" s="20" t="s">
        <v>145</v>
      </c>
      <c r="B141" s="20"/>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row>
    <row r="142" spans="1:39" x14ac:dyDescent="0.25">
      <c r="A142" s="21" t="s">
        <v>44</v>
      </c>
      <c r="B142" s="13" t="s">
        <v>146</v>
      </c>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v>1</v>
      </c>
      <c r="AC142" s="13"/>
      <c r="AD142" s="13"/>
      <c r="AE142" s="13"/>
      <c r="AF142" s="13"/>
      <c r="AG142" s="13"/>
      <c r="AH142" s="13"/>
      <c r="AI142" s="13"/>
      <c r="AJ142" s="13"/>
      <c r="AK142" s="13"/>
      <c r="AL142" s="13"/>
      <c r="AM142" s="13">
        <f t="shared" ref="AM142:AM150" si="4">SUM(C142:AL142)</f>
        <v>1</v>
      </c>
    </row>
    <row r="143" spans="1:39" x14ac:dyDescent="0.25">
      <c r="A143" s="21"/>
      <c r="B143" s="13" t="s">
        <v>147</v>
      </c>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v>1</v>
      </c>
      <c r="AC143" s="13"/>
      <c r="AD143" s="13"/>
      <c r="AE143" s="13"/>
      <c r="AF143" s="13"/>
      <c r="AG143" s="13"/>
      <c r="AH143" s="13"/>
      <c r="AI143" s="13"/>
      <c r="AJ143" s="13"/>
      <c r="AK143" s="13"/>
      <c r="AL143" s="13"/>
      <c r="AM143" s="13">
        <f t="shared" si="4"/>
        <v>1</v>
      </c>
    </row>
    <row r="144" spans="1:39" x14ac:dyDescent="0.25">
      <c r="A144" s="21"/>
      <c r="B144" s="13" t="s">
        <v>148</v>
      </c>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v>1</v>
      </c>
      <c r="AC144" s="13"/>
      <c r="AD144" s="13"/>
      <c r="AE144" s="13"/>
      <c r="AF144" s="13"/>
      <c r="AG144" s="13"/>
      <c r="AH144" s="13"/>
      <c r="AI144" s="13"/>
      <c r="AJ144" s="13"/>
      <c r="AK144" s="13"/>
      <c r="AL144" s="13"/>
      <c r="AM144" s="13">
        <f t="shared" si="4"/>
        <v>1</v>
      </c>
    </row>
    <row r="145" spans="1:39" x14ac:dyDescent="0.25">
      <c r="A145" s="21"/>
      <c r="B145" s="13" t="s">
        <v>149</v>
      </c>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v>7</v>
      </c>
      <c r="AC145" s="13"/>
      <c r="AD145" s="13"/>
      <c r="AE145" s="13"/>
      <c r="AF145" s="13"/>
      <c r="AG145" s="13"/>
      <c r="AH145" s="13"/>
      <c r="AI145" s="13"/>
      <c r="AJ145" s="13"/>
      <c r="AK145" s="13"/>
      <c r="AL145" s="13"/>
      <c r="AM145" s="13">
        <f t="shared" si="4"/>
        <v>7</v>
      </c>
    </row>
    <row r="146" spans="1:39" x14ac:dyDescent="0.25">
      <c r="A146" s="21"/>
      <c r="B146" s="13" t="s">
        <v>150</v>
      </c>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v>5</v>
      </c>
      <c r="AC146" s="13"/>
      <c r="AD146" s="13"/>
      <c r="AE146" s="13"/>
      <c r="AF146" s="13"/>
      <c r="AG146" s="13"/>
      <c r="AH146" s="13"/>
      <c r="AI146" s="13"/>
      <c r="AJ146" s="13"/>
      <c r="AK146" s="13"/>
      <c r="AL146" s="13"/>
      <c r="AM146" s="13">
        <f t="shared" si="4"/>
        <v>5</v>
      </c>
    </row>
    <row r="147" spans="1:39" x14ac:dyDescent="0.25">
      <c r="A147" s="21"/>
      <c r="B147" s="13" t="s">
        <v>151</v>
      </c>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v>2</v>
      </c>
      <c r="AC147" s="13"/>
      <c r="AD147" s="13"/>
      <c r="AE147" s="13"/>
      <c r="AF147" s="13"/>
      <c r="AG147" s="13"/>
      <c r="AH147" s="13"/>
      <c r="AI147" s="13"/>
      <c r="AJ147" s="13"/>
      <c r="AK147" s="13"/>
      <c r="AL147" s="13"/>
      <c r="AM147" s="13">
        <f t="shared" si="4"/>
        <v>2</v>
      </c>
    </row>
    <row r="148" spans="1:39" x14ac:dyDescent="0.25">
      <c r="A148" s="21"/>
      <c r="B148" s="13" t="s">
        <v>152</v>
      </c>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v>1</v>
      </c>
      <c r="AC148" s="13"/>
      <c r="AD148" s="13"/>
      <c r="AE148" s="13"/>
      <c r="AF148" s="13"/>
      <c r="AG148" s="13"/>
      <c r="AH148" s="13"/>
      <c r="AI148" s="13"/>
      <c r="AJ148" s="13"/>
      <c r="AK148" s="13"/>
      <c r="AL148" s="13"/>
      <c r="AM148" s="13">
        <f t="shared" si="4"/>
        <v>1</v>
      </c>
    </row>
    <row r="149" spans="1:39" x14ac:dyDescent="0.25">
      <c r="A149" s="21"/>
      <c r="B149" s="19" t="s">
        <v>153</v>
      </c>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v>11</v>
      </c>
      <c r="AC149" s="13"/>
      <c r="AD149" s="13"/>
      <c r="AE149" s="13"/>
      <c r="AF149" s="13"/>
      <c r="AG149" s="13"/>
      <c r="AH149" s="13"/>
      <c r="AI149" s="13"/>
      <c r="AJ149" s="13"/>
      <c r="AK149" s="13"/>
      <c r="AL149" s="13"/>
      <c r="AM149" s="13">
        <f t="shared" si="4"/>
        <v>11</v>
      </c>
    </row>
    <row r="150" spans="1:39" x14ac:dyDescent="0.25">
      <c r="A150" s="21"/>
      <c r="B150" s="13" t="s">
        <v>154</v>
      </c>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v>1</v>
      </c>
      <c r="AC150" s="13"/>
      <c r="AD150" s="13"/>
      <c r="AE150" s="13"/>
      <c r="AF150" s="13"/>
      <c r="AG150" s="13"/>
      <c r="AH150" s="13"/>
      <c r="AI150" s="13"/>
      <c r="AJ150" s="13"/>
      <c r="AK150" s="13"/>
      <c r="AL150" s="13"/>
      <c r="AM150" s="13">
        <f t="shared" si="4"/>
        <v>1</v>
      </c>
    </row>
    <row r="151" spans="1:39"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row>
    <row r="152" spans="1:39" x14ac:dyDescent="0.25">
      <c r="A152" s="20" t="s">
        <v>155</v>
      </c>
      <c r="B152" s="20"/>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row>
    <row r="153" spans="1:39" x14ac:dyDescent="0.25">
      <c r="A153" s="2"/>
      <c r="B153" s="19" t="s">
        <v>156</v>
      </c>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v>149</v>
      </c>
      <c r="AD153" s="13"/>
      <c r="AE153" s="13"/>
      <c r="AF153" s="13"/>
      <c r="AG153" s="13"/>
      <c r="AH153" s="13"/>
      <c r="AI153" s="13"/>
      <c r="AJ153" s="13"/>
      <c r="AK153" s="13"/>
      <c r="AL153" s="13"/>
      <c r="AM153" s="13">
        <f>SUM(C153:AL153)</f>
        <v>149</v>
      </c>
    </row>
    <row r="154" spans="1:39" x14ac:dyDescent="0.25">
      <c r="A154" s="21" t="s">
        <v>44</v>
      </c>
      <c r="B154" s="13" t="s">
        <v>157</v>
      </c>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v>1</v>
      </c>
      <c r="AD154" s="13"/>
      <c r="AE154" s="13"/>
      <c r="AF154" s="13"/>
      <c r="AG154" s="13"/>
      <c r="AH154" s="13"/>
      <c r="AI154" s="13"/>
      <c r="AJ154" s="13"/>
      <c r="AK154" s="13"/>
      <c r="AL154" s="13"/>
      <c r="AM154" s="13">
        <f>SUM(C154:AL154)</f>
        <v>1</v>
      </c>
    </row>
    <row r="155" spans="1:39"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row>
    <row r="156" spans="1:39" x14ac:dyDescent="0.25">
      <c r="A156" s="20" t="s">
        <v>158</v>
      </c>
      <c r="B156" s="20"/>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row>
    <row r="157" spans="1:39" x14ac:dyDescent="0.25">
      <c r="A157" s="21" t="s">
        <v>44</v>
      </c>
      <c r="B157" s="13" t="s">
        <v>159</v>
      </c>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v>1</v>
      </c>
      <c r="AE157" s="13"/>
      <c r="AF157" s="13"/>
      <c r="AG157" s="13"/>
      <c r="AH157" s="13"/>
      <c r="AI157" s="13"/>
      <c r="AJ157" s="13"/>
      <c r="AK157" s="13"/>
      <c r="AL157" s="13"/>
      <c r="AM157" s="13">
        <f>SUM(C157:AL157)</f>
        <v>1</v>
      </c>
    </row>
    <row r="158" spans="1:39" x14ac:dyDescent="0.25">
      <c r="A158" s="21"/>
      <c r="B158" s="13" t="s">
        <v>160</v>
      </c>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v>1</v>
      </c>
      <c r="AE158" s="13"/>
      <c r="AF158" s="13"/>
      <c r="AG158" s="13"/>
      <c r="AH158" s="13"/>
      <c r="AI158" s="13"/>
      <c r="AJ158" s="13"/>
      <c r="AK158" s="13"/>
      <c r="AL158" s="13"/>
      <c r="AM158" s="13">
        <f>SUM(C158:AL158)</f>
        <v>1</v>
      </c>
    </row>
    <row r="159" spans="1:39" x14ac:dyDescent="0.25">
      <c r="A159" s="21"/>
      <c r="B159" s="13" t="s">
        <v>161</v>
      </c>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v>1</v>
      </c>
      <c r="AE159" s="13"/>
      <c r="AF159" s="13"/>
      <c r="AG159" s="13"/>
      <c r="AH159" s="13"/>
      <c r="AI159" s="13"/>
      <c r="AJ159" s="13"/>
      <c r="AK159" s="13"/>
      <c r="AL159" s="13"/>
      <c r="AM159" s="13">
        <f>SUM(C159:AL159)</f>
        <v>1</v>
      </c>
    </row>
    <row r="160" spans="1:39" x14ac:dyDescent="0.25">
      <c r="A160" s="21"/>
      <c r="B160" s="19" t="s">
        <v>162</v>
      </c>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v>3</v>
      </c>
      <c r="AE160" s="13"/>
      <c r="AF160" s="13"/>
      <c r="AG160" s="13"/>
      <c r="AH160" s="13"/>
      <c r="AI160" s="13"/>
      <c r="AJ160" s="13"/>
      <c r="AK160" s="13"/>
      <c r="AL160" s="13"/>
      <c r="AM160" s="13">
        <f>SUM(C160:AL160)</f>
        <v>3</v>
      </c>
    </row>
    <row r="161" spans="1:39"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row>
    <row r="162" spans="1:39" x14ac:dyDescent="0.25">
      <c r="A162" s="20" t="s">
        <v>163</v>
      </c>
      <c r="B162" s="20"/>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row>
    <row r="163" spans="1:39" x14ac:dyDescent="0.25">
      <c r="A163" s="21" t="s">
        <v>44</v>
      </c>
      <c r="B163" s="13" t="s">
        <v>164</v>
      </c>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v>1</v>
      </c>
      <c r="AF163" s="13"/>
      <c r="AG163" s="13"/>
      <c r="AH163" s="13"/>
      <c r="AI163" s="13"/>
      <c r="AJ163" s="13"/>
      <c r="AK163" s="13"/>
      <c r="AL163" s="13"/>
      <c r="AM163" s="13">
        <f t="shared" ref="AM163:AM168" si="5">SUM(C163:AL163)</f>
        <v>1</v>
      </c>
    </row>
    <row r="164" spans="1:39" x14ac:dyDescent="0.25">
      <c r="A164" s="21"/>
      <c r="B164" s="13" t="s">
        <v>165</v>
      </c>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v>1</v>
      </c>
      <c r="AF164" s="13"/>
      <c r="AG164" s="13"/>
      <c r="AH164" s="13"/>
      <c r="AI164" s="13"/>
      <c r="AJ164" s="13"/>
      <c r="AK164" s="13"/>
      <c r="AL164" s="13"/>
      <c r="AM164" s="13">
        <f t="shared" si="5"/>
        <v>1</v>
      </c>
    </row>
    <row r="165" spans="1:39" x14ac:dyDescent="0.25">
      <c r="A165" s="21"/>
      <c r="B165" s="13" t="s">
        <v>166</v>
      </c>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v>1</v>
      </c>
      <c r="AF165" s="13"/>
      <c r="AG165" s="13"/>
      <c r="AH165" s="13"/>
      <c r="AI165" s="13"/>
      <c r="AJ165" s="13"/>
      <c r="AK165" s="13"/>
      <c r="AL165" s="13"/>
      <c r="AM165" s="13">
        <f t="shared" si="5"/>
        <v>1</v>
      </c>
    </row>
    <row r="166" spans="1:39" x14ac:dyDescent="0.25">
      <c r="A166" s="21"/>
      <c r="B166" s="13" t="s">
        <v>167</v>
      </c>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v>1</v>
      </c>
      <c r="AF166" s="13"/>
      <c r="AG166" s="13"/>
      <c r="AH166" s="13"/>
      <c r="AI166" s="13"/>
      <c r="AJ166" s="13"/>
      <c r="AK166" s="13"/>
      <c r="AL166" s="13"/>
      <c r="AM166" s="13">
        <f t="shared" si="5"/>
        <v>1</v>
      </c>
    </row>
    <row r="167" spans="1:39" x14ac:dyDescent="0.25">
      <c r="A167" s="21"/>
      <c r="B167" s="19" t="s">
        <v>168</v>
      </c>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v>2</v>
      </c>
      <c r="AF167" s="13"/>
      <c r="AG167" s="13"/>
      <c r="AH167" s="13"/>
      <c r="AI167" s="13"/>
      <c r="AJ167" s="13"/>
      <c r="AK167" s="13"/>
      <c r="AL167" s="13"/>
      <c r="AM167" s="13">
        <f t="shared" si="5"/>
        <v>2</v>
      </c>
    </row>
    <row r="168" spans="1:39" x14ac:dyDescent="0.25">
      <c r="A168" s="21"/>
      <c r="B168" s="13" t="s">
        <v>169</v>
      </c>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v>1</v>
      </c>
      <c r="AF168" s="13"/>
      <c r="AG168" s="13"/>
      <c r="AH168" s="13"/>
      <c r="AI168" s="13"/>
      <c r="AJ168" s="13"/>
      <c r="AK168" s="13"/>
      <c r="AL168" s="13"/>
      <c r="AM168" s="13">
        <f t="shared" si="5"/>
        <v>1</v>
      </c>
    </row>
    <row r="169" spans="1:39"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row>
    <row r="170" spans="1:39" x14ac:dyDescent="0.25">
      <c r="A170" s="20" t="s">
        <v>170</v>
      </c>
      <c r="B170" s="20"/>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G170" s="13"/>
      <c r="AH170" s="13"/>
      <c r="AI170" s="13"/>
      <c r="AJ170" s="13"/>
      <c r="AK170" s="13"/>
      <c r="AL170" s="13"/>
      <c r="AM170" s="13"/>
    </row>
    <row r="171" spans="1:39" x14ac:dyDescent="0.25">
      <c r="A171" s="21" t="s">
        <v>44</v>
      </c>
      <c r="B171" s="19" t="s">
        <v>171</v>
      </c>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v>2</v>
      </c>
      <c r="AG171" s="13"/>
      <c r="AH171" s="13"/>
      <c r="AI171" s="13"/>
      <c r="AJ171" s="13"/>
      <c r="AK171" s="13"/>
      <c r="AL171" s="13"/>
      <c r="AM171" s="13">
        <f t="shared" ref="AM171:AM178" si="6">SUM(C171:AL171)</f>
        <v>2</v>
      </c>
    </row>
    <row r="172" spans="1:39" x14ac:dyDescent="0.25">
      <c r="A172" s="21"/>
      <c r="B172" s="13" t="s">
        <v>172</v>
      </c>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v>1</v>
      </c>
      <c r="AG172" s="13"/>
      <c r="AH172" s="13"/>
      <c r="AI172" s="13"/>
      <c r="AJ172" s="13"/>
      <c r="AK172" s="13"/>
      <c r="AL172" s="13"/>
      <c r="AM172" s="13">
        <f t="shared" si="6"/>
        <v>1</v>
      </c>
    </row>
    <row r="173" spans="1:39" x14ac:dyDescent="0.25">
      <c r="A173" s="21"/>
      <c r="B173" s="13" t="s">
        <v>173</v>
      </c>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v>1</v>
      </c>
      <c r="AG173" s="13"/>
      <c r="AH173" s="13"/>
      <c r="AI173" s="13"/>
      <c r="AJ173" s="13"/>
      <c r="AK173" s="13"/>
      <c r="AL173" s="13"/>
      <c r="AM173" s="13">
        <f t="shared" si="6"/>
        <v>1</v>
      </c>
    </row>
    <row r="174" spans="1:39" x14ac:dyDescent="0.25">
      <c r="A174" s="21"/>
      <c r="B174" s="13" t="s">
        <v>174</v>
      </c>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v>1</v>
      </c>
      <c r="AG174" s="13"/>
      <c r="AH174" s="13"/>
      <c r="AI174" s="13"/>
      <c r="AJ174" s="13"/>
      <c r="AK174" s="13"/>
      <c r="AL174" s="13"/>
      <c r="AM174" s="13">
        <f t="shared" si="6"/>
        <v>1</v>
      </c>
    </row>
    <row r="175" spans="1:39" x14ac:dyDescent="0.25">
      <c r="A175" s="21"/>
      <c r="B175" s="13" t="s">
        <v>175</v>
      </c>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v>1</v>
      </c>
      <c r="AG175" s="13"/>
      <c r="AH175" s="13"/>
      <c r="AI175" s="13"/>
      <c r="AJ175" s="13"/>
      <c r="AK175" s="13"/>
      <c r="AL175" s="13"/>
      <c r="AM175" s="13">
        <f t="shared" si="6"/>
        <v>1</v>
      </c>
    </row>
    <row r="176" spans="1:39" x14ac:dyDescent="0.25">
      <c r="A176" s="21"/>
      <c r="B176" s="13" t="s">
        <v>176</v>
      </c>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v>1</v>
      </c>
      <c r="AG176" s="13"/>
      <c r="AH176" s="13"/>
      <c r="AI176" s="13"/>
      <c r="AJ176" s="13"/>
      <c r="AK176" s="13"/>
      <c r="AL176" s="13"/>
      <c r="AM176" s="13">
        <f t="shared" si="6"/>
        <v>1</v>
      </c>
    </row>
    <row r="177" spans="1:39" x14ac:dyDescent="0.25">
      <c r="A177" s="21"/>
      <c r="B177" s="13" t="s">
        <v>177</v>
      </c>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v>1</v>
      </c>
      <c r="AG177" s="13"/>
      <c r="AH177" s="13"/>
      <c r="AI177" s="13"/>
      <c r="AJ177" s="13"/>
      <c r="AK177" s="13"/>
      <c r="AL177" s="13"/>
      <c r="AM177" s="13">
        <f t="shared" si="6"/>
        <v>1</v>
      </c>
    </row>
    <row r="178" spans="1:39" x14ac:dyDescent="0.25">
      <c r="A178" s="21"/>
      <c r="B178" s="13" t="s">
        <v>178</v>
      </c>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v>1</v>
      </c>
      <c r="AG178" s="13"/>
      <c r="AH178" s="13"/>
      <c r="AI178" s="13"/>
      <c r="AJ178" s="13"/>
      <c r="AK178" s="13"/>
      <c r="AL178" s="13"/>
      <c r="AM178" s="13">
        <f t="shared" si="6"/>
        <v>1</v>
      </c>
    </row>
    <row r="179" spans="1:39"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row>
    <row r="180" spans="1:39" x14ac:dyDescent="0.25">
      <c r="A180" s="20" t="s">
        <v>179</v>
      </c>
      <c r="B180" s="20"/>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row>
    <row r="181" spans="1:39" x14ac:dyDescent="0.25">
      <c r="A181" s="21" t="s">
        <v>44</v>
      </c>
      <c r="B181" s="19" t="s">
        <v>180</v>
      </c>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v>7</v>
      </c>
      <c r="AH181" s="13"/>
      <c r="AI181" s="13"/>
      <c r="AJ181" s="13"/>
      <c r="AK181" s="13"/>
      <c r="AL181" s="13"/>
      <c r="AM181" s="13">
        <f>SUM(C181:AL181)</f>
        <v>7</v>
      </c>
    </row>
    <row r="182" spans="1:39" x14ac:dyDescent="0.25">
      <c r="A182" s="21"/>
      <c r="B182" s="13" t="s">
        <v>181</v>
      </c>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v>1</v>
      </c>
      <c r="AH182" s="13"/>
      <c r="AI182" s="13"/>
      <c r="AJ182" s="13"/>
      <c r="AK182" s="13"/>
      <c r="AL182" s="13"/>
      <c r="AM182" s="13">
        <f>SUM(C182:AL182)</f>
        <v>1</v>
      </c>
    </row>
    <row r="183" spans="1:39" x14ac:dyDescent="0.25">
      <c r="A183" s="21"/>
      <c r="B183" s="13" t="s">
        <v>182</v>
      </c>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v>1</v>
      </c>
      <c r="AH183" s="13"/>
      <c r="AI183" s="13"/>
      <c r="AJ183" s="13"/>
      <c r="AK183" s="13"/>
      <c r="AL183" s="13"/>
      <c r="AM183" s="13">
        <f>SUM(C183:AL183)</f>
        <v>1</v>
      </c>
    </row>
    <row r="184" spans="1:39"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row>
    <row r="185" spans="1:39" x14ac:dyDescent="0.25">
      <c r="A185" s="20" t="s">
        <v>183</v>
      </c>
      <c r="B185" s="20"/>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row>
    <row r="186" spans="1:39" x14ac:dyDescent="0.25">
      <c r="A186" s="2"/>
      <c r="B186" s="13" t="s">
        <v>184</v>
      </c>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v>51</v>
      </c>
      <c r="AI186" s="13"/>
      <c r="AJ186" s="13"/>
      <c r="AK186" s="13"/>
      <c r="AL186" s="13"/>
      <c r="AM186" s="13">
        <f>SUM(C186:AL186)</f>
        <v>51</v>
      </c>
    </row>
    <row r="187" spans="1:39" x14ac:dyDescent="0.25">
      <c r="A187" s="21" t="s">
        <v>44</v>
      </c>
      <c r="B187" s="13" t="s">
        <v>185</v>
      </c>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v>1</v>
      </c>
      <c r="AI187" s="13"/>
      <c r="AJ187" s="13"/>
      <c r="AK187" s="13"/>
      <c r="AL187" s="13"/>
      <c r="AM187" s="13">
        <f>SUM(C187:AL187)</f>
        <v>1</v>
      </c>
    </row>
    <row r="188" spans="1:39"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row>
    <row r="189" spans="1:39" x14ac:dyDescent="0.25">
      <c r="A189" s="20" t="s">
        <v>186</v>
      </c>
      <c r="B189" s="20"/>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row>
    <row r="190" spans="1:39" x14ac:dyDescent="0.25">
      <c r="A190" s="21" t="s">
        <v>44</v>
      </c>
      <c r="B190" s="19" t="s">
        <v>187</v>
      </c>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v>7</v>
      </c>
      <c r="AJ190" s="13"/>
      <c r="AK190" s="13"/>
      <c r="AL190" s="13"/>
      <c r="AM190" s="13">
        <f>SUM(C190:AL190)</f>
        <v>7</v>
      </c>
    </row>
    <row r="191" spans="1:39" x14ac:dyDescent="0.25">
      <c r="A191" s="21"/>
      <c r="B191" s="13" t="s">
        <v>188</v>
      </c>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v>1</v>
      </c>
      <c r="AJ191" s="13"/>
      <c r="AK191" s="13"/>
      <c r="AL191" s="13"/>
      <c r="AM191" s="13">
        <f>SUM(C191:AL191)</f>
        <v>1</v>
      </c>
    </row>
    <row r="192" spans="1:39" x14ac:dyDescent="0.25">
      <c r="A192" s="21"/>
      <c r="B192" s="13" t="s">
        <v>189</v>
      </c>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v>2</v>
      </c>
      <c r="AJ192" s="13"/>
      <c r="AK192" s="13"/>
      <c r="AL192" s="13"/>
      <c r="AM192" s="13">
        <f>SUM(C192:AL192)</f>
        <v>2</v>
      </c>
    </row>
    <row r="193" spans="1:39" x14ac:dyDescent="0.25">
      <c r="A193" s="21"/>
      <c r="B193" s="13" t="s">
        <v>190</v>
      </c>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v>1</v>
      </c>
      <c r="AJ193" s="13"/>
      <c r="AK193" s="13"/>
      <c r="AL193" s="13"/>
      <c r="AM193" s="13">
        <f>SUM(C193:AL193)</f>
        <v>1</v>
      </c>
    </row>
    <row r="194" spans="1:39"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row>
    <row r="195" spans="1:39" x14ac:dyDescent="0.25">
      <c r="A195" s="20" t="s">
        <v>191</v>
      </c>
      <c r="B195" s="20"/>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row>
    <row r="196" spans="1:39" x14ac:dyDescent="0.25">
      <c r="A196" s="21" t="s">
        <v>44</v>
      </c>
      <c r="B196" s="13" t="s">
        <v>192</v>
      </c>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v>1</v>
      </c>
      <c r="AK196" s="13"/>
      <c r="AL196" s="13"/>
      <c r="AM196" s="13">
        <f>SUM(C196:AL196)</f>
        <v>1</v>
      </c>
    </row>
    <row r="197" spans="1:39" x14ac:dyDescent="0.25">
      <c r="A197" s="21"/>
      <c r="B197" s="19" t="s">
        <v>193</v>
      </c>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v>2</v>
      </c>
      <c r="AK197" s="13"/>
      <c r="AL197" s="13"/>
      <c r="AM197" s="13">
        <f>SUM(C197:AL197)</f>
        <v>2</v>
      </c>
    </row>
    <row r="198" spans="1:39" x14ac:dyDescent="0.25">
      <c r="A198" s="21"/>
      <c r="B198" s="13" t="s">
        <v>194</v>
      </c>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v>1</v>
      </c>
      <c r="AK198" s="13"/>
      <c r="AL198" s="13"/>
      <c r="AM198" s="13">
        <f>SUM(C198:AL198)</f>
        <v>1</v>
      </c>
    </row>
    <row r="199" spans="1:39"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row>
    <row r="200" spans="1:39" x14ac:dyDescent="0.25">
      <c r="A200" s="20" t="s">
        <v>195</v>
      </c>
      <c r="B200" s="20"/>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row>
    <row r="201" spans="1:39" x14ac:dyDescent="0.25">
      <c r="A201" s="21" t="s">
        <v>44</v>
      </c>
      <c r="B201" s="19" t="s">
        <v>196</v>
      </c>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v>5</v>
      </c>
      <c r="AL201" s="13"/>
      <c r="AM201" s="13">
        <f>SUM(C201:AL201)</f>
        <v>5</v>
      </c>
    </row>
    <row r="202" spans="1:39"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row>
    <row r="203" spans="1:39" x14ac:dyDescent="0.25">
      <c r="A203" s="20" t="s">
        <v>197</v>
      </c>
      <c r="B203" s="20"/>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row>
    <row r="204" spans="1:39" x14ac:dyDescent="0.25">
      <c r="A204" s="21" t="s">
        <v>44</v>
      </c>
      <c r="B204" s="13" t="s">
        <v>198</v>
      </c>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v>0</v>
      </c>
      <c r="AM204" s="13">
        <f>SUM(C204:AL204)</f>
        <v>0</v>
      </c>
    </row>
    <row r="205" spans="1:39"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row>
    <row r="206" spans="1:39" x14ac:dyDescent="0.25">
      <c r="A206" s="20" t="s">
        <v>199</v>
      </c>
      <c r="B206" s="20"/>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row>
    <row r="207" spans="1:39" x14ac:dyDescent="0.25">
      <c r="A207" s="21" t="s">
        <v>44</v>
      </c>
      <c r="B207" s="13" t="s">
        <v>200</v>
      </c>
      <c r="C207" s="13"/>
      <c r="D207" s="13"/>
      <c r="E207" s="13"/>
      <c r="F207" s="13"/>
      <c r="G207" s="13"/>
      <c r="H207" s="13"/>
      <c r="I207" s="13"/>
      <c r="J207" s="13"/>
      <c r="K207" s="13"/>
      <c r="L207" s="13"/>
      <c r="M207" s="13"/>
      <c r="N207" s="13">
        <v>1</v>
      </c>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f>SUM(C207:AL207)</f>
        <v>1</v>
      </c>
    </row>
    <row r="208" spans="1:39" x14ac:dyDescent="0.25">
      <c r="A208" s="21"/>
      <c r="B208" s="19" t="s">
        <v>201</v>
      </c>
      <c r="C208" s="13"/>
      <c r="D208" s="13"/>
      <c r="E208" s="13"/>
      <c r="F208" s="13"/>
      <c r="G208" s="13"/>
      <c r="H208" s="13"/>
      <c r="I208" s="13"/>
      <c r="J208" s="13"/>
      <c r="K208" s="13"/>
      <c r="L208" s="13"/>
      <c r="M208" s="13"/>
      <c r="N208" s="13">
        <v>1</v>
      </c>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9">
        <f>SUM(C208:AL208)</f>
        <v>1</v>
      </c>
    </row>
    <row r="209" spans="1:39" x14ac:dyDescent="0.25">
      <c r="A209" s="21"/>
      <c r="B209" s="13" t="s">
        <v>202</v>
      </c>
      <c r="C209" s="13"/>
      <c r="D209" s="13"/>
      <c r="E209" s="13"/>
      <c r="F209" s="13"/>
      <c r="G209" s="13"/>
      <c r="H209" s="13"/>
      <c r="I209" s="13"/>
      <c r="J209" s="13"/>
      <c r="K209" s="13"/>
      <c r="L209" s="13"/>
      <c r="M209" s="13"/>
      <c r="N209" s="13">
        <v>1</v>
      </c>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f>SUM(C209:AL209)</f>
        <v>1</v>
      </c>
    </row>
    <row r="210" spans="1:39" x14ac:dyDescent="0.25">
      <c r="A210" s="21"/>
      <c r="B210" s="13" t="s">
        <v>78</v>
      </c>
      <c r="C210" s="13"/>
      <c r="D210" s="13"/>
      <c r="E210" s="13"/>
      <c r="F210" s="13"/>
      <c r="G210" s="13"/>
      <c r="H210" s="13"/>
      <c r="I210" s="13"/>
      <c r="J210" s="13"/>
      <c r="K210" s="13"/>
      <c r="L210" s="13"/>
      <c r="M210" s="13"/>
      <c r="N210" s="13">
        <v>1</v>
      </c>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f>SUM(C210:AL210)</f>
        <v>1</v>
      </c>
    </row>
    <row r="211" spans="1:39"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row>
    <row r="212" spans="1:39" x14ac:dyDescent="0.25">
      <c r="A212" s="20" t="s">
        <v>203</v>
      </c>
      <c r="B212" s="20"/>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row>
    <row r="213" spans="1:39" x14ac:dyDescent="0.25">
      <c r="A213" s="21" t="s">
        <v>44</v>
      </c>
      <c r="B213" s="13" t="s">
        <v>204</v>
      </c>
      <c r="C213" s="13"/>
      <c r="D213" s="13"/>
      <c r="E213" s="13"/>
      <c r="F213" s="13"/>
      <c r="G213" s="13"/>
      <c r="H213" s="13"/>
      <c r="I213" s="13"/>
      <c r="J213" s="13"/>
      <c r="K213" s="13"/>
      <c r="L213" s="13"/>
      <c r="M213" s="13"/>
      <c r="N213" s="13"/>
      <c r="O213" s="13">
        <v>1</v>
      </c>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f>SUM(C213:AL213)</f>
        <v>1</v>
      </c>
    </row>
    <row r="214" spans="1:39" x14ac:dyDescent="0.25">
      <c r="A214" s="21"/>
      <c r="B214" s="13" t="s">
        <v>205</v>
      </c>
      <c r="C214" s="13"/>
      <c r="D214" s="13"/>
      <c r="E214" s="13"/>
      <c r="F214" s="13"/>
      <c r="G214" s="13"/>
      <c r="H214" s="13"/>
      <c r="I214" s="13"/>
      <c r="J214" s="13"/>
      <c r="K214" s="13"/>
      <c r="L214" s="13"/>
      <c r="M214" s="13"/>
      <c r="N214" s="13"/>
      <c r="O214" s="13">
        <v>2</v>
      </c>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f>SUM(C214:AL214)</f>
        <v>2</v>
      </c>
    </row>
    <row r="215" spans="1:39" x14ac:dyDescent="0.25">
      <c r="A215" s="21"/>
      <c r="B215" s="19" t="s">
        <v>89</v>
      </c>
      <c r="C215" s="13"/>
      <c r="D215" s="13"/>
      <c r="E215" s="13"/>
      <c r="F215" s="13"/>
      <c r="G215" s="13"/>
      <c r="H215" s="13"/>
      <c r="I215" s="13"/>
      <c r="J215" s="13"/>
      <c r="K215" s="13"/>
      <c r="L215" s="13"/>
      <c r="M215" s="13"/>
      <c r="N215" s="13"/>
      <c r="O215" s="13">
        <v>3</v>
      </c>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f>SUM(C215:AL215)</f>
        <v>3</v>
      </c>
    </row>
    <row r="216" spans="1:39" x14ac:dyDescent="0.25">
      <c r="A216" s="21"/>
      <c r="B216" s="13" t="s">
        <v>88</v>
      </c>
      <c r="C216" s="13"/>
      <c r="D216" s="13"/>
      <c r="E216" s="13"/>
      <c r="F216" s="13"/>
      <c r="G216" s="13"/>
      <c r="H216" s="13"/>
      <c r="I216" s="13"/>
      <c r="J216" s="13"/>
      <c r="K216" s="13"/>
      <c r="L216" s="13"/>
      <c r="M216" s="13"/>
      <c r="N216" s="13"/>
      <c r="O216" s="13">
        <v>1</v>
      </c>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f>SUM(C216:AL216)</f>
        <v>1</v>
      </c>
    </row>
    <row r="217" spans="1:39" x14ac:dyDescent="0.25">
      <c r="A217" s="21"/>
      <c r="B217" s="13" t="s">
        <v>206</v>
      </c>
      <c r="C217" s="13"/>
      <c r="D217" s="13"/>
      <c r="E217" s="13"/>
      <c r="F217" s="13"/>
      <c r="G217" s="13"/>
      <c r="H217" s="13"/>
      <c r="I217" s="13"/>
      <c r="J217" s="13"/>
      <c r="K217" s="13"/>
      <c r="L217" s="13"/>
      <c r="M217" s="13"/>
      <c r="N217" s="13"/>
      <c r="O217" s="13">
        <v>1</v>
      </c>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f>SUM(C217:AL217)</f>
        <v>1</v>
      </c>
    </row>
    <row r="218" spans="1:39"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row>
    <row r="219" spans="1:39" x14ac:dyDescent="0.25">
      <c r="A219" s="20" t="s">
        <v>207</v>
      </c>
      <c r="B219" s="20"/>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row>
    <row r="220" spans="1:39" x14ac:dyDescent="0.25">
      <c r="A220" s="21" t="s">
        <v>44</v>
      </c>
      <c r="B220" s="13" t="s">
        <v>92</v>
      </c>
      <c r="C220" s="13"/>
      <c r="D220" s="13"/>
      <c r="E220" s="13"/>
      <c r="F220" s="13"/>
      <c r="G220" s="13"/>
      <c r="H220" s="13"/>
      <c r="I220" s="13"/>
      <c r="J220" s="13"/>
      <c r="K220" s="13"/>
      <c r="L220" s="13"/>
      <c r="M220" s="13"/>
      <c r="N220" s="13"/>
      <c r="O220" s="13"/>
      <c r="P220" s="13">
        <v>1</v>
      </c>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f>SUM(C220:AL220)</f>
        <v>1</v>
      </c>
    </row>
    <row r="221" spans="1:39" x14ac:dyDescent="0.25">
      <c r="A221" s="21"/>
      <c r="B221" s="19" t="s">
        <v>208</v>
      </c>
      <c r="C221" s="13"/>
      <c r="D221" s="13"/>
      <c r="E221" s="13"/>
      <c r="F221" s="13"/>
      <c r="G221" s="13"/>
      <c r="H221" s="13"/>
      <c r="I221" s="13"/>
      <c r="J221" s="13"/>
      <c r="K221" s="13"/>
      <c r="L221" s="13"/>
      <c r="M221" s="13"/>
      <c r="N221" s="13"/>
      <c r="O221" s="13"/>
      <c r="P221" s="13">
        <v>2</v>
      </c>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f>SUM(C221:AL221)</f>
        <v>2</v>
      </c>
    </row>
    <row r="222" spans="1:39" x14ac:dyDescent="0.25">
      <c r="A222" s="21"/>
      <c r="B222" s="13" t="s">
        <v>209</v>
      </c>
      <c r="C222" s="13"/>
      <c r="D222" s="13"/>
      <c r="E222" s="13"/>
      <c r="F222" s="13"/>
      <c r="G222" s="13"/>
      <c r="H222" s="13"/>
      <c r="I222" s="13"/>
      <c r="J222" s="13"/>
      <c r="K222" s="13"/>
      <c r="L222" s="13"/>
      <c r="M222" s="13"/>
      <c r="N222" s="13"/>
      <c r="O222" s="13"/>
      <c r="P222" s="13">
        <v>1</v>
      </c>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f>SUM(C222:AL222)</f>
        <v>1</v>
      </c>
    </row>
    <row r="223" spans="1:39" x14ac:dyDescent="0.25">
      <c r="A223" s="21"/>
      <c r="B223" s="13" t="s">
        <v>210</v>
      </c>
      <c r="C223" s="13"/>
      <c r="D223" s="13"/>
      <c r="E223" s="13"/>
      <c r="F223" s="13"/>
      <c r="G223" s="13"/>
      <c r="H223" s="13"/>
      <c r="I223" s="13"/>
      <c r="J223" s="13"/>
      <c r="K223" s="13"/>
      <c r="L223" s="13"/>
      <c r="M223" s="13"/>
      <c r="N223" s="13"/>
      <c r="O223" s="13"/>
      <c r="P223" s="13">
        <v>1</v>
      </c>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f>SUM(C223:AL223)</f>
        <v>1</v>
      </c>
    </row>
    <row r="224" spans="1:39" x14ac:dyDescent="0.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row>
    <row r="225" spans="1:39" x14ac:dyDescent="0.25">
      <c r="A225" s="20" t="s">
        <v>211</v>
      </c>
      <c r="B225" s="20"/>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row>
    <row r="226" spans="1:39" x14ac:dyDescent="0.25">
      <c r="A226" s="2"/>
      <c r="B226" s="19" t="s">
        <v>212</v>
      </c>
      <c r="C226" s="13"/>
      <c r="D226" s="13"/>
      <c r="E226" s="13"/>
      <c r="F226" s="13"/>
      <c r="G226" s="13"/>
      <c r="H226" s="13"/>
      <c r="I226" s="13"/>
      <c r="J226" s="13"/>
      <c r="K226" s="13"/>
      <c r="L226" s="13"/>
      <c r="M226" s="13"/>
      <c r="N226" s="13"/>
      <c r="O226" s="13"/>
      <c r="P226" s="13"/>
      <c r="Q226" s="13">
        <v>20</v>
      </c>
      <c r="R226" s="13"/>
      <c r="S226" s="13"/>
      <c r="T226" s="13"/>
      <c r="U226" s="13"/>
      <c r="V226" s="13"/>
      <c r="W226" s="13"/>
      <c r="X226" s="13"/>
      <c r="Y226" s="13"/>
      <c r="Z226" s="13"/>
      <c r="AA226" s="13"/>
      <c r="AB226" s="13"/>
      <c r="AC226" s="13"/>
      <c r="AD226" s="13"/>
      <c r="AE226" s="13"/>
      <c r="AF226" s="13"/>
      <c r="AG226" s="13"/>
      <c r="AH226" s="13"/>
      <c r="AI226" s="13"/>
      <c r="AJ226" s="13"/>
      <c r="AK226" s="13"/>
      <c r="AL226" s="13"/>
      <c r="AM226" s="13">
        <f>SUM(C226:AL226)</f>
        <v>20</v>
      </c>
    </row>
    <row r="227" spans="1:39" x14ac:dyDescent="0.25">
      <c r="A227" s="21" t="s">
        <v>44</v>
      </c>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row>
    <row r="228" spans="1:39" x14ac:dyDescent="0.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row>
    <row r="229" spans="1:39" x14ac:dyDescent="0.25">
      <c r="A229" s="20" t="s">
        <v>213</v>
      </c>
      <c r="B229" s="20"/>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row>
    <row r="230" spans="1:39" x14ac:dyDescent="0.25">
      <c r="A230" s="21" t="s">
        <v>44</v>
      </c>
      <c r="B230" s="19" t="s">
        <v>214</v>
      </c>
      <c r="C230" s="13"/>
      <c r="D230" s="13"/>
      <c r="E230" s="13"/>
      <c r="F230" s="13"/>
      <c r="G230" s="13"/>
      <c r="H230" s="13"/>
      <c r="I230" s="13"/>
      <c r="J230" s="13"/>
      <c r="K230" s="13"/>
      <c r="L230" s="13"/>
      <c r="M230" s="13"/>
      <c r="N230" s="13"/>
      <c r="O230" s="13"/>
      <c r="P230" s="13"/>
      <c r="Q230" s="13"/>
      <c r="R230" s="13">
        <v>1</v>
      </c>
      <c r="S230" s="13"/>
      <c r="T230" s="13"/>
      <c r="U230" s="13"/>
      <c r="V230" s="13"/>
      <c r="W230" s="13"/>
      <c r="X230" s="13"/>
      <c r="Y230" s="13"/>
      <c r="Z230" s="13"/>
      <c r="AA230" s="13"/>
      <c r="AB230" s="13"/>
      <c r="AC230" s="13"/>
      <c r="AD230" s="13"/>
      <c r="AE230" s="13"/>
      <c r="AF230" s="13"/>
      <c r="AG230" s="13"/>
      <c r="AH230" s="13"/>
      <c r="AI230" s="13"/>
      <c r="AJ230" s="13"/>
      <c r="AK230" s="13"/>
      <c r="AL230" s="13"/>
      <c r="AM230" s="13">
        <f>SUM(C230:AL230)</f>
        <v>1</v>
      </c>
    </row>
    <row r="231" spans="1:39" x14ac:dyDescent="0.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row>
    <row r="232" spans="1:39" x14ac:dyDescent="0.25">
      <c r="A232" s="20" t="s">
        <v>215</v>
      </c>
      <c r="B232" s="20"/>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row>
    <row r="233" spans="1:39" x14ac:dyDescent="0.25">
      <c r="A233" s="21" t="s">
        <v>44</v>
      </c>
      <c r="B233" s="19" t="s">
        <v>216</v>
      </c>
      <c r="C233" s="13"/>
      <c r="D233" s="13"/>
      <c r="E233" s="13"/>
      <c r="F233" s="13"/>
      <c r="G233" s="13"/>
      <c r="H233" s="13"/>
      <c r="I233" s="13"/>
      <c r="J233" s="13"/>
      <c r="K233" s="13"/>
      <c r="L233" s="13"/>
      <c r="M233" s="13"/>
      <c r="N233" s="13"/>
      <c r="O233" s="13"/>
      <c r="P233" s="13"/>
      <c r="Q233" s="13"/>
      <c r="R233" s="13"/>
      <c r="S233" s="13">
        <v>2</v>
      </c>
      <c r="T233" s="13"/>
      <c r="U233" s="13"/>
      <c r="V233" s="13"/>
      <c r="W233" s="13"/>
      <c r="X233" s="13"/>
      <c r="Y233" s="13"/>
      <c r="Z233" s="13"/>
      <c r="AA233" s="13"/>
      <c r="AB233" s="13"/>
      <c r="AC233" s="13"/>
      <c r="AD233" s="13"/>
      <c r="AE233" s="13"/>
      <c r="AF233" s="13"/>
      <c r="AG233" s="13"/>
      <c r="AH233" s="13"/>
      <c r="AI233" s="13"/>
      <c r="AJ233" s="13"/>
      <c r="AK233" s="13"/>
      <c r="AL233" s="13"/>
      <c r="AM233" s="13">
        <f>SUM(C233:AL233)</f>
        <v>2</v>
      </c>
    </row>
    <row r="234" spans="1:39" x14ac:dyDescent="0.25">
      <c r="A234" s="21"/>
      <c r="B234" s="13" t="s">
        <v>217</v>
      </c>
      <c r="C234" s="13"/>
      <c r="D234" s="13"/>
      <c r="E234" s="13"/>
      <c r="F234" s="13"/>
      <c r="G234" s="13"/>
      <c r="H234" s="13"/>
      <c r="I234" s="13"/>
      <c r="J234" s="13"/>
      <c r="K234" s="13"/>
      <c r="L234" s="13"/>
      <c r="M234" s="13"/>
      <c r="N234" s="13"/>
      <c r="O234" s="13"/>
      <c r="P234" s="13"/>
      <c r="Q234" s="13"/>
      <c r="R234" s="13"/>
      <c r="S234" s="13">
        <v>1</v>
      </c>
      <c r="T234" s="13"/>
      <c r="U234" s="13"/>
      <c r="V234" s="13"/>
      <c r="W234" s="13"/>
      <c r="X234" s="13"/>
      <c r="Y234" s="13"/>
      <c r="Z234" s="13"/>
      <c r="AA234" s="13"/>
      <c r="AB234" s="13"/>
      <c r="AC234" s="13"/>
      <c r="AD234" s="13"/>
      <c r="AE234" s="13"/>
      <c r="AF234" s="13"/>
      <c r="AG234" s="13"/>
      <c r="AH234" s="13"/>
      <c r="AI234" s="13"/>
      <c r="AJ234" s="13"/>
      <c r="AK234" s="13"/>
      <c r="AL234" s="13"/>
      <c r="AM234" s="13">
        <f>SUM(C234:AL234)</f>
        <v>1</v>
      </c>
    </row>
    <row r="235" spans="1:39" x14ac:dyDescent="0.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row>
    <row r="236" spans="1:39" x14ac:dyDescent="0.25">
      <c r="A236" s="20" t="s">
        <v>218</v>
      </c>
      <c r="B236" s="20"/>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row>
    <row r="237" spans="1:39" x14ac:dyDescent="0.25">
      <c r="A237" s="21" t="s">
        <v>44</v>
      </c>
      <c r="B237" s="13" t="s">
        <v>219</v>
      </c>
      <c r="C237" s="13"/>
      <c r="D237" s="13"/>
      <c r="E237" s="13"/>
      <c r="F237" s="13"/>
      <c r="G237" s="13"/>
      <c r="H237" s="13"/>
      <c r="I237" s="13"/>
      <c r="J237" s="13"/>
      <c r="K237" s="13"/>
      <c r="L237" s="13"/>
      <c r="M237" s="13"/>
      <c r="N237" s="13"/>
      <c r="O237" s="13"/>
      <c r="P237" s="13"/>
      <c r="Q237" s="13"/>
      <c r="R237" s="13"/>
      <c r="S237" s="13"/>
      <c r="T237" s="13">
        <v>2</v>
      </c>
      <c r="U237" s="13"/>
      <c r="V237" s="13"/>
      <c r="W237" s="13"/>
      <c r="X237" s="13"/>
      <c r="Y237" s="13"/>
      <c r="Z237" s="13"/>
      <c r="AA237" s="13"/>
      <c r="AB237" s="13"/>
      <c r="AC237" s="13"/>
      <c r="AD237" s="13"/>
      <c r="AE237" s="13"/>
      <c r="AF237" s="13"/>
      <c r="AG237" s="13"/>
      <c r="AH237" s="13"/>
      <c r="AI237" s="13"/>
      <c r="AJ237" s="13"/>
      <c r="AK237" s="13"/>
      <c r="AL237" s="13"/>
      <c r="AM237" s="13">
        <f t="shared" ref="AM237:AM242" si="7">SUM(C237:AL237)</f>
        <v>2</v>
      </c>
    </row>
    <row r="238" spans="1:39" x14ac:dyDescent="0.25">
      <c r="A238" s="21"/>
      <c r="B238" s="25" t="s">
        <v>109</v>
      </c>
      <c r="C238" s="25"/>
      <c r="D238" s="25"/>
      <c r="E238" s="25"/>
      <c r="F238" s="25"/>
      <c r="G238" s="26"/>
      <c r="H238" s="25"/>
      <c r="I238" s="25"/>
      <c r="J238" s="25"/>
      <c r="K238" s="25"/>
      <c r="L238" s="25"/>
      <c r="M238" s="25"/>
      <c r="N238" s="25"/>
      <c r="O238" s="25"/>
      <c r="P238" s="25"/>
      <c r="Q238" s="25"/>
      <c r="R238" s="25"/>
      <c r="S238" s="25"/>
      <c r="T238" s="25">
        <v>2</v>
      </c>
      <c r="U238" s="13"/>
      <c r="V238" s="13"/>
      <c r="W238" s="13"/>
      <c r="X238" s="13"/>
      <c r="Y238" s="13"/>
      <c r="Z238" s="13"/>
      <c r="AA238" s="13"/>
      <c r="AB238" s="13"/>
      <c r="AC238" s="13"/>
      <c r="AD238" s="13"/>
      <c r="AE238" s="13"/>
      <c r="AF238" s="13"/>
      <c r="AG238" s="13"/>
      <c r="AH238" s="13"/>
      <c r="AI238" s="13"/>
      <c r="AJ238" s="13"/>
      <c r="AK238" s="13"/>
      <c r="AL238" s="13"/>
      <c r="AM238" s="13">
        <f t="shared" si="7"/>
        <v>2</v>
      </c>
    </row>
    <row r="239" spans="1:39" x14ac:dyDescent="0.25">
      <c r="A239" s="27"/>
      <c r="B239" s="28" t="s">
        <v>220</v>
      </c>
      <c r="C239" s="29"/>
      <c r="D239" s="30"/>
      <c r="E239" s="30"/>
      <c r="F239" s="30"/>
      <c r="G239" s="29"/>
      <c r="H239" s="29"/>
      <c r="I239" s="29"/>
      <c r="J239" s="29"/>
      <c r="K239" s="29"/>
      <c r="L239" s="29"/>
      <c r="M239" s="29"/>
      <c r="N239" s="29"/>
      <c r="O239" s="29"/>
      <c r="P239" s="29"/>
      <c r="Q239" s="29"/>
      <c r="R239" s="29"/>
      <c r="S239" s="29"/>
      <c r="T239" s="29">
        <v>4</v>
      </c>
      <c r="U239" s="13"/>
      <c r="V239" s="13"/>
      <c r="W239" s="13"/>
      <c r="X239" s="13"/>
      <c r="Y239" s="13"/>
      <c r="Z239" s="13"/>
      <c r="AA239" s="13"/>
      <c r="AB239" s="13"/>
      <c r="AC239" s="13"/>
      <c r="AD239" s="13"/>
      <c r="AE239" s="13"/>
      <c r="AF239" s="13"/>
      <c r="AG239" s="13"/>
      <c r="AH239" s="13"/>
      <c r="AI239" s="13"/>
      <c r="AJ239" s="13"/>
      <c r="AK239" s="13"/>
      <c r="AL239" s="13"/>
      <c r="AM239" s="13">
        <f t="shared" si="7"/>
        <v>4</v>
      </c>
    </row>
    <row r="240" spans="1:39" x14ac:dyDescent="0.25">
      <c r="A240" s="27"/>
      <c r="B240" s="31" t="s">
        <v>221</v>
      </c>
      <c r="C240" s="31"/>
      <c r="D240" s="32"/>
      <c r="E240" s="32"/>
      <c r="F240" s="32"/>
      <c r="G240" s="31"/>
      <c r="H240" s="31"/>
      <c r="I240" s="31"/>
      <c r="J240" s="31"/>
      <c r="K240" s="31"/>
      <c r="L240" s="31"/>
      <c r="M240" s="31"/>
      <c r="N240" s="31"/>
      <c r="O240" s="31"/>
      <c r="P240" s="31"/>
      <c r="Q240" s="31"/>
      <c r="R240" s="31"/>
      <c r="S240" s="31"/>
      <c r="T240" s="31">
        <v>1</v>
      </c>
      <c r="U240" s="13"/>
      <c r="V240" s="13"/>
      <c r="W240" s="13"/>
      <c r="X240" s="13"/>
      <c r="Y240" s="13"/>
      <c r="Z240" s="13"/>
      <c r="AA240" s="13"/>
      <c r="AB240" s="13"/>
      <c r="AC240" s="13"/>
      <c r="AD240" s="13"/>
      <c r="AE240" s="13"/>
      <c r="AF240" s="13"/>
      <c r="AG240" s="13"/>
      <c r="AH240" s="13"/>
      <c r="AI240" s="13"/>
      <c r="AJ240" s="13"/>
      <c r="AK240" s="13"/>
      <c r="AL240" s="13"/>
      <c r="AM240" s="13">
        <f t="shared" si="7"/>
        <v>1</v>
      </c>
    </row>
    <row r="241" spans="1:39" x14ac:dyDescent="0.25">
      <c r="A241" s="27"/>
      <c r="B241" s="29" t="s">
        <v>222</v>
      </c>
      <c r="C241" s="29"/>
      <c r="D241" s="30"/>
      <c r="E241" s="30"/>
      <c r="F241" s="30"/>
      <c r="G241" s="29"/>
      <c r="H241" s="29"/>
      <c r="I241" s="29"/>
      <c r="J241" s="29"/>
      <c r="K241" s="29"/>
      <c r="L241" s="29"/>
      <c r="M241" s="29"/>
      <c r="N241" s="29"/>
      <c r="O241" s="29"/>
      <c r="P241" s="29"/>
      <c r="Q241" s="29"/>
      <c r="R241" s="29"/>
      <c r="S241" s="29"/>
      <c r="T241" s="29">
        <v>1</v>
      </c>
      <c r="U241" s="13"/>
      <c r="V241" s="13"/>
      <c r="W241" s="13"/>
      <c r="X241" s="13"/>
      <c r="Y241" s="13"/>
      <c r="Z241" s="13"/>
      <c r="AA241" s="13"/>
      <c r="AB241" s="13"/>
      <c r="AC241" s="13"/>
      <c r="AD241" s="13"/>
      <c r="AE241" s="13"/>
      <c r="AF241" s="13"/>
      <c r="AG241" s="13"/>
      <c r="AH241" s="13"/>
      <c r="AI241" s="13"/>
      <c r="AJ241" s="13"/>
      <c r="AK241" s="13"/>
      <c r="AL241" s="13"/>
      <c r="AM241" s="13">
        <f t="shared" si="7"/>
        <v>1</v>
      </c>
    </row>
    <row r="242" spans="1:39" x14ac:dyDescent="0.25">
      <c r="A242" s="27"/>
      <c r="B242" s="29" t="s">
        <v>223</v>
      </c>
      <c r="C242" s="29"/>
      <c r="D242" s="30"/>
      <c r="E242" s="29"/>
      <c r="F242" s="30"/>
      <c r="G242" s="29"/>
      <c r="H242" s="29"/>
      <c r="I242" s="29"/>
      <c r="J242" s="29"/>
      <c r="K242" s="29"/>
      <c r="L242" s="29"/>
      <c r="M242" s="29"/>
      <c r="N242" s="29"/>
      <c r="O242" s="29"/>
      <c r="P242" s="29"/>
      <c r="Q242" s="29"/>
      <c r="R242" s="29"/>
      <c r="S242" s="29"/>
      <c r="T242" s="29">
        <v>2</v>
      </c>
      <c r="U242" s="13"/>
      <c r="V242" s="13"/>
      <c r="W242" s="13"/>
      <c r="X242" s="13"/>
      <c r="Y242" s="13"/>
      <c r="Z242" s="13"/>
      <c r="AA242" s="13"/>
      <c r="AB242" s="13"/>
      <c r="AC242" s="13"/>
      <c r="AD242" s="13"/>
      <c r="AE242" s="13"/>
      <c r="AF242" s="13"/>
      <c r="AG242" s="13"/>
      <c r="AH242" s="13"/>
      <c r="AI242" s="13"/>
      <c r="AJ242" s="13"/>
      <c r="AK242" s="13"/>
      <c r="AL242" s="13"/>
      <c r="AM242" s="13">
        <f t="shared" si="7"/>
        <v>2</v>
      </c>
    </row>
    <row r="243" spans="1:39" x14ac:dyDescent="0.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row>
    <row r="244" spans="1:39" x14ac:dyDescent="0.25">
      <c r="A244" s="20" t="s">
        <v>224</v>
      </c>
      <c r="B244" s="20"/>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row>
    <row r="245" spans="1:39" x14ac:dyDescent="0.25">
      <c r="A245" s="21" t="s">
        <v>44</v>
      </c>
      <c r="B245" s="19" t="s">
        <v>116</v>
      </c>
      <c r="C245" s="13"/>
      <c r="D245" s="13"/>
      <c r="E245" s="13"/>
      <c r="F245" s="13"/>
      <c r="G245" s="13"/>
      <c r="H245" s="13"/>
      <c r="I245" s="13"/>
      <c r="J245" s="13"/>
      <c r="K245" s="13"/>
      <c r="L245" s="13"/>
      <c r="M245" s="13"/>
      <c r="N245" s="13"/>
      <c r="O245" s="13"/>
      <c r="P245" s="13"/>
      <c r="Q245" s="13"/>
      <c r="R245" s="13"/>
      <c r="S245" s="13"/>
      <c r="T245" s="13"/>
      <c r="U245" s="13">
        <v>22</v>
      </c>
      <c r="V245" s="13"/>
      <c r="W245" s="13"/>
      <c r="X245" s="13"/>
      <c r="Y245" s="13"/>
      <c r="Z245" s="13"/>
      <c r="AA245" s="13"/>
      <c r="AB245" s="13"/>
      <c r="AC245" s="13"/>
      <c r="AD245" s="13"/>
      <c r="AE245" s="13"/>
      <c r="AF245" s="13"/>
      <c r="AG245" s="13"/>
      <c r="AH245" s="13"/>
      <c r="AI245" s="13"/>
      <c r="AJ245" s="13"/>
      <c r="AK245" s="13"/>
      <c r="AL245" s="13"/>
      <c r="AM245" s="13">
        <f t="shared" ref="AM245:AM251" si="8">SUM(C245:AL245)</f>
        <v>22</v>
      </c>
    </row>
    <row r="246" spans="1:39" x14ac:dyDescent="0.25">
      <c r="A246" s="21"/>
      <c r="B246" s="13" t="s">
        <v>115</v>
      </c>
      <c r="C246" s="13"/>
      <c r="D246" s="13"/>
      <c r="E246" s="13"/>
      <c r="F246" s="13"/>
      <c r="G246" s="13"/>
      <c r="H246" s="13"/>
      <c r="I246" s="13"/>
      <c r="J246" s="13"/>
      <c r="K246" s="13"/>
      <c r="L246" s="13"/>
      <c r="M246" s="13"/>
      <c r="N246" s="13"/>
      <c r="O246" s="13"/>
      <c r="P246" s="13"/>
      <c r="Q246" s="13"/>
      <c r="R246" s="13"/>
      <c r="S246" s="13"/>
      <c r="T246" s="13"/>
      <c r="U246" s="13">
        <v>2</v>
      </c>
      <c r="V246" s="13"/>
      <c r="W246" s="13"/>
      <c r="X246" s="13"/>
      <c r="Y246" s="13"/>
      <c r="Z246" s="13"/>
      <c r="AA246" s="13"/>
      <c r="AB246" s="13"/>
      <c r="AC246" s="13"/>
      <c r="AD246" s="13"/>
      <c r="AE246" s="13"/>
      <c r="AF246" s="13"/>
      <c r="AG246" s="13"/>
      <c r="AH246" s="13"/>
      <c r="AI246" s="13"/>
      <c r="AJ246" s="13"/>
      <c r="AK246" s="13"/>
      <c r="AL246" s="13"/>
      <c r="AM246" s="13">
        <f t="shared" si="8"/>
        <v>2</v>
      </c>
    </row>
    <row r="247" spans="1:39" x14ac:dyDescent="0.25">
      <c r="A247" s="21"/>
      <c r="B247" s="13" t="s">
        <v>225</v>
      </c>
      <c r="C247" s="13"/>
      <c r="D247" s="13"/>
      <c r="E247" s="13"/>
      <c r="F247" s="13"/>
      <c r="G247" s="13"/>
      <c r="H247" s="13"/>
      <c r="I247" s="13"/>
      <c r="J247" s="13"/>
      <c r="K247" s="13"/>
      <c r="L247" s="13"/>
      <c r="M247" s="13"/>
      <c r="N247" s="13"/>
      <c r="O247" s="13"/>
      <c r="P247" s="13"/>
      <c r="Q247" s="13"/>
      <c r="R247" s="13"/>
      <c r="S247" s="13"/>
      <c r="T247" s="13"/>
      <c r="U247" s="13">
        <v>1</v>
      </c>
      <c r="V247" s="13"/>
      <c r="W247" s="13"/>
      <c r="X247" s="13"/>
      <c r="Y247" s="13"/>
      <c r="Z247" s="13"/>
      <c r="AA247" s="13"/>
      <c r="AB247" s="13"/>
      <c r="AC247" s="13"/>
      <c r="AD247" s="13"/>
      <c r="AE247" s="13"/>
      <c r="AF247" s="13"/>
      <c r="AG247" s="13"/>
      <c r="AH247" s="13"/>
      <c r="AI247" s="13"/>
      <c r="AJ247" s="13"/>
      <c r="AK247" s="13"/>
      <c r="AL247" s="13"/>
      <c r="AM247" s="13">
        <f t="shared" si="8"/>
        <v>1</v>
      </c>
    </row>
    <row r="248" spans="1:39" x14ac:dyDescent="0.25">
      <c r="A248" s="21"/>
      <c r="B248" s="13" t="s">
        <v>117</v>
      </c>
      <c r="C248" s="13"/>
      <c r="D248" s="13"/>
      <c r="E248" s="13"/>
      <c r="F248" s="13"/>
      <c r="G248" s="13"/>
      <c r="H248" s="13"/>
      <c r="I248" s="13"/>
      <c r="J248" s="13"/>
      <c r="K248" s="13"/>
      <c r="L248" s="13"/>
      <c r="M248" s="13"/>
      <c r="N248" s="13"/>
      <c r="O248" s="13"/>
      <c r="P248" s="13"/>
      <c r="Q248" s="13"/>
      <c r="R248" s="13"/>
      <c r="S248" s="13"/>
      <c r="T248" s="13"/>
      <c r="U248" s="13">
        <v>1</v>
      </c>
      <c r="V248" s="13"/>
      <c r="W248" s="13"/>
      <c r="X248" s="13"/>
      <c r="Y248" s="13"/>
      <c r="Z248" s="13"/>
      <c r="AA248" s="13"/>
      <c r="AB248" s="13"/>
      <c r="AC248" s="13"/>
      <c r="AD248" s="13"/>
      <c r="AE248" s="13"/>
      <c r="AF248" s="13"/>
      <c r="AG248" s="13"/>
      <c r="AH248" s="13"/>
      <c r="AI248" s="13"/>
      <c r="AJ248" s="13"/>
      <c r="AK248" s="13"/>
      <c r="AL248" s="13"/>
      <c r="AM248" s="13">
        <f t="shared" si="8"/>
        <v>1</v>
      </c>
    </row>
    <row r="249" spans="1:39" x14ac:dyDescent="0.25">
      <c r="A249" s="21"/>
      <c r="B249" s="13" t="s">
        <v>226</v>
      </c>
      <c r="C249" s="13"/>
      <c r="D249" s="13"/>
      <c r="E249" s="13"/>
      <c r="F249" s="13"/>
      <c r="G249" s="13"/>
      <c r="H249" s="13"/>
      <c r="I249" s="13"/>
      <c r="J249" s="13"/>
      <c r="K249" s="13"/>
      <c r="L249" s="13"/>
      <c r="M249" s="13"/>
      <c r="N249" s="13"/>
      <c r="O249" s="13"/>
      <c r="P249" s="13"/>
      <c r="Q249" s="13"/>
      <c r="R249" s="13"/>
      <c r="S249" s="13"/>
      <c r="T249" s="13"/>
      <c r="U249" s="13">
        <v>2</v>
      </c>
      <c r="V249" s="13"/>
      <c r="W249" s="13"/>
      <c r="X249" s="13"/>
      <c r="Y249" s="13"/>
      <c r="Z249" s="13"/>
      <c r="AA249" s="13"/>
      <c r="AB249" s="13"/>
      <c r="AC249" s="13"/>
      <c r="AD249" s="13"/>
      <c r="AE249" s="13"/>
      <c r="AF249" s="13"/>
      <c r="AG249" s="13"/>
      <c r="AH249" s="13"/>
      <c r="AI249" s="13"/>
      <c r="AJ249" s="13"/>
      <c r="AK249" s="13"/>
      <c r="AL249" s="13"/>
      <c r="AM249" s="13">
        <f t="shared" si="8"/>
        <v>2</v>
      </c>
    </row>
    <row r="250" spans="1:39" x14ac:dyDescent="0.25">
      <c r="A250" s="21"/>
      <c r="B250" s="13" t="s">
        <v>227</v>
      </c>
      <c r="C250" s="13"/>
      <c r="D250" s="13"/>
      <c r="E250" s="13"/>
      <c r="F250" s="13"/>
      <c r="G250" s="13"/>
      <c r="H250" s="13"/>
      <c r="I250" s="13"/>
      <c r="J250" s="13"/>
      <c r="K250" s="13"/>
      <c r="L250" s="13"/>
      <c r="M250" s="13"/>
      <c r="N250" s="13"/>
      <c r="O250" s="13"/>
      <c r="P250" s="13"/>
      <c r="Q250" s="13"/>
      <c r="R250" s="13"/>
      <c r="S250" s="13"/>
      <c r="T250" s="13"/>
      <c r="U250" s="13">
        <v>1</v>
      </c>
      <c r="V250" s="13"/>
      <c r="W250" s="13"/>
      <c r="X250" s="13"/>
      <c r="Y250" s="13"/>
      <c r="Z250" s="13"/>
      <c r="AA250" s="13"/>
      <c r="AB250" s="13"/>
      <c r="AC250" s="13"/>
      <c r="AD250" s="13"/>
      <c r="AE250" s="13"/>
      <c r="AF250" s="13"/>
      <c r="AG250" s="13"/>
      <c r="AH250" s="13"/>
      <c r="AI250" s="13"/>
      <c r="AJ250" s="13"/>
      <c r="AK250" s="13"/>
      <c r="AL250" s="13"/>
      <c r="AM250" s="13">
        <f t="shared" si="8"/>
        <v>1</v>
      </c>
    </row>
    <row r="251" spans="1:39" x14ac:dyDescent="0.25">
      <c r="A251" s="21"/>
      <c r="B251" s="13" t="s">
        <v>104</v>
      </c>
      <c r="C251" s="13"/>
      <c r="D251" s="13"/>
      <c r="E251" s="13"/>
      <c r="F251" s="13"/>
      <c r="G251" s="13"/>
      <c r="H251" s="13"/>
      <c r="I251" s="13"/>
      <c r="J251" s="13"/>
      <c r="K251" s="13"/>
      <c r="L251" s="13"/>
      <c r="M251" s="13"/>
      <c r="N251" s="13"/>
      <c r="O251" s="13"/>
      <c r="P251" s="13"/>
      <c r="Q251" s="13"/>
      <c r="R251" s="13"/>
      <c r="S251" s="13"/>
      <c r="T251" s="13"/>
      <c r="U251" s="13">
        <v>2</v>
      </c>
      <c r="V251" s="13"/>
      <c r="W251" s="13"/>
      <c r="X251" s="13"/>
      <c r="Y251" s="13"/>
      <c r="Z251" s="13"/>
      <c r="AA251" s="13"/>
      <c r="AB251" s="13"/>
      <c r="AC251" s="13"/>
      <c r="AD251" s="13"/>
      <c r="AE251" s="13"/>
      <c r="AF251" s="13"/>
      <c r="AG251" s="13"/>
      <c r="AH251" s="13"/>
      <c r="AI251" s="13"/>
      <c r="AJ251" s="13"/>
      <c r="AK251" s="13"/>
      <c r="AL251" s="13"/>
      <c r="AM251" s="13">
        <f t="shared" si="8"/>
        <v>2</v>
      </c>
    </row>
    <row r="252" spans="1:39" x14ac:dyDescent="0.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row>
    <row r="253" spans="1:39" x14ac:dyDescent="0.25">
      <c r="A253" s="20" t="s">
        <v>228</v>
      </c>
      <c r="B253" s="20"/>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row>
    <row r="254" spans="1:39" x14ac:dyDescent="0.25">
      <c r="A254" s="2"/>
      <c r="B254" s="19" t="s">
        <v>229</v>
      </c>
      <c r="C254" s="13"/>
      <c r="D254" s="13"/>
      <c r="E254" s="13"/>
      <c r="F254" s="13"/>
      <c r="G254" s="13"/>
      <c r="H254" s="13"/>
      <c r="I254" s="13"/>
      <c r="J254" s="13"/>
      <c r="K254" s="13"/>
      <c r="L254" s="13"/>
      <c r="M254" s="13"/>
      <c r="N254" s="13"/>
      <c r="O254" s="13"/>
      <c r="P254" s="13"/>
      <c r="Q254" s="13"/>
      <c r="R254" s="13"/>
      <c r="S254" s="13"/>
      <c r="T254" s="13"/>
      <c r="U254" s="13"/>
      <c r="V254" s="13">
        <v>28</v>
      </c>
      <c r="W254" s="13"/>
      <c r="X254" s="13"/>
      <c r="Y254" s="13"/>
      <c r="Z254" s="13"/>
      <c r="AA254" s="13"/>
      <c r="AB254" s="13"/>
      <c r="AC254" s="13"/>
      <c r="AD254" s="13"/>
      <c r="AE254" s="13"/>
      <c r="AF254" s="13"/>
      <c r="AG254" s="13"/>
      <c r="AH254" s="13"/>
      <c r="AI254" s="13"/>
      <c r="AJ254" s="13"/>
      <c r="AK254" s="13"/>
      <c r="AL254" s="13"/>
      <c r="AM254" s="13">
        <f>SUM(C254:AL254)</f>
        <v>28</v>
      </c>
    </row>
    <row r="255" spans="1:39" x14ac:dyDescent="0.25">
      <c r="A255" s="21" t="s">
        <v>44</v>
      </c>
      <c r="B255" s="13" t="s">
        <v>230</v>
      </c>
      <c r="C255" s="13"/>
      <c r="D255" s="13"/>
      <c r="E255" s="13"/>
      <c r="F255" s="13"/>
      <c r="G255" s="13"/>
      <c r="H255" s="13"/>
      <c r="I255" s="13"/>
      <c r="J255" s="13"/>
      <c r="K255" s="13"/>
      <c r="L255" s="13"/>
      <c r="M255" s="13"/>
      <c r="N255" s="13"/>
      <c r="O255" s="13"/>
      <c r="P255" s="13"/>
      <c r="Q255" s="13"/>
      <c r="R255" s="13"/>
      <c r="S255" s="13"/>
      <c r="T255" s="13"/>
      <c r="U255" s="13"/>
      <c r="V255" s="13">
        <v>1</v>
      </c>
      <c r="W255" s="13"/>
      <c r="X255" s="13"/>
      <c r="Y255" s="13"/>
      <c r="Z255" s="13"/>
      <c r="AA255" s="13"/>
      <c r="AB255" s="13"/>
      <c r="AC255" s="13"/>
      <c r="AD255" s="13"/>
      <c r="AE255" s="13"/>
      <c r="AF255" s="13"/>
      <c r="AG255" s="13"/>
      <c r="AH255" s="13"/>
      <c r="AI255" s="13"/>
      <c r="AJ255" s="13"/>
      <c r="AK255" s="13"/>
      <c r="AL255" s="13"/>
      <c r="AM255" s="13">
        <f>SUM(C255:AL255)</f>
        <v>1</v>
      </c>
    </row>
    <row r="256" spans="1:39" x14ac:dyDescent="0.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row>
    <row r="257" spans="1:39" x14ac:dyDescent="0.25">
      <c r="A257" s="20" t="s">
        <v>231</v>
      </c>
      <c r="B257" s="20"/>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row>
    <row r="258" spans="1:39" x14ac:dyDescent="0.25">
      <c r="A258" s="21" t="s">
        <v>44</v>
      </c>
      <c r="B258" s="19" t="s">
        <v>232</v>
      </c>
      <c r="C258" s="13"/>
      <c r="D258" s="13"/>
      <c r="E258" s="13"/>
      <c r="F258" s="13"/>
      <c r="G258" s="13"/>
      <c r="H258" s="13"/>
      <c r="I258" s="13"/>
      <c r="J258" s="13"/>
      <c r="K258" s="13"/>
      <c r="L258" s="13"/>
      <c r="M258" s="13"/>
      <c r="N258" s="13"/>
      <c r="O258" s="13"/>
      <c r="P258" s="13"/>
      <c r="Q258" s="13"/>
      <c r="R258" s="13"/>
      <c r="S258" s="13"/>
      <c r="T258" s="13"/>
      <c r="U258" s="13"/>
      <c r="V258" s="13"/>
      <c r="W258" s="13">
        <v>3</v>
      </c>
      <c r="X258" s="13"/>
      <c r="Y258" s="13"/>
      <c r="Z258" s="13"/>
      <c r="AA258" s="13"/>
      <c r="AB258" s="13"/>
      <c r="AC258" s="13"/>
      <c r="AD258" s="13"/>
      <c r="AE258" s="13"/>
      <c r="AF258" s="13"/>
      <c r="AG258" s="13"/>
      <c r="AH258" s="13"/>
      <c r="AI258" s="13"/>
      <c r="AJ258" s="13"/>
      <c r="AK258" s="13"/>
      <c r="AL258" s="13"/>
      <c r="AM258" s="13">
        <f>SUM(C258:AL258)</f>
        <v>3</v>
      </c>
    </row>
    <row r="259" spans="1:39" x14ac:dyDescent="0.25">
      <c r="A259" s="21"/>
      <c r="B259" s="13" t="s">
        <v>127</v>
      </c>
      <c r="C259" s="13"/>
      <c r="D259" s="13"/>
      <c r="E259" s="13"/>
      <c r="F259" s="13"/>
      <c r="G259" s="13"/>
      <c r="H259" s="13"/>
      <c r="I259" s="13"/>
      <c r="J259" s="13"/>
      <c r="K259" s="13"/>
      <c r="L259" s="13"/>
      <c r="M259" s="13"/>
      <c r="N259" s="13"/>
      <c r="O259" s="13"/>
      <c r="P259" s="13"/>
      <c r="Q259" s="13"/>
      <c r="R259" s="13"/>
      <c r="S259" s="13"/>
      <c r="T259" s="13"/>
      <c r="U259" s="13"/>
      <c r="V259" s="13"/>
      <c r="W259" s="13">
        <v>3</v>
      </c>
      <c r="X259" s="13"/>
      <c r="Y259" s="13"/>
      <c r="Z259" s="13"/>
      <c r="AA259" s="13"/>
      <c r="AB259" s="13"/>
      <c r="AC259" s="13"/>
      <c r="AD259" s="13"/>
      <c r="AE259" s="13"/>
      <c r="AF259" s="13"/>
      <c r="AG259" s="13"/>
      <c r="AH259" s="13"/>
      <c r="AI259" s="13"/>
      <c r="AJ259" s="13"/>
      <c r="AK259" s="13"/>
      <c r="AL259" s="13"/>
      <c r="AM259" s="13">
        <f>SUM(C259:AL259)</f>
        <v>3</v>
      </c>
    </row>
    <row r="260" spans="1:39" x14ac:dyDescent="0.25">
      <c r="A260" s="21"/>
      <c r="B260" s="13" t="s">
        <v>233</v>
      </c>
      <c r="C260" s="13"/>
      <c r="D260" s="13"/>
      <c r="E260" s="13"/>
      <c r="F260" s="13"/>
      <c r="G260" s="13"/>
      <c r="H260" s="13"/>
      <c r="I260" s="13"/>
      <c r="J260" s="13"/>
      <c r="K260" s="13"/>
      <c r="L260" s="13"/>
      <c r="M260" s="13"/>
      <c r="N260" s="13"/>
      <c r="O260" s="13"/>
      <c r="P260" s="13"/>
      <c r="Q260" s="13"/>
      <c r="R260" s="13"/>
      <c r="S260" s="13"/>
      <c r="T260" s="13"/>
      <c r="U260" s="13"/>
      <c r="V260" s="13"/>
      <c r="W260" s="13">
        <v>1</v>
      </c>
      <c r="X260" s="13"/>
      <c r="Y260" s="13"/>
      <c r="Z260" s="13"/>
      <c r="AA260" s="13"/>
      <c r="AB260" s="13"/>
      <c r="AC260" s="13"/>
      <c r="AD260" s="13"/>
      <c r="AE260" s="13"/>
      <c r="AF260" s="13"/>
      <c r="AG260" s="13"/>
      <c r="AH260" s="13"/>
      <c r="AI260" s="13"/>
      <c r="AJ260" s="13"/>
      <c r="AK260" s="13"/>
      <c r="AL260" s="13"/>
      <c r="AM260" s="13">
        <f>SUM(C260:AL260)</f>
        <v>1</v>
      </c>
    </row>
    <row r="261" spans="1:39" x14ac:dyDescent="0.25">
      <c r="A261" s="21"/>
      <c r="B261" s="13" t="s">
        <v>125</v>
      </c>
      <c r="C261" s="13"/>
      <c r="D261" s="13"/>
      <c r="E261" s="13"/>
      <c r="F261" s="13"/>
      <c r="G261" s="13"/>
      <c r="H261" s="13"/>
      <c r="I261" s="13"/>
      <c r="J261" s="13"/>
      <c r="K261" s="13"/>
      <c r="L261" s="13"/>
      <c r="M261" s="13"/>
      <c r="N261" s="13"/>
      <c r="O261" s="13"/>
      <c r="P261" s="13"/>
      <c r="Q261" s="13"/>
      <c r="R261" s="13"/>
      <c r="S261" s="13"/>
      <c r="T261" s="13"/>
      <c r="U261" s="13"/>
      <c r="V261" s="13"/>
      <c r="W261" s="13">
        <v>1</v>
      </c>
      <c r="X261" s="13"/>
      <c r="Y261" s="13"/>
      <c r="Z261" s="13"/>
      <c r="AA261" s="13"/>
      <c r="AB261" s="13"/>
      <c r="AC261" s="13"/>
      <c r="AD261" s="13"/>
      <c r="AE261" s="13"/>
      <c r="AF261" s="13"/>
      <c r="AG261" s="13"/>
      <c r="AH261" s="13"/>
      <c r="AI261" s="13"/>
      <c r="AJ261" s="13"/>
      <c r="AK261" s="13"/>
      <c r="AL261" s="13"/>
      <c r="AM261" s="13">
        <f>SUM(C261:AL261)</f>
        <v>1</v>
      </c>
    </row>
    <row r="262" spans="1:39" x14ac:dyDescent="0.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row>
    <row r="263" spans="1:39" x14ac:dyDescent="0.25">
      <c r="A263" s="20" t="s">
        <v>234</v>
      </c>
      <c r="B263" s="20"/>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row>
    <row r="264" spans="1:39" x14ac:dyDescent="0.25">
      <c r="A264" s="21" t="s">
        <v>44</v>
      </c>
      <c r="B264" s="13" t="s">
        <v>235</v>
      </c>
      <c r="C264" s="13"/>
      <c r="D264" s="13"/>
      <c r="E264" s="13"/>
      <c r="F264" s="13"/>
      <c r="G264" s="13"/>
      <c r="H264" s="13"/>
      <c r="I264" s="13"/>
      <c r="J264" s="13"/>
      <c r="K264" s="13"/>
      <c r="L264" s="13"/>
      <c r="M264" s="13"/>
      <c r="N264" s="13"/>
      <c r="O264" s="13"/>
      <c r="P264" s="13"/>
      <c r="Q264" s="13"/>
      <c r="R264" s="13"/>
      <c r="S264" s="13"/>
      <c r="T264" s="13"/>
      <c r="U264" s="13"/>
      <c r="V264" s="13"/>
      <c r="W264" s="13"/>
      <c r="X264" s="13">
        <v>1</v>
      </c>
      <c r="Y264" s="13"/>
      <c r="Z264" s="13"/>
      <c r="AA264" s="13"/>
      <c r="AB264" s="13"/>
      <c r="AC264" s="13"/>
      <c r="AD264" s="13"/>
      <c r="AE264" s="13"/>
      <c r="AF264" s="13"/>
      <c r="AG264" s="13"/>
      <c r="AH264" s="13"/>
      <c r="AI264" s="13"/>
      <c r="AJ264" s="13"/>
      <c r="AK264" s="13"/>
      <c r="AL264" s="13"/>
      <c r="AM264" s="13">
        <f t="shared" ref="AM264:AM269" si="9">SUM(C264:AL264)</f>
        <v>1</v>
      </c>
    </row>
    <row r="265" spans="1:39" x14ac:dyDescent="0.25">
      <c r="A265" s="21"/>
      <c r="B265" s="13" t="s">
        <v>236</v>
      </c>
      <c r="C265" s="13"/>
      <c r="D265" s="13"/>
      <c r="E265" s="13"/>
      <c r="F265" s="13"/>
      <c r="G265" s="13"/>
      <c r="H265" s="13"/>
      <c r="I265" s="13"/>
      <c r="J265" s="13"/>
      <c r="K265" s="13"/>
      <c r="L265" s="13"/>
      <c r="M265" s="13"/>
      <c r="N265" s="13"/>
      <c r="O265" s="13"/>
      <c r="P265" s="13"/>
      <c r="Q265" s="13"/>
      <c r="R265" s="13"/>
      <c r="S265" s="13"/>
      <c r="T265" s="13"/>
      <c r="U265" s="13"/>
      <c r="V265" s="13"/>
      <c r="W265" s="13"/>
      <c r="X265" s="13">
        <v>1</v>
      </c>
      <c r="Y265" s="13"/>
      <c r="Z265" s="13"/>
      <c r="AA265" s="13"/>
      <c r="AB265" s="13"/>
      <c r="AC265" s="13"/>
      <c r="AD265" s="13"/>
      <c r="AE265" s="13"/>
      <c r="AF265" s="13"/>
      <c r="AG265" s="13"/>
      <c r="AH265" s="13"/>
      <c r="AI265" s="13"/>
      <c r="AJ265" s="13"/>
      <c r="AK265" s="13"/>
      <c r="AL265" s="13"/>
      <c r="AM265" s="13">
        <f t="shared" si="9"/>
        <v>1</v>
      </c>
    </row>
    <row r="266" spans="1:39" x14ac:dyDescent="0.25">
      <c r="A266" s="21"/>
      <c r="B266" s="13" t="s">
        <v>237</v>
      </c>
      <c r="C266" s="13"/>
      <c r="D266" s="13"/>
      <c r="E266" s="13"/>
      <c r="F266" s="13"/>
      <c r="G266" s="13"/>
      <c r="H266" s="13"/>
      <c r="I266" s="13"/>
      <c r="J266" s="13"/>
      <c r="K266" s="13"/>
      <c r="L266" s="13"/>
      <c r="M266" s="13"/>
      <c r="N266" s="13"/>
      <c r="O266" s="13"/>
      <c r="P266" s="13"/>
      <c r="Q266" s="13"/>
      <c r="R266" s="13"/>
      <c r="S266" s="13"/>
      <c r="T266" s="13"/>
      <c r="U266" s="13"/>
      <c r="V266" s="13"/>
      <c r="W266" s="13"/>
      <c r="X266" s="13">
        <v>2</v>
      </c>
      <c r="Y266" s="13"/>
      <c r="Z266" s="13"/>
      <c r="AA266" s="13"/>
      <c r="AB266" s="13"/>
      <c r="AC266" s="13"/>
      <c r="AD266" s="13"/>
      <c r="AE266" s="13"/>
      <c r="AF266" s="13"/>
      <c r="AG266" s="13"/>
      <c r="AH266" s="13"/>
      <c r="AI266" s="13"/>
      <c r="AJ266" s="13"/>
      <c r="AK266" s="13"/>
      <c r="AL266" s="13"/>
      <c r="AM266" s="13">
        <f t="shared" si="9"/>
        <v>2</v>
      </c>
    </row>
    <row r="267" spans="1:39" x14ac:dyDescent="0.25">
      <c r="A267" s="21"/>
      <c r="B267" s="19" t="s">
        <v>238</v>
      </c>
      <c r="C267" s="13"/>
      <c r="D267" s="13"/>
      <c r="E267" s="13"/>
      <c r="F267" s="13"/>
      <c r="G267" s="13"/>
      <c r="H267" s="13"/>
      <c r="I267" s="13"/>
      <c r="J267" s="13"/>
      <c r="K267" s="13"/>
      <c r="L267" s="13"/>
      <c r="M267" s="13"/>
      <c r="N267" s="13"/>
      <c r="O267" s="13"/>
      <c r="P267" s="13"/>
      <c r="Q267" s="13"/>
      <c r="R267" s="13"/>
      <c r="S267" s="13"/>
      <c r="T267" s="13"/>
      <c r="U267" s="13"/>
      <c r="V267" s="13"/>
      <c r="W267" s="13"/>
      <c r="X267" s="13">
        <v>3</v>
      </c>
      <c r="Y267" s="13"/>
      <c r="Z267" s="13"/>
      <c r="AA267" s="13"/>
      <c r="AB267" s="13"/>
      <c r="AC267" s="13"/>
      <c r="AD267" s="13"/>
      <c r="AE267" s="13"/>
      <c r="AF267" s="13"/>
      <c r="AG267" s="13"/>
      <c r="AH267" s="13"/>
      <c r="AI267" s="13"/>
      <c r="AJ267" s="13"/>
      <c r="AK267" s="13"/>
      <c r="AL267" s="13"/>
      <c r="AM267" s="13">
        <f t="shared" si="9"/>
        <v>3</v>
      </c>
    </row>
    <row r="268" spans="1:39" x14ac:dyDescent="0.25">
      <c r="A268" s="21"/>
      <c r="B268" s="13" t="s">
        <v>239</v>
      </c>
      <c r="C268" s="13"/>
      <c r="D268" s="13"/>
      <c r="E268" s="13"/>
      <c r="F268" s="13"/>
      <c r="G268" s="13"/>
      <c r="H268" s="13"/>
      <c r="I268" s="13"/>
      <c r="J268" s="13"/>
      <c r="K268" s="13"/>
      <c r="L268" s="13"/>
      <c r="M268" s="13"/>
      <c r="N268" s="13"/>
      <c r="O268" s="13"/>
      <c r="P268" s="13"/>
      <c r="Q268" s="13"/>
      <c r="R268" s="13"/>
      <c r="S268" s="13"/>
      <c r="T268" s="13"/>
      <c r="U268" s="13"/>
      <c r="V268" s="13"/>
      <c r="W268" s="13"/>
      <c r="X268" s="13">
        <v>1</v>
      </c>
      <c r="Y268" s="13"/>
      <c r="Z268" s="13"/>
      <c r="AA268" s="13"/>
      <c r="AB268" s="13"/>
      <c r="AC268" s="13"/>
      <c r="AD268" s="13"/>
      <c r="AE268" s="13"/>
      <c r="AF268" s="13"/>
      <c r="AG268" s="13"/>
      <c r="AH268" s="13"/>
      <c r="AI268" s="13"/>
      <c r="AJ268" s="13"/>
      <c r="AK268" s="13"/>
      <c r="AL268" s="13"/>
      <c r="AM268" s="13">
        <f t="shared" si="9"/>
        <v>1</v>
      </c>
    </row>
    <row r="269" spans="1:39" x14ac:dyDescent="0.25">
      <c r="A269" s="21"/>
      <c r="B269" s="13" t="s">
        <v>240</v>
      </c>
      <c r="C269" s="13"/>
      <c r="D269" s="13"/>
      <c r="E269" s="13"/>
      <c r="F269" s="13"/>
      <c r="G269" s="13"/>
      <c r="H269" s="13"/>
      <c r="I269" s="13"/>
      <c r="J269" s="13"/>
      <c r="K269" s="13"/>
      <c r="L269" s="13"/>
      <c r="M269" s="13"/>
      <c r="N269" s="13"/>
      <c r="O269" s="13"/>
      <c r="P269" s="13"/>
      <c r="Q269" s="13"/>
      <c r="R269" s="13"/>
      <c r="S269" s="13"/>
      <c r="T269" s="13"/>
      <c r="U269" s="13"/>
      <c r="V269" s="13"/>
      <c r="W269" s="13"/>
      <c r="X269" s="13">
        <v>2</v>
      </c>
      <c r="Y269" s="13"/>
      <c r="Z269" s="13"/>
      <c r="AA269" s="13"/>
      <c r="AB269" s="13"/>
      <c r="AC269" s="13"/>
      <c r="AD269" s="13"/>
      <c r="AE269" s="13"/>
      <c r="AF269" s="13"/>
      <c r="AG269" s="13"/>
      <c r="AH269" s="13"/>
      <c r="AI269" s="13"/>
      <c r="AJ269" s="13"/>
      <c r="AK269" s="13"/>
      <c r="AL269" s="13"/>
      <c r="AM269" s="13">
        <f t="shared" si="9"/>
        <v>2</v>
      </c>
    </row>
    <row r="270" spans="1:39" x14ac:dyDescent="0.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row>
    <row r="271" spans="1:39" x14ac:dyDescent="0.25">
      <c r="A271" s="20" t="s">
        <v>241</v>
      </c>
      <c r="B271" s="20"/>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row>
    <row r="272" spans="1:39" x14ac:dyDescent="0.25">
      <c r="A272" s="21" t="s">
        <v>44</v>
      </c>
      <c r="B272" s="19" t="s">
        <v>242</v>
      </c>
      <c r="C272" s="13"/>
      <c r="D272" s="13"/>
      <c r="E272" s="13"/>
      <c r="F272" s="13"/>
      <c r="G272" s="13"/>
      <c r="H272" s="13"/>
      <c r="I272" s="13"/>
      <c r="J272" s="13"/>
      <c r="K272" s="13"/>
      <c r="L272" s="13"/>
      <c r="M272" s="13"/>
      <c r="N272" s="13"/>
      <c r="O272" s="13"/>
      <c r="P272" s="13"/>
      <c r="Q272" s="13"/>
      <c r="R272" s="13"/>
      <c r="S272" s="13"/>
      <c r="T272" s="13"/>
      <c r="U272" s="13"/>
      <c r="V272" s="13"/>
      <c r="W272" s="13"/>
      <c r="X272" s="13"/>
      <c r="Y272" s="13">
        <v>1</v>
      </c>
      <c r="Z272" s="13"/>
      <c r="AA272" s="13"/>
      <c r="AB272" s="13"/>
      <c r="AC272" s="13"/>
      <c r="AD272" s="13"/>
      <c r="AE272" s="13"/>
      <c r="AF272" s="13"/>
      <c r="AG272" s="13"/>
      <c r="AH272" s="13"/>
      <c r="AI272" s="13"/>
      <c r="AJ272" s="13"/>
      <c r="AK272" s="13"/>
      <c r="AL272" s="13"/>
      <c r="AM272" s="13">
        <f>SUM(C272:AL272)</f>
        <v>1</v>
      </c>
    </row>
    <row r="273" spans="1:39" x14ac:dyDescent="0.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row>
    <row r="274" spans="1:39" x14ac:dyDescent="0.25">
      <c r="A274" s="20" t="s">
        <v>243</v>
      </c>
      <c r="B274" s="20"/>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row>
    <row r="275" spans="1:39" x14ac:dyDescent="0.25">
      <c r="A275" s="21" t="s">
        <v>44</v>
      </c>
      <c r="B275" s="13" t="s">
        <v>244</v>
      </c>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v>1</v>
      </c>
      <c r="AA275" s="13"/>
      <c r="AB275" s="13"/>
      <c r="AC275" s="13"/>
      <c r="AD275" s="13"/>
      <c r="AE275" s="13"/>
      <c r="AF275" s="13"/>
      <c r="AG275" s="13"/>
      <c r="AH275" s="13"/>
      <c r="AI275" s="13"/>
      <c r="AJ275" s="13"/>
      <c r="AK275" s="13"/>
      <c r="AL275" s="13"/>
      <c r="AM275" s="13">
        <f t="shared" ref="AM275:AM281" si="10">SUM(C275:AL275)</f>
        <v>1</v>
      </c>
    </row>
    <row r="276" spans="1:39" x14ac:dyDescent="0.25">
      <c r="A276" s="21"/>
      <c r="B276" s="19" t="s">
        <v>245</v>
      </c>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v>3</v>
      </c>
      <c r="AA276" s="13"/>
      <c r="AB276" s="13"/>
      <c r="AC276" s="13"/>
      <c r="AD276" s="13"/>
      <c r="AE276" s="13"/>
      <c r="AF276" s="13"/>
      <c r="AG276" s="13"/>
      <c r="AH276" s="13"/>
      <c r="AI276" s="13"/>
      <c r="AJ276" s="13"/>
      <c r="AK276" s="13"/>
      <c r="AL276" s="13"/>
      <c r="AM276" s="13">
        <f t="shared" si="10"/>
        <v>3</v>
      </c>
    </row>
    <row r="277" spans="1:39" x14ac:dyDescent="0.25">
      <c r="A277" s="21"/>
      <c r="B277" s="13" t="s">
        <v>246</v>
      </c>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v>1</v>
      </c>
      <c r="AA277" s="13"/>
      <c r="AB277" s="13"/>
      <c r="AC277" s="13"/>
      <c r="AD277" s="13"/>
      <c r="AE277" s="13"/>
      <c r="AF277" s="13"/>
      <c r="AG277" s="13"/>
      <c r="AH277" s="13"/>
      <c r="AI277" s="13"/>
      <c r="AJ277" s="13"/>
      <c r="AK277" s="13"/>
      <c r="AL277" s="13"/>
      <c r="AM277" s="13">
        <f t="shared" si="10"/>
        <v>1</v>
      </c>
    </row>
    <row r="278" spans="1:39" x14ac:dyDescent="0.25">
      <c r="A278" s="21"/>
      <c r="B278" s="13" t="s">
        <v>247</v>
      </c>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v>1</v>
      </c>
      <c r="AA278" s="13"/>
      <c r="AB278" s="13"/>
      <c r="AC278" s="13"/>
      <c r="AD278" s="13"/>
      <c r="AE278" s="13"/>
      <c r="AF278" s="13"/>
      <c r="AG278" s="13"/>
      <c r="AH278" s="13"/>
      <c r="AI278" s="13"/>
      <c r="AJ278" s="13"/>
      <c r="AK278" s="13"/>
      <c r="AL278" s="13"/>
      <c r="AM278" s="13">
        <f t="shared" si="10"/>
        <v>1</v>
      </c>
    </row>
    <row r="279" spans="1:39" x14ac:dyDescent="0.25">
      <c r="A279" s="21"/>
      <c r="B279" s="13" t="s">
        <v>248</v>
      </c>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v>1</v>
      </c>
      <c r="AA279" s="13"/>
      <c r="AB279" s="13"/>
      <c r="AC279" s="13"/>
      <c r="AD279" s="13"/>
      <c r="AE279" s="13"/>
      <c r="AF279" s="13"/>
      <c r="AG279" s="13"/>
      <c r="AH279" s="13"/>
      <c r="AI279" s="13"/>
      <c r="AJ279" s="13"/>
      <c r="AK279" s="13"/>
      <c r="AL279" s="13"/>
      <c r="AM279" s="13">
        <f t="shared" si="10"/>
        <v>1</v>
      </c>
    </row>
    <row r="280" spans="1:39" x14ac:dyDescent="0.25">
      <c r="A280" s="21"/>
      <c r="B280" s="13" t="s">
        <v>249</v>
      </c>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v>1</v>
      </c>
      <c r="AA280" s="13"/>
      <c r="AB280" s="13"/>
      <c r="AC280" s="13"/>
      <c r="AD280" s="13"/>
      <c r="AE280" s="13"/>
      <c r="AF280" s="13"/>
      <c r="AG280" s="13"/>
      <c r="AH280" s="13"/>
      <c r="AI280" s="13"/>
      <c r="AJ280" s="13"/>
      <c r="AK280" s="13"/>
      <c r="AL280" s="13"/>
      <c r="AM280" s="13">
        <f t="shared" si="10"/>
        <v>1</v>
      </c>
    </row>
    <row r="281" spans="1:39" x14ac:dyDescent="0.25">
      <c r="A281" s="21"/>
      <c r="B281" s="13" t="s">
        <v>250</v>
      </c>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v>1</v>
      </c>
      <c r="AA281" s="13"/>
      <c r="AB281" s="13"/>
      <c r="AC281" s="13"/>
      <c r="AD281" s="13"/>
      <c r="AE281" s="13"/>
      <c r="AF281" s="13"/>
      <c r="AG281" s="13"/>
      <c r="AH281" s="13"/>
      <c r="AI281" s="13"/>
      <c r="AJ281" s="13"/>
      <c r="AK281" s="13"/>
      <c r="AL281" s="13"/>
      <c r="AM281" s="13">
        <f t="shared" si="10"/>
        <v>1</v>
      </c>
    </row>
    <row r="282" spans="1:39" x14ac:dyDescent="0.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row>
    <row r="283" spans="1:39" x14ac:dyDescent="0.25">
      <c r="A283" s="20" t="s">
        <v>251</v>
      </c>
      <c r="B283" s="20"/>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row>
    <row r="284" spans="1:39" x14ac:dyDescent="0.25">
      <c r="A284" s="21" t="s">
        <v>44</v>
      </c>
      <c r="B284" s="19" t="s">
        <v>142</v>
      </c>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v>14</v>
      </c>
      <c r="AB284" s="13"/>
      <c r="AC284" s="13"/>
      <c r="AD284" s="13"/>
      <c r="AE284" s="13"/>
      <c r="AF284" s="13"/>
      <c r="AG284" s="13"/>
      <c r="AH284" s="13"/>
      <c r="AI284" s="13"/>
      <c r="AJ284" s="13"/>
      <c r="AK284" s="13"/>
      <c r="AL284" s="13"/>
      <c r="AM284" s="13">
        <f>SUM(C284:AL284)</f>
        <v>14</v>
      </c>
    </row>
    <row r="285" spans="1:39" x14ac:dyDescent="0.25">
      <c r="A285" s="21"/>
      <c r="B285" s="13" t="s">
        <v>200</v>
      </c>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v>1</v>
      </c>
      <c r="AB285" s="13"/>
      <c r="AC285" s="13"/>
      <c r="AD285" s="13"/>
      <c r="AE285" s="13"/>
      <c r="AF285" s="13"/>
      <c r="AG285" s="13"/>
      <c r="AH285" s="13"/>
      <c r="AI285" s="13"/>
      <c r="AJ285" s="13"/>
      <c r="AK285" s="13"/>
      <c r="AL285" s="13"/>
      <c r="AM285" s="13">
        <f>SUM(C285:AL285)</f>
        <v>1</v>
      </c>
    </row>
    <row r="286" spans="1:39" x14ac:dyDescent="0.25">
      <c r="A286" s="21"/>
      <c r="B286" s="13" t="s">
        <v>216</v>
      </c>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v>2</v>
      </c>
      <c r="AB286" s="13"/>
      <c r="AC286" s="13"/>
      <c r="AD286" s="13"/>
      <c r="AE286" s="13"/>
      <c r="AF286" s="13"/>
      <c r="AG286" s="13"/>
      <c r="AH286" s="13"/>
      <c r="AI286" s="13"/>
      <c r="AJ286" s="13"/>
      <c r="AK286" s="13"/>
      <c r="AL286" s="13"/>
      <c r="AM286" s="13">
        <f>SUM(C286:AL286)</f>
        <v>2</v>
      </c>
    </row>
    <row r="287" spans="1:39" x14ac:dyDescent="0.25">
      <c r="A287" s="21"/>
      <c r="B287" s="13" t="s">
        <v>252</v>
      </c>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v>1</v>
      </c>
      <c r="AB287" s="13"/>
      <c r="AC287" s="13"/>
      <c r="AD287" s="13"/>
      <c r="AE287" s="13"/>
      <c r="AF287" s="13"/>
      <c r="AG287" s="13"/>
      <c r="AH287" s="13"/>
      <c r="AI287" s="13"/>
      <c r="AJ287" s="13"/>
      <c r="AK287" s="13"/>
      <c r="AL287" s="13"/>
      <c r="AM287" s="13">
        <f>SUM(C287:AL287)</f>
        <v>1</v>
      </c>
    </row>
    <row r="288" spans="1:39" x14ac:dyDescent="0.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row>
    <row r="289" spans="1:39" x14ac:dyDescent="0.25">
      <c r="A289" s="20" t="s">
        <v>253</v>
      </c>
      <c r="B289" s="20"/>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row>
    <row r="290" spans="1:39" x14ac:dyDescent="0.25">
      <c r="A290" s="21" t="s">
        <v>44</v>
      </c>
      <c r="B290" s="13" t="s">
        <v>254</v>
      </c>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v>1</v>
      </c>
      <c r="AC290" s="13"/>
      <c r="AD290" s="13"/>
      <c r="AE290" s="13"/>
      <c r="AF290" s="13"/>
      <c r="AG290" s="13"/>
      <c r="AH290" s="13"/>
      <c r="AI290" s="13"/>
      <c r="AJ290" s="13"/>
      <c r="AK290" s="13"/>
      <c r="AL290" s="13"/>
      <c r="AM290" s="13">
        <f t="shared" ref="AM290:AM295" si="11">SUM(C290:AL290)</f>
        <v>1</v>
      </c>
    </row>
    <row r="291" spans="1:39" x14ac:dyDescent="0.25">
      <c r="A291" s="21"/>
      <c r="B291" s="13" t="s">
        <v>255</v>
      </c>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v>1</v>
      </c>
      <c r="AC291" s="13"/>
      <c r="AD291" s="13"/>
      <c r="AE291" s="13"/>
      <c r="AF291" s="13"/>
      <c r="AG291" s="13"/>
      <c r="AH291" s="13"/>
      <c r="AI291" s="13"/>
      <c r="AJ291" s="13"/>
      <c r="AK291" s="13"/>
      <c r="AL291" s="13"/>
      <c r="AM291" s="13">
        <f t="shared" si="11"/>
        <v>1</v>
      </c>
    </row>
    <row r="292" spans="1:39" x14ac:dyDescent="0.25">
      <c r="A292" s="21"/>
      <c r="B292" s="13" t="s">
        <v>153</v>
      </c>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v>3</v>
      </c>
      <c r="AC292" s="13"/>
      <c r="AD292" s="13"/>
      <c r="AE292" s="13"/>
      <c r="AF292" s="13"/>
      <c r="AG292" s="13"/>
      <c r="AH292" s="13"/>
      <c r="AI292" s="13"/>
      <c r="AJ292" s="13"/>
      <c r="AK292" s="13"/>
      <c r="AL292" s="13"/>
      <c r="AM292" s="13">
        <f t="shared" si="11"/>
        <v>3</v>
      </c>
    </row>
    <row r="293" spans="1:39" x14ac:dyDescent="0.25">
      <c r="A293" s="21"/>
      <c r="B293" s="13" t="s">
        <v>256</v>
      </c>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v>1</v>
      </c>
      <c r="AC293" s="13"/>
      <c r="AD293" s="13"/>
      <c r="AE293" s="13"/>
      <c r="AF293" s="13"/>
      <c r="AG293" s="13"/>
      <c r="AH293" s="13"/>
      <c r="AI293" s="13"/>
      <c r="AJ293" s="13"/>
      <c r="AK293" s="13"/>
      <c r="AL293" s="13"/>
      <c r="AM293" s="13">
        <f t="shared" si="11"/>
        <v>1</v>
      </c>
    </row>
    <row r="294" spans="1:39" x14ac:dyDescent="0.25">
      <c r="A294" s="21"/>
      <c r="B294" s="19" t="s">
        <v>149</v>
      </c>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v>20</v>
      </c>
      <c r="AC294" s="13"/>
      <c r="AD294" s="13"/>
      <c r="AE294" s="13"/>
      <c r="AF294" s="13"/>
      <c r="AG294" s="13"/>
      <c r="AH294" s="13"/>
      <c r="AI294" s="13"/>
      <c r="AJ294" s="13"/>
      <c r="AK294" s="13"/>
      <c r="AL294" s="13"/>
      <c r="AM294" s="13">
        <f t="shared" si="11"/>
        <v>20</v>
      </c>
    </row>
    <row r="295" spans="1:39" x14ac:dyDescent="0.25">
      <c r="A295" s="21"/>
      <c r="B295" s="13" t="s">
        <v>150</v>
      </c>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v>1</v>
      </c>
      <c r="AC295" s="13"/>
      <c r="AD295" s="13"/>
      <c r="AE295" s="13"/>
      <c r="AF295" s="13"/>
      <c r="AG295" s="13"/>
      <c r="AH295" s="13"/>
      <c r="AI295" s="13"/>
      <c r="AJ295" s="13"/>
      <c r="AK295" s="13"/>
      <c r="AL295" s="13"/>
      <c r="AM295" s="13">
        <f t="shared" si="11"/>
        <v>1</v>
      </c>
    </row>
    <row r="296" spans="1:39" x14ac:dyDescent="0.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row>
    <row r="297" spans="1:39" x14ac:dyDescent="0.25">
      <c r="A297" s="20" t="s">
        <v>257</v>
      </c>
      <c r="B297" s="20"/>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row>
    <row r="298" spans="1:39" x14ac:dyDescent="0.25">
      <c r="A298" s="21" t="s">
        <v>44</v>
      </c>
      <c r="B298" s="13" t="s">
        <v>258</v>
      </c>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v>1</v>
      </c>
      <c r="AD298" s="13"/>
      <c r="AE298" s="13"/>
      <c r="AF298" s="13"/>
      <c r="AG298" s="13"/>
      <c r="AH298" s="13"/>
      <c r="AI298" s="13"/>
      <c r="AJ298" s="13"/>
      <c r="AK298" s="13"/>
      <c r="AL298" s="13"/>
      <c r="AM298" s="13">
        <f t="shared" ref="AM298:AM305" si="12">SUM(C298:AL298)</f>
        <v>1</v>
      </c>
    </row>
    <row r="299" spans="1:39" x14ac:dyDescent="0.25">
      <c r="A299" s="21"/>
      <c r="B299" s="13" t="s">
        <v>259</v>
      </c>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v>1</v>
      </c>
      <c r="AD299" s="13"/>
      <c r="AE299" s="13"/>
      <c r="AF299" s="13"/>
      <c r="AG299" s="13"/>
      <c r="AH299" s="13"/>
      <c r="AI299" s="13"/>
      <c r="AJ299" s="13"/>
      <c r="AK299" s="13"/>
      <c r="AL299" s="13"/>
      <c r="AM299" s="13">
        <f t="shared" si="12"/>
        <v>1</v>
      </c>
    </row>
    <row r="300" spans="1:39" x14ac:dyDescent="0.25">
      <c r="A300" s="21"/>
      <c r="B300" s="13" t="s">
        <v>260</v>
      </c>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v>1</v>
      </c>
      <c r="AD300" s="13"/>
      <c r="AE300" s="13"/>
      <c r="AF300" s="13"/>
      <c r="AG300" s="13"/>
      <c r="AH300" s="13"/>
      <c r="AI300" s="13"/>
      <c r="AJ300" s="13"/>
      <c r="AK300" s="13"/>
      <c r="AL300" s="13"/>
      <c r="AM300" s="13">
        <f t="shared" si="12"/>
        <v>1</v>
      </c>
    </row>
    <row r="301" spans="1:39" x14ac:dyDescent="0.25">
      <c r="A301" s="21"/>
      <c r="B301" s="13" t="s">
        <v>261</v>
      </c>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v>1</v>
      </c>
      <c r="AD301" s="13"/>
      <c r="AE301" s="13"/>
      <c r="AF301" s="13"/>
      <c r="AG301" s="13"/>
      <c r="AH301" s="13"/>
      <c r="AI301" s="13"/>
      <c r="AJ301" s="13"/>
      <c r="AK301" s="13"/>
      <c r="AL301" s="13"/>
      <c r="AM301" s="13">
        <f t="shared" si="12"/>
        <v>1</v>
      </c>
    </row>
    <row r="302" spans="1:39" x14ac:dyDescent="0.25">
      <c r="A302" s="21"/>
      <c r="B302" s="13" t="s">
        <v>262</v>
      </c>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v>1</v>
      </c>
      <c r="AD302" s="13"/>
      <c r="AE302" s="13"/>
      <c r="AF302" s="13"/>
      <c r="AG302" s="13"/>
      <c r="AH302" s="13"/>
      <c r="AI302" s="13"/>
      <c r="AJ302" s="13"/>
      <c r="AK302" s="13"/>
      <c r="AL302" s="13"/>
      <c r="AM302" s="13">
        <f t="shared" si="12"/>
        <v>1</v>
      </c>
    </row>
    <row r="303" spans="1:39" x14ac:dyDescent="0.25">
      <c r="A303" s="21"/>
      <c r="B303" s="19" t="s">
        <v>263</v>
      </c>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v>3</v>
      </c>
      <c r="AD303" s="13"/>
      <c r="AE303" s="13"/>
      <c r="AF303" s="13"/>
      <c r="AG303" s="13"/>
      <c r="AH303" s="13"/>
      <c r="AI303" s="13"/>
      <c r="AJ303" s="13"/>
      <c r="AK303" s="13"/>
      <c r="AL303" s="13"/>
      <c r="AM303" s="13">
        <f t="shared" si="12"/>
        <v>3</v>
      </c>
    </row>
    <row r="304" spans="1:39" x14ac:dyDescent="0.25">
      <c r="A304" s="21"/>
      <c r="B304" s="13" t="s">
        <v>264</v>
      </c>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v>1</v>
      </c>
      <c r="AD304" s="13"/>
      <c r="AE304" s="13"/>
      <c r="AF304" s="13"/>
      <c r="AG304" s="13"/>
      <c r="AH304" s="13"/>
      <c r="AI304" s="13"/>
      <c r="AJ304" s="13"/>
      <c r="AK304" s="13"/>
      <c r="AL304" s="13"/>
      <c r="AM304" s="13">
        <f t="shared" si="12"/>
        <v>1</v>
      </c>
    </row>
    <row r="305" spans="1:39" x14ac:dyDescent="0.25">
      <c r="A305" s="21"/>
      <c r="B305" s="13" t="s">
        <v>265</v>
      </c>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v>1</v>
      </c>
      <c r="AD305" s="13"/>
      <c r="AE305" s="13"/>
      <c r="AF305" s="13"/>
      <c r="AG305" s="13"/>
      <c r="AH305" s="13"/>
      <c r="AI305" s="13"/>
      <c r="AJ305" s="13"/>
      <c r="AK305" s="13"/>
      <c r="AL305" s="13"/>
      <c r="AM305" s="13">
        <f t="shared" si="12"/>
        <v>1</v>
      </c>
    </row>
    <row r="306" spans="1:39" x14ac:dyDescent="0.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row>
    <row r="307" spans="1:39" x14ac:dyDescent="0.25">
      <c r="A307" s="20" t="s">
        <v>266</v>
      </c>
      <c r="B307" s="20"/>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row>
    <row r="308" spans="1:39" x14ac:dyDescent="0.25">
      <c r="A308" s="21" t="s">
        <v>44</v>
      </c>
      <c r="B308" s="13" t="s">
        <v>162</v>
      </c>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v>1</v>
      </c>
      <c r="AE308" s="13"/>
      <c r="AF308" s="13"/>
      <c r="AG308" s="13"/>
      <c r="AH308" s="13"/>
      <c r="AI308" s="13"/>
      <c r="AJ308" s="13"/>
      <c r="AK308" s="13"/>
      <c r="AL308" s="13"/>
      <c r="AM308" s="13">
        <f>SUM(C308:AL308)</f>
        <v>1</v>
      </c>
    </row>
    <row r="309" spans="1:39" x14ac:dyDescent="0.25">
      <c r="A309" s="21"/>
      <c r="B309" s="19" t="s">
        <v>267</v>
      </c>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v>4</v>
      </c>
      <c r="AE309" s="13"/>
      <c r="AF309" s="13"/>
      <c r="AG309" s="13"/>
      <c r="AH309" s="13"/>
      <c r="AI309" s="13"/>
      <c r="AJ309" s="13"/>
      <c r="AK309" s="13"/>
      <c r="AL309" s="13"/>
      <c r="AM309" s="13">
        <f>SUM(C309:AL309)</f>
        <v>4</v>
      </c>
    </row>
    <row r="310" spans="1:39" x14ac:dyDescent="0.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row>
    <row r="311" spans="1:39" x14ac:dyDescent="0.25">
      <c r="A311" s="20" t="s">
        <v>268</v>
      </c>
      <c r="B311" s="20"/>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row>
    <row r="312" spans="1:39" x14ac:dyDescent="0.25">
      <c r="A312" s="13"/>
      <c r="B312" s="19" t="s">
        <v>269</v>
      </c>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v>53</v>
      </c>
      <c r="AF312" s="13"/>
      <c r="AG312" s="13"/>
      <c r="AH312" s="13"/>
      <c r="AI312" s="13"/>
      <c r="AJ312" s="13"/>
      <c r="AK312" s="13"/>
      <c r="AL312" s="13"/>
      <c r="AM312" s="13">
        <f>SUM(C312:AL312)</f>
        <v>53</v>
      </c>
    </row>
    <row r="313" spans="1:39" x14ac:dyDescent="0.25">
      <c r="A313" s="21" t="s">
        <v>44</v>
      </c>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row>
    <row r="314" spans="1:39" x14ac:dyDescent="0.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row>
    <row r="315" spans="1:39" x14ac:dyDescent="0.25">
      <c r="A315" s="20" t="s">
        <v>270</v>
      </c>
      <c r="B315" s="20"/>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row>
    <row r="316" spans="1:39" x14ac:dyDescent="0.25">
      <c r="A316" s="21" t="s">
        <v>44</v>
      </c>
      <c r="B316" s="19" t="s">
        <v>171</v>
      </c>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v>3</v>
      </c>
      <c r="AG316" s="13"/>
      <c r="AH316" s="13"/>
      <c r="AI316" s="13"/>
      <c r="AJ316" s="13"/>
      <c r="AK316" s="13"/>
      <c r="AL316" s="13"/>
      <c r="AM316" s="13">
        <f>SUM(C316:AL316)</f>
        <v>3</v>
      </c>
    </row>
    <row r="317" spans="1:39" x14ac:dyDescent="0.25">
      <c r="A317" s="21"/>
      <c r="B317" s="13" t="s">
        <v>271</v>
      </c>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v>2</v>
      </c>
      <c r="AG317" s="13"/>
      <c r="AH317" s="13"/>
      <c r="AI317" s="13"/>
      <c r="AJ317" s="13"/>
      <c r="AK317" s="13"/>
      <c r="AL317" s="13"/>
      <c r="AM317" s="13">
        <f>SUM(C317:AL317)</f>
        <v>2</v>
      </c>
    </row>
    <row r="318" spans="1:39" x14ac:dyDescent="0.25">
      <c r="A318" s="21"/>
      <c r="B318" s="13" t="s">
        <v>272</v>
      </c>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v>1</v>
      </c>
      <c r="AG318" s="13"/>
      <c r="AH318" s="13"/>
      <c r="AI318" s="13"/>
      <c r="AJ318" s="13"/>
      <c r="AK318" s="13"/>
      <c r="AL318" s="13"/>
      <c r="AM318" s="13">
        <f>SUM(C318:AL318)</f>
        <v>1</v>
      </c>
    </row>
    <row r="319" spans="1:39" x14ac:dyDescent="0.25">
      <c r="A319" s="21"/>
      <c r="B319" s="13" t="s">
        <v>273</v>
      </c>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v>1</v>
      </c>
      <c r="AG319" s="13"/>
      <c r="AH319" s="13"/>
      <c r="AI319" s="13"/>
      <c r="AJ319" s="13"/>
      <c r="AK319" s="13"/>
      <c r="AL319" s="13"/>
      <c r="AM319" s="13">
        <f>SUM(C319:AL319)</f>
        <v>1</v>
      </c>
    </row>
    <row r="320" spans="1:39" x14ac:dyDescent="0.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row>
    <row r="321" spans="1:39" x14ac:dyDescent="0.25">
      <c r="A321" s="20" t="s">
        <v>274</v>
      </c>
      <c r="B321" s="20"/>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row>
    <row r="322" spans="1:39" x14ac:dyDescent="0.25">
      <c r="A322" s="21" t="s">
        <v>44</v>
      </c>
      <c r="B322" s="19" t="s">
        <v>181</v>
      </c>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v>7</v>
      </c>
      <c r="AH322" s="13"/>
      <c r="AI322" s="13"/>
      <c r="AJ322" s="13"/>
      <c r="AK322" s="13"/>
      <c r="AL322" s="13"/>
      <c r="AM322" s="13">
        <f>SUM(C322:AL322)</f>
        <v>7</v>
      </c>
    </row>
    <row r="323" spans="1:39" x14ac:dyDescent="0.25">
      <c r="A323" s="21"/>
      <c r="B323" s="13" t="s">
        <v>180</v>
      </c>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v>1</v>
      </c>
      <c r="AH323" s="13"/>
      <c r="AI323" s="13"/>
      <c r="AJ323" s="13"/>
      <c r="AK323" s="13"/>
      <c r="AL323" s="13"/>
      <c r="AM323" s="13">
        <f>SUM(C323:AL323)</f>
        <v>1</v>
      </c>
    </row>
    <row r="324" spans="1:39" x14ac:dyDescent="0.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row>
    <row r="325" spans="1:39" x14ac:dyDescent="0.25">
      <c r="A325" s="20" t="s">
        <v>275</v>
      </c>
      <c r="B325" s="20"/>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row>
    <row r="326" spans="1:39" x14ac:dyDescent="0.25">
      <c r="A326" s="2"/>
      <c r="B326" s="19" t="s">
        <v>276</v>
      </c>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v>53</v>
      </c>
      <c r="AI326" s="13"/>
      <c r="AJ326" s="13"/>
      <c r="AK326" s="13"/>
      <c r="AL326" s="13"/>
      <c r="AM326" s="13">
        <f>SUM(C326:AL326)</f>
        <v>53</v>
      </c>
    </row>
    <row r="327" spans="1:39" x14ac:dyDescent="0.25">
      <c r="A327" s="21" t="s">
        <v>44</v>
      </c>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row>
    <row r="328" spans="1:39" x14ac:dyDescent="0.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row>
    <row r="329" spans="1:39" x14ac:dyDescent="0.25">
      <c r="A329" s="20" t="s">
        <v>277</v>
      </c>
      <c r="B329" s="20"/>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row>
    <row r="330" spans="1:39" x14ac:dyDescent="0.25">
      <c r="A330" s="21" t="s">
        <v>44</v>
      </c>
      <c r="B330" s="19" t="s">
        <v>189</v>
      </c>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v>6</v>
      </c>
      <c r="AJ330" s="13"/>
      <c r="AK330" s="13"/>
      <c r="AL330" s="13"/>
      <c r="AM330" s="13">
        <f>SUM(C330:AL330)</f>
        <v>6</v>
      </c>
    </row>
    <row r="331" spans="1:39" x14ac:dyDescent="0.25">
      <c r="A331" s="21"/>
      <c r="B331" s="13" t="s">
        <v>190</v>
      </c>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v>1</v>
      </c>
      <c r="AJ331" s="13"/>
      <c r="AK331" s="13"/>
      <c r="AL331" s="13"/>
      <c r="AM331" s="13">
        <f>SUM(C331:AL331)</f>
        <v>1</v>
      </c>
    </row>
    <row r="332" spans="1:39" x14ac:dyDescent="0.25">
      <c r="A332" s="21"/>
      <c r="B332" s="13" t="s">
        <v>187</v>
      </c>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v>1</v>
      </c>
      <c r="AJ332" s="13"/>
      <c r="AK332" s="13"/>
      <c r="AL332" s="13"/>
      <c r="AM332" s="13">
        <f>SUM(C332:AL332)</f>
        <v>1</v>
      </c>
    </row>
    <row r="333" spans="1:39" x14ac:dyDescent="0.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row>
    <row r="334" spans="1:39" x14ac:dyDescent="0.25">
      <c r="A334" s="20" t="s">
        <v>278</v>
      </c>
      <c r="B334" s="20"/>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row>
    <row r="335" spans="1:39" x14ac:dyDescent="0.25">
      <c r="A335" s="2"/>
      <c r="B335" s="19" t="s">
        <v>279</v>
      </c>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v>15</v>
      </c>
      <c r="AK335" s="13"/>
      <c r="AL335" s="13"/>
      <c r="AM335" s="13">
        <f>SUM(C335:AL335)</f>
        <v>15</v>
      </c>
    </row>
    <row r="336" spans="1:39" x14ac:dyDescent="0.25">
      <c r="A336" s="21" t="s">
        <v>44</v>
      </c>
      <c r="B336" s="2" t="s">
        <v>280</v>
      </c>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v>1</v>
      </c>
      <c r="AK336" s="13"/>
      <c r="AL336" s="13"/>
      <c r="AM336" s="13">
        <f>SUM(C336:AL336)</f>
        <v>1</v>
      </c>
    </row>
    <row r="337" spans="1:39" x14ac:dyDescent="0.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row>
    <row r="338" spans="1:39" x14ac:dyDescent="0.25">
      <c r="A338" s="20" t="s">
        <v>281</v>
      </c>
      <c r="B338" s="20"/>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row>
    <row r="339" spans="1:39" x14ac:dyDescent="0.25">
      <c r="A339" s="21" t="s">
        <v>44</v>
      </c>
      <c r="B339" s="19" t="s">
        <v>282</v>
      </c>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v>5</v>
      </c>
      <c r="AL339" s="13"/>
      <c r="AM339" s="13">
        <f>SUM(C339:AL339)</f>
        <v>5</v>
      </c>
    </row>
    <row r="340" spans="1:39" x14ac:dyDescent="0.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row>
    <row r="341" spans="1:39" x14ac:dyDescent="0.25">
      <c r="A341" s="20" t="s">
        <v>283</v>
      </c>
      <c r="B341" s="20"/>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row>
    <row r="342" spans="1:39" x14ac:dyDescent="0.25">
      <c r="A342" s="21" t="s">
        <v>44</v>
      </c>
      <c r="B342" s="13" t="s">
        <v>198</v>
      </c>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v>0</v>
      </c>
      <c r="AM342" s="13">
        <f>SUM(C342:AL342)</f>
        <v>0</v>
      </c>
    </row>
    <row r="343" spans="1:39" x14ac:dyDescent="0.25">
      <c r="A343" s="21"/>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row>
    <row r="344" spans="1:39" x14ac:dyDescent="0.25">
      <c r="A344" s="21" t="s">
        <v>284</v>
      </c>
      <c r="B344" s="19" t="s">
        <v>285</v>
      </c>
      <c r="C344" s="13">
        <v>69</v>
      </c>
      <c r="D344" s="13">
        <v>18</v>
      </c>
      <c r="E344" s="13">
        <v>35</v>
      </c>
      <c r="F344" s="13">
        <v>160</v>
      </c>
      <c r="G344" s="13">
        <v>60</v>
      </c>
      <c r="H344" s="13">
        <v>299</v>
      </c>
      <c r="I344" s="13">
        <v>219</v>
      </c>
      <c r="J344" s="13">
        <v>239</v>
      </c>
      <c r="K344" s="13">
        <v>2</v>
      </c>
      <c r="L344" s="13">
        <v>39</v>
      </c>
      <c r="M344" s="13">
        <v>12</v>
      </c>
      <c r="N344" s="13">
        <v>28</v>
      </c>
      <c r="O344" s="13">
        <v>14</v>
      </c>
      <c r="P344" s="13">
        <v>18</v>
      </c>
      <c r="Q344" s="13">
        <v>8</v>
      </c>
      <c r="R344" s="13">
        <v>22</v>
      </c>
      <c r="S344" s="13">
        <v>17</v>
      </c>
      <c r="T344" s="13">
        <v>33</v>
      </c>
      <c r="U344" s="13">
        <v>29</v>
      </c>
      <c r="V344" s="13">
        <v>15</v>
      </c>
      <c r="W344" s="13">
        <v>12</v>
      </c>
      <c r="X344" s="13">
        <v>14</v>
      </c>
      <c r="Y344" s="13">
        <v>22</v>
      </c>
      <c r="Z344" s="13">
        <v>11</v>
      </c>
      <c r="AA344" s="13">
        <v>44</v>
      </c>
      <c r="AB344" s="13">
        <v>57</v>
      </c>
      <c r="AC344" s="13">
        <v>104</v>
      </c>
      <c r="AD344" s="13">
        <v>14</v>
      </c>
      <c r="AE344" s="13">
        <v>38</v>
      </c>
      <c r="AF344" s="13">
        <v>28</v>
      </c>
      <c r="AG344" s="13">
        <v>9</v>
      </c>
      <c r="AH344" s="13">
        <v>36</v>
      </c>
      <c r="AI344" s="13">
        <v>14</v>
      </c>
      <c r="AJ344" s="13">
        <v>11</v>
      </c>
      <c r="AK344" s="13">
        <v>8</v>
      </c>
      <c r="AL344" s="13">
        <v>2</v>
      </c>
      <c r="AM344" s="13">
        <f>SUM(C344:AL344)</f>
        <v>1760</v>
      </c>
    </row>
    <row r="345" spans="1:39" x14ac:dyDescent="0.25">
      <c r="A345" s="21"/>
      <c r="B345" s="13" t="s">
        <v>286</v>
      </c>
      <c r="C345" s="13">
        <v>17</v>
      </c>
      <c r="D345" s="13">
        <v>9</v>
      </c>
      <c r="E345" s="13">
        <v>20</v>
      </c>
      <c r="F345" s="13">
        <v>41</v>
      </c>
      <c r="G345" s="13">
        <v>6</v>
      </c>
      <c r="H345" s="13">
        <v>74</v>
      </c>
      <c r="I345" s="13">
        <v>52</v>
      </c>
      <c r="J345" s="13">
        <v>53</v>
      </c>
      <c r="K345" s="13">
        <v>0</v>
      </c>
      <c r="L345" s="13">
        <v>16</v>
      </c>
      <c r="M345" s="13">
        <v>6</v>
      </c>
      <c r="N345" s="13">
        <v>13</v>
      </c>
      <c r="O345" s="13">
        <v>2</v>
      </c>
      <c r="P345" s="13">
        <v>4</v>
      </c>
      <c r="Q345" s="13">
        <v>6</v>
      </c>
      <c r="R345" s="13">
        <v>6</v>
      </c>
      <c r="S345" s="13">
        <v>3</v>
      </c>
      <c r="T345" s="13">
        <v>12</v>
      </c>
      <c r="U345" s="13">
        <v>15</v>
      </c>
      <c r="V345" s="13">
        <v>8</v>
      </c>
      <c r="W345" s="13">
        <v>1</v>
      </c>
      <c r="X345" s="13">
        <v>6</v>
      </c>
      <c r="Y345" s="13">
        <v>8</v>
      </c>
      <c r="Z345" s="13">
        <v>18</v>
      </c>
      <c r="AA345" s="13">
        <v>17</v>
      </c>
      <c r="AB345" s="13">
        <v>11</v>
      </c>
      <c r="AC345" s="13">
        <v>32</v>
      </c>
      <c r="AD345" s="13">
        <v>1</v>
      </c>
      <c r="AE345" s="13">
        <v>11</v>
      </c>
      <c r="AF345" s="13">
        <v>3</v>
      </c>
      <c r="AG345" s="13">
        <v>5</v>
      </c>
      <c r="AH345" s="13">
        <v>15</v>
      </c>
      <c r="AI345" s="13">
        <v>2</v>
      </c>
      <c r="AJ345" s="13">
        <v>0</v>
      </c>
      <c r="AK345" s="13">
        <v>1</v>
      </c>
      <c r="AL345" s="13">
        <v>1</v>
      </c>
      <c r="AM345" s="13">
        <f>SUM(C345:AL345)</f>
        <v>495</v>
      </c>
    </row>
    <row r="346" spans="1:39" x14ac:dyDescent="0.25">
      <c r="A346" s="21"/>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row>
    <row r="347" spans="1:39" x14ac:dyDescent="0.25">
      <c r="A347" s="21" t="s">
        <v>287</v>
      </c>
      <c r="B347" s="19" t="s">
        <v>285</v>
      </c>
      <c r="C347" s="13">
        <v>68</v>
      </c>
      <c r="D347" s="13">
        <v>21</v>
      </c>
      <c r="E347" s="13">
        <v>35</v>
      </c>
      <c r="F347" s="13">
        <v>159</v>
      </c>
      <c r="G347" s="13">
        <v>54</v>
      </c>
      <c r="H347" s="13">
        <v>290</v>
      </c>
      <c r="I347" s="13">
        <v>213</v>
      </c>
      <c r="J347" s="13">
        <v>243</v>
      </c>
      <c r="K347" s="13">
        <v>2</v>
      </c>
      <c r="L347" s="13">
        <v>41</v>
      </c>
      <c r="M347" s="13">
        <v>12</v>
      </c>
      <c r="N347" s="13">
        <v>28</v>
      </c>
      <c r="O347" s="13">
        <v>30</v>
      </c>
      <c r="P347" s="13">
        <v>17</v>
      </c>
      <c r="Q347" s="13">
        <v>10</v>
      </c>
      <c r="R347" s="13">
        <v>20</v>
      </c>
      <c r="S347" s="13">
        <v>16</v>
      </c>
      <c r="T347" s="13">
        <v>31</v>
      </c>
      <c r="U347" s="13">
        <v>31</v>
      </c>
      <c r="V347" s="13">
        <v>19</v>
      </c>
      <c r="W347" s="13">
        <v>12</v>
      </c>
      <c r="X347" s="13">
        <v>13</v>
      </c>
      <c r="Y347" s="13">
        <v>23</v>
      </c>
      <c r="Z347" s="13">
        <v>13</v>
      </c>
      <c r="AA347" s="13">
        <v>39</v>
      </c>
      <c r="AB347" s="13">
        <v>55</v>
      </c>
      <c r="AC347" s="13">
        <v>106</v>
      </c>
      <c r="AD347" s="13">
        <v>13</v>
      </c>
      <c r="AE347" s="13">
        <v>33</v>
      </c>
      <c r="AF347" s="13">
        <v>28</v>
      </c>
      <c r="AG347" s="13">
        <v>7</v>
      </c>
      <c r="AH347" s="13">
        <v>38</v>
      </c>
      <c r="AI347" s="13">
        <v>14</v>
      </c>
      <c r="AJ347" s="13">
        <v>10</v>
      </c>
      <c r="AK347" s="13">
        <v>6</v>
      </c>
      <c r="AL347" s="13">
        <v>2</v>
      </c>
      <c r="AM347" s="13">
        <f>SUM(C347:AL347)</f>
        <v>1752</v>
      </c>
    </row>
    <row r="348" spans="1:39" x14ac:dyDescent="0.25">
      <c r="A348" s="21"/>
      <c r="B348" s="13" t="s">
        <v>286</v>
      </c>
      <c r="C348" s="13">
        <v>18</v>
      </c>
      <c r="D348" s="13">
        <v>4</v>
      </c>
      <c r="E348" s="13">
        <v>17</v>
      </c>
      <c r="F348" s="13">
        <v>40</v>
      </c>
      <c r="G348" s="13">
        <v>8</v>
      </c>
      <c r="H348" s="13">
        <v>82</v>
      </c>
      <c r="I348" s="13">
        <v>57</v>
      </c>
      <c r="J348" s="13">
        <v>47</v>
      </c>
      <c r="K348" s="13">
        <v>0</v>
      </c>
      <c r="L348" s="13">
        <v>14</v>
      </c>
      <c r="M348" s="13">
        <v>5</v>
      </c>
      <c r="N348" s="13">
        <v>12</v>
      </c>
      <c r="O348" s="13">
        <v>2</v>
      </c>
      <c r="P348" s="13">
        <v>3</v>
      </c>
      <c r="Q348" s="13">
        <v>5</v>
      </c>
      <c r="R348" s="13">
        <v>7</v>
      </c>
      <c r="S348" s="13">
        <v>3</v>
      </c>
      <c r="T348" s="13">
        <v>12</v>
      </c>
      <c r="U348" s="13">
        <v>13</v>
      </c>
      <c r="V348" s="13">
        <v>4</v>
      </c>
      <c r="W348" s="13">
        <v>1</v>
      </c>
      <c r="X348" s="13">
        <v>6</v>
      </c>
      <c r="Y348" s="13">
        <v>7</v>
      </c>
      <c r="Z348" s="13">
        <v>16</v>
      </c>
      <c r="AA348" s="13">
        <v>14</v>
      </c>
      <c r="AB348" s="13">
        <v>12</v>
      </c>
      <c r="AC348" s="13">
        <v>26</v>
      </c>
      <c r="AD348" s="13">
        <v>2</v>
      </c>
      <c r="AE348" s="13">
        <v>15</v>
      </c>
      <c r="AF348" s="13">
        <v>3</v>
      </c>
      <c r="AG348" s="13">
        <v>6</v>
      </c>
      <c r="AH348" s="13">
        <v>13</v>
      </c>
      <c r="AI348" s="13">
        <v>2</v>
      </c>
      <c r="AJ348" s="13">
        <v>1</v>
      </c>
      <c r="AK348" s="13">
        <v>2</v>
      </c>
      <c r="AL348" s="13">
        <v>1</v>
      </c>
      <c r="AM348" s="13">
        <f>SUM(C348:AL348)</f>
        <v>480</v>
      </c>
    </row>
    <row r="349" spans="1:39" x14ac:dyDescent="0.25">
      <c r="A349" s="21"/>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row>
    <row r="350" spans="1:39" x14ac:dyDescent="0.25">
      <c r="A350" s="21" t="s">
        <v>288</v>
      </c>
      <c r="B350" s="19" t="s">
        <v>285</v>
      </c>
      <c r="C350" s="13">
        <v>64</v>
      </c>
      <c r="D350" s="13">
        <v>21</v>
      </c>
      <c r="E350" s="13">
        <v>36</v>
      </c>
      <c r="F350" s="13">
        <v>134</v>
      </c>
      <c r="G350" s="13">
        <v>44</v>
      </c>
      <c r="H350" s="13">
        <v>272</v>
      </c>
      <c r="I350" s="13">
        <v>214</v>
      </c>
      <c r="J350" s="13">
        <v>224</v>
      </c>
      <c r="K350" s="13">
        <v>2</v>
      </c>
      <c r="L350" s="13">
        <v>30</v>
      </c>
      <c r="M350" s="13">
        <v>14</v>
      </c>
      <c r="N350" s="13">
        <v>27</v>
      </c>
      <c r="O350" s="13">
        <v>13</v>
      </c>
      <c r="P350" s="13">
        <v>17</v>
      </c>
      <c r="Q350" s="13">
        <v>7</v>
      </c>
      <c r="R350" s="13">
        <v>19</v>
      </c>
      <c r="S350" s="13">
        <v>16</v>
      </c>
      <c r="T350" s="13">
        <v>32</v>
      </c>
      <c r="U350" s="13">
        <v>27</v>
      </c>
      <c r="V350" s="13">
        <v>13</v>
      </c>
      <c r="W350" s="13">
        <v>9</v>
      </c>
      <c r="X350" s="13">
        <v>14</v>
      </c>
      <c r="Y350" s="13">
        <v>18</v>
      </c>
      <c r="Z350" s="13">
        <v>9</v>
      </c>
      <c r="AA350" s="13">
        <v>21</v>
      </c>
      <c r="AB350" s="13">
        <v>51</v>
      </c>
      <c r="AC350" s="13">
        <v>98</v>
      </c>
      <c r="AD350" s="13">
        <v>12</v>
      </c>
      <c r="AE350" s="13">
        <v>34</v>
      </c>
      <c r="AF350" s="13">
        <v>23</v>
      </c>
      <c r="AG350" s="13">
        <v>5</v>
      </c>
      <c r="AH350" s="13">
        <v>36</v>
      </c>
      <c r="AI350" s="13">
        <v>16</v>
      </c>
      <c r="AJ350" s="13">
        <v>8</v>
      </c>
      <c r="AK350" s="13">
        <v>5</v>
      </c>
      <c r="AL350" s="13">
        <v>2</v>
      </c>
      <c r="AM350" s="13">
        <f>SUM(C350:AL350)</f>
        <v>1587</v>
      </c>
    </row>
    <row r="351" spans="1:39" x14ac:dyDescent="0.25">
      <c r="A351" s="21"/>
      <c r="B351" s="13" t="s">
        <v>286</v>
      </c>
      <c r="C351" s="13">
        <v>20</v>
      </c>
      <c r="D351" s="13">
        <v>3</v>
      </c>
      <c r="E351" s="13">
        <v>16</v>
      </c>
      <c r="F351" s="13">
        <v>64</v>
      </c>
      <c r="G351" s="13">
        <v>18</v>
      </c>
      <c r="H351" s="13">
        <v>100</v>
      </c>
      <c r="I351" s="13">
        <v>56</v>
      </c>
      <c r="J351" s="13">
        <v>65</v>
      </c>
      <c r="K351" s="13">
        <v>0</v>
      </c>
      <c r="L351" s="13">
        <v>25</v>
      </c>
      <c r="M351" s="13">
        <v>4</v>
      </c>
      <c r="N351" s="13">
        <v>15</v>
      </c>
      <c r="O351" s="13">
        <v>4</v>
      </c>
      <c r="P351" s="13">
        <v>3</v>
      </c>
      <c r="Q351" s="13">
        <v>8</v>
      </c>
      <c r="R351" s="13">
        <v>8</v>
      </c>
      <c r="S351" s="13">
        <v>4</v>
      </c>
      <c r="T351" s="13">
        <v>11</v>
      </c>
      <c r="U351" s="13">
        <v>16</v>
      </c>
      <c r="V351" s="13">
        <v>9</v>
      </c>
      <c r="W351" s="13">
        <v>4</v>
      </c>
      <c r="X351" s="13">
        <v>5</v>
      </c>
      <c r="Y351" s="13">
        <v>12</v>
      </c>
      <c r="Z351" s="13">
        <v>20</v>
      </c>
      <c r="AA351" s="13">
        <v>33</v>
      </c>
      <c r="AB351" s="13">
        <v>16</v>
      </c>
      <c r="AC351" s="13">
        <v>34</v>
      </c>
      <c r="AD351" s="13">
        <v>3</v>
      </c>
      <c r="AE351" s="13">
        <v>15</v>
      </c>
      <c r="AF351" s="13">
        <v>10</v>
      </c>
      <c r="AG351" s="13">
        <v>8</v>
      </c>
      <c r="AH351" s="13">
        <v>15</v>
      </c>
      <c r="AI351" s="13">
        <v>1</v>
      </c>
      <c r="AJ351" s="13">
        <v>4</v>
      </c>
      <c r="AK351" s="13">
        <v>3</v>
      </c>
      <c r="AL351" s="13">
        <v>1</v>
      </c>
      <c r="AM351" s="13">
        <f>SUM(C351:AL351)</f>
        <v>633</v>
      </c>
    </row>
    <row r="352" spans="1:39" x14ac:dyDescent="0.25">
      <c r="A352" s="21"/>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row>
    <row r="353" spans="1:39" x14ac:dyDescent="0.25">
      <c r="A353" s="21" t="s">
        <v>289</v>
      </c>
      <c r="B353" s="19" t="s">
        <v>285</v>
      </c>
      <c r="C353" s="13">
        <v>60</v>
      </c>
      <c r="D353" s="13">
        <v>19</v>
      </c>
      <c r="E353" s="13">
        <v>35</v>
      </c>
      <c r="F353" s="13">
        <v>136</v>
      </c>
      <c r="G353" s="13">
        <v>46</v>
      </c>
      <c r="H353" s="13">
        <v>271</v>
      </c>
      <c r="I353" s="13">
        <v>208</v>
      </c>
      <c r="J353" s="13">
        <v>225</v>
      </c>
      <c r="K353" s="13">
        <v>2</v>
      </c>
      <c r="L353" s="13">
        <v>31</v>
      </c>
      <c r="M353" s="13">
        <v>13</v>
      </c>
      <c r="N353" s="13">
        <v>25</v>
      </c>
      <c r="O353" s="13">
        <v>12</v>
      </c>
      <c r="P353" s="13">
        <v>19</v>
      </c>
      <c r="Q353" s="13">
        <v>7</v>
      </c>
      <c r="R353" s="13">
        <v>19</v>
      </c>
      <c r="S353" s="13">
        <v>17</v>
      </c>
      <c r="T353" s="13">
        <v>29</v>
      </c>
      <c r="U353" s="13">
        <v>26</v>
      </c>
      <c r="V353" s="13">
        <v>12</v>
      </c>
      <c r="W353" s="13">
        <v>10</v>
      </c>
      <c r="X353" s="13">
        <v>14</v>
      </c>
      <c r="Y353" s="13">
        <v>16</v>
      </c>
      <c r="Z353" s="13">
        <v>11</v>
      </c>
      <c r="AA353" s="13">
        <v>22</v>
      </c>
      <c r="AB353" s="13">
        <v>52</v>
      </c>
      <c r="AC353" s="13">
        <v>100</v>
      </c>
      <c r="AD353" s="13">
        <v>12</v>
      </c>
      <c r="AE353" s="13">
        <v>32</v>
      </c>
      <c r="AF353" s="13">
        <v>24</v>
      </c>
      <c r="AG353" s="13">
        <v>5</v>
      </c>
      <c r="AH353" s="13">
        <v>31</v>
      </c>
      <c r="AI353" s="13">
        <v>15</v>
      </c>
      <c r="AJ353" s="13">
        <v>9</v>
      </c>
      <c r="AK353" s="13">
        <v>5</v>
      </c>
      <c r="AL353" s="13">
        <v>2</v>
      </c>
      <c r="AM353" s="13">
        <f>SUM(C353:AL353)</f>
        <v>1572</v>
      </c>
    </row>
    <row r="354" spans="1:39" x14ac:dyDescent="0.25">
      <c r="A354" s="21"/>
      <c r="B354" s="13" t="s">
        <v>286</v>
      </c>
      <c r="C354" s="13">
        <v>24</v>
      </c>
      <c r="D354" s="13">
        <v>6</v>
      </c>
      <c r="E354" s="13">
        <v>19</v>
      </c>
      <c r="F354" s="13">
        <v>62</v>
      </c>
      <c r="G354" s="13">
        <v>17</v>
      </c>
      <c r="H354" s="13">
        <v>100</v>
      </c>
      <c r="I354" s="13">
        <v>60</v>
      </c>
      <c r="J354" s="13">
        <v>64</v>
      </c>
      <c r="K354" s="13">
        <v>0</v>
      </c>
      <c r="L354" s="13">
        <v>23</v>
      </c>
      <c r="M354" s="13">
        <v>5</v>
      </c>
      <c r="N354" s="13">
        <v>17</v>
      </c>
      <c r="O354" s="13">
        <v>4</v>
      </c>
      <c r="P354" s="13">
        <v>3</v>
      </c>
      <c r="Q354" s="13">
        <v>7</v>
      </c>
      <c r="R354" s="13">
        <v>8</v>
      </c>
      <c r="S354" s="13">
        <v>3</v>
      </c>
      <c r="T354" s="13">
        <v>13</v>
      </c>
      <c r="U354" s="13">
        <v>17</v>
      </c>
      <c r="V354" s="13">
        <v>10</v>
      </c>
      <c r="W354" s="13">
        <v>3</v>
      </c>
      <c r="X354" s="13">
        <v>5</v>
      </c>
      <c r="Y354" s="13">
        <v>13</v>
      </c>
      <c r="Z354" s="13">
        <v>18</v>
      </c>
      <c r="AA354" s="13">
        <v>33</v>
      </c>
      <c r="AB354" s="13">
        <v>15</v>
      </c>
      <c r="AC354" s="13">
        <v>33</v>
      </c>
      <c r="AD354" s="13">
        <v>3</v>
      </c>
      <c r="AE354" s="13">
        <v>16</v>
      </c>
      <c r="AF354" s="13">
        <v>9</v>
      </c>
      <c r="AG354" s="13">
        <v>8</v>
      </c>
      <c r="AH354" s="13">
        <v>19</v>
      </c>
      <c r="AI354" s="13">
        <v>1</v>
      </c>
      <c r="AJ354" s="13">
        <v>2</v>
      </c>
      <c r="AK354" s="13">
        <v>3</v>
      </c>
      <c r="AL354" s="13">
        <v>1</v>
      </c>
      <c r="AM354" s="13">
        <f>SUM(C354:AL354)</f>
        <v>644</v>
      </c>
    </row>
    <row r="355" spans="1:39" x14ac:dyDescent="0.25">
      <c r="A355" s="21"/>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row>
    <row r="356" spans="1:39" x14ac:dyDescent="0.25">
      <c r="A356" s="21" t="s">
        <v>290</v>
      </c>
      <c r="B356" s="19" t="s">
        <v>285</v>
      </c>
      <c r="C356" s="13">
        <v>64</v>
      </c>
      <c r="D356" s="13">
        <v>20</v>
      </c>
      <c r="E356" s="13">
        <v>37</v>
      </c>
      <c r="F356" s="13">
        <v>136</v>
      </c>
      <c r="G356" s="13">
        <v>46</v>
      </c>
      <c r="H356" s="13">
        <v>267</v>
      </c>
      <c r="I356" s="13">
        <v>208</v>
      </c>
      <c r="J356" s="13">
        <v>229</v>
      </c>
      <c r="K356" s="13">
        <v>2</v>
      </c>
      <c r="L356" s="13">
        <v>30</v>
      </c>
      <c r="M356" s="13">
        <v>13</v>
      </c>
      <c r="N356" s="13">
        <v>28</v>
      </c>
      <c r="O356" s="13">
        <v>13</v>
      </c>
      <c r="P356" s="13">
        <v>16</v>
      </c>
      <c r="Q356" s="13">
        <v>8</v>
      </c>
      <c r="R356" s="13">
        <v>18</v>
      </c>
      <c r="S356" s="13">
        <v>17</v>
      </c>
      <c r="T356" s="13">
        <v>30</v>
      </c>
      <c r="U356" s="13">
        <v>27</v>
      </c>
      <c r="V356" s="13">
        <v>13</v>
      </c>
      <c r="W356" s="13">
        <v>10</v>
      </c>
      <c r="X356" s="13">
        <v>13</v>
      </c>
      <c r="Y356" s="13">
        <v>18</v>
      </c>
      <c r="Z356" s="13">
        <v>10</v>
      </c>
      <c r="AA356" s="13">
        <v>22</v>
      </c>
      <c r="AB356" s="13">
        <v>52</v>
      </c>
      <c r="AC356" s="13">
        <v>99</v>
      </c>
      <c r="AD356" s="13">
        <v>11</v>
      </c>
      <c r="AE356" s="13">
        <v>35</v>
      </c>
      <c r="AF356" s="13">
        <v>24</v>
      </c>
      <c r="AG356" s="13">
        <v>5</v>
      </c>
      <c r="AH356" s="13">
        <v>31</v>
      </c>
      <c r="AI356" s="13">
        <v>16</v>
      </c>
      <c r="AJ356" s="13">
        <v>11</v>
      </c>
      <c r="AK356" s="13">
        <v>5</v>
      </c>
      <c r="AL356" s="13">
        <v>2</v>
      </c>
      <c r="AM356" s="13">
        <f>SUM(C356:AL356)</f>
        <v>1586</v>
      </c>
    </row>
    <row r="357" spans="1:39" x14ac:dyDescent="0.25">
      <c r="A357" s="21"/>
      <c r="B357" s="13" t="s">
        <v>286</v>
      </c>
      <c r="C357" s="13">
        <v>21</v>
      </c>
      <c r="D357" s="13">
        <v>5</v>
      </c>
      <c r="E357" s="13">
        <v>17</v>
      </c>
      <c r="F357" s="13">
        <v>62</v>
      </c>
      <c r="G357" s="13">
        <v>16</v>
      </c>
      <c r="H357" s="13">
        <v>101</v>
      </c>
      <c r="I357" s="13">
        <v>61</v>
      </c>
      <c r="J357" s="13">
        <v>58</v>
      </c>
      <c r="K357" s="13">
        <v>0</v>
      </c>
      <c r="L357" s="13">
        <v>24</v>
      </c>
      <c r="M357" s="13">
        <v>5</v>
      </c>
      <c r="N357" s="13">
        <v>14</v>
      </c>
      <c r="O357" s="13">
        <v>4</v>
      </c>
      <c r="P357" s="13">
        <v>4</v>
      </c>
      <c r="Q357" s="13">
        <v>7</v>
      </c>
      <c r="R357" s="13">
        <v>8</v>
      </c>
      <c r="S357" s="13">
        <v>3</v>
      </c>
      <c r="T357" s="13">
        <v>13</v>
      </c>
      <c r="U357" s="13">
        <v>16</v>
      </c>
      <c r="V357" s="13">
        <v>9</v>
      </c>
      <c r="W357" s="13">
        <v>3</v>
      </c>
      <c r="X357" s="13">
        <v>6</v>
      </c>
      <c r="Y357" s="13">
        <v>12</v>
      </c>
      <c r="Z357" s="13">
        <v>19</v>
      </c>
      <c r="AA357" s="13">
        <v>33</v>
      </c>
      <c r="AB357" s="13">
        <v>15</v>
      </c>
      <c r="AC357" s="13">
        <v>34</v>
      </c>
      <c r="AD357" s="13">
        <v>4</v>
      </c>
      <c r="AE357" s="13">
        <v>13</v>
      </c>
      <c r="AF357" s="13">
        <v>9</v>
      </c>
      <c r="AG357" s="13">
        <v>8</v>
      </c>
      <c r="AH357" s="13">
        <v>20</v>
      </c>
      <c r="AI357" s="13">
        <v>1</v>
      </c>
      <c r="AJ357" s="13">
        <v>1</v>
      </c>
      <c r="AK357" s="13">
        <v>3</v>
      </c>
      <c r="AL357" s="13">
        <v>1</v>
      </c>
      <c r="AM357" s="13">
        <f>SUM(C357:AL357)</f>
        <v>630</v>
      </c>
    </row>
    <row r="358" spans="1:39" x14ac:dyDescent="0.25">
      <c r="A358" s="21"/>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row>
    <row r="359" spans="1:39" x14ac:dyDescent="0.25">
      <c r="A359" s="21" t="s">
        <v>291</v>
      </c>
      <c r="B359" s="19" t="s">
        <v>285</v>
      </c>
      <c r="C359" s="13">
        <v>67</v>
      </c>
      <c r="D359" s="13">
        <v>20</v>
      </c>
      <c r="E359" s="13">
        <v>35</v>
      </c>
      <c r="F359" s="13">
        <v>143</v>
      </c>
      <c r="G359" s="13">
        <v>46</v>
      </c>
      <c r="H359" s="13">
        <v>289</v>
      </c>
      <c r="I359" s="13">
        <v>215</v>
      </c>
      <c r="J359" s="13">
        <v>233</v>
      </c>
      <c r="K359" s="13">
        <v>2</v>
      </c>
      <c r="L359" s="13">
        <v>31</v>
      </c>
      <c r="M359" s="13">
        <v>15</v>
      </c>
      <c r="N359" s="13">
        <v>27</v>
      </c>
      <c r="O359" s="13">
        <v>12</v>
      </c>
      <c r="P359" s="13">
        <v>16</v>
      </c>
      <c r="Q359" s="13">
        <v>10</v>
      </c>
      <c r="R359" s="13">
        <v>20</v>
      </c>
      <c r="S359" s="13">
        <v>18</v>
      </c>
      <c r="T359" s="13">
        <v>29</v>
      </c>
      <c r="U359" s="13">
        <v>31</v>
      </c>
      <c r="V359" s="13">
        <v>14</v>
      </c>
      <c r="W359" s="13">
        <v>10</v>
      </c>
      <c r="X359" s="13">
        <v>14</v>
      </c>
      <c r="Y359" s="13">
        <v>19</v>
      </c>
      <c r="Z359" s="13">
        <v>11</v>
      </c>
      <c r="AA359" s="13">
        <v>22</v>
      </c>
      <c r="AB359" s="13">
        <v>53</v>
      </c>
      <c r="AC359" s="13">
        <v>106</v>
      </c>
      <c r="AD359" s="13">
        <v>12</v>
      </c>
      <c r="AE359" s="13">
        <v>36</v>
      </c>
      <c r="AF359" s="13">
        <v>25</v>
      </c>
      <c r="AG359" s="13">
        <v>6</v>
      </c>
      <c r="AH359" s="13">
        <v>35</v>
      </c>
      <c r="AI359" s="13">
        <v>13</v>
      </c>
      <c r="AJ359" s="13">
        <v>11</v>
      </c>
      <c r="AK359" s="13">
        <v>6</v>
      </c>
      <c r="AL359" s="13">
        <v>2</v>
      </c>
      <c r="AM359" s="13">
        <f>SUM(C359:AL359)</f>
        <v>1654</v>
      </c>
    </row>
    <row r="360" spans="1:39" x14ac:dyDescent="0.25">
      <c r="A360" s="21"/>
      <c r="B360" s="13" t="s">
        <v>286</v>
      </c>
      <c r="C360" s="13">
        <v>19</v>
      </c>
      <c r="D360" s="13">
        <v>4</v>
      </c>
      <c r="E360" s="13">
        <v>17</v>
      </c>
      <c r="F360" s="13">
        <v>53</v>
      </c>
      <c r="G360" s="13">
        <v>17</v>
      </c>
      <c r="H360" s="13">
        <v>86</v>
      </c>
      <c r="I360" s="13">
        <v>54</v>
      </c>
      <c r="J360" s="13">
        <v>55</v>
      </c>
      <c r="K360" s="13">
        <v>0</v>
      </c>
      <c r="L360" s="13">
        <v>24</v>
      </c>
      <c r="M360" s="13">
        <v>4</v>
      </c>
      <c r="N360" s="13">
        <v>15</v>
      </c>
      <c r="O360" s="13">
        <v>5</v>
      </c>
      <c r="P360" s="13">
        <v>4</v>
      </c>
      <c r="Q360" s="13">
        <v>6</v>
      </c>
      <c r="R360" s="13">
        <v>7</v>
      </c>
      <c r="S360" s="13">
        <v>2</v>
      </c>
      <c r="T360" s="13">
        <v>14</v>
      </c>
      <c r="U360" s="13">
        <v>12</v>
      </c>
      <c r="V360" s="13">
        <v>8</v>
      </c>
      <c r="W360" s="13">
        <v>3</v>
      </c>
      <c r="X360" s="13">
        <v>5</v>
      </c>
      <c r="Y360" s="13">
        <v>11</v>
      </c>
      <c r="Z360" s="13">
        <v>18</v>
      </c>
      <c r="AA360" s="13">
        <v>33</v>
      </c>
      <c r="AB360" s="13">
        <v>15</v>
      </c>
      <c r="AC360" s="13">
        <v>27</v>
      </c>
      <c r="AD360" s="13">
        <v>3</v>
      </c>
      <c r="AE360" s="13">
        <v>11</v>
      </c>
      <c r="AF360" s="13">
        <v>8</v>
      </c>
      <c r="AG360" s="13">
        <v>7</v>
      </c>
      <c r="AH360" s="13">
        <v>16</v>
      </c>
      <c r="AI360" s="13">
        <v>3</v>
      </c>
      <c r="AJ360" s="13">
        <v>0</v>
      </c>
      <c r="AK360" s="13">
        <v>2</v>
      </c>
      <c r="AL360" s="13">
        <v>1</v>
      </c>
      <c r="AM360" s="13">
        <f>SUM(C360:AL360)</f>
        <v>569</v>
      </c>
    </row>
    <row r="361" spans="1:39" x14ac:dyDescent="0.25">
      <c r="A361" s="21"/>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row>
    <row r="362" spans="1:39" x14ac:dyDescent="0.25">
      <c r="A362" s="21" t="s">
        <v>292</v>
      </c>
      <c r="B362" s="19" t="s">
        <v>285</v>
      </c>
      <c r="C362" s="13">
        <v>70</v>
      </c>
      <c r="D362" s="13">
        <v>19</v>
      </c>
      <c r="E362" s="13">
        <v>35</v>
      </c>
      <c r="F362" s="13">
        <v>154</v>
      </c>
      <c r="G362" s="13">
        <v>58</v>
      </c>
      <c r="H362" s="13">
        <v>280</v>
      </c>
      <c r="I362" s="13">
        <v>215</v>
      </c>
      <c r="J362" s="13">
        <v>240</v>
      </c>
      <c r="K362" s="13">
        <v>2</v>
      </c>
      <c r="L362" s="13">
        <v>36</v>
      </c>
      <c r="M362" s="13">
        <v>13</v>
      </c>
      <c r="N362" s="13">
        <v>29</v>
      </c>
      <c r="O362" s="13">
        <v>14</v>
      </c>
      <c r="P362" s="13">
        <v>15</v>
      </c>
      <c r="Q362" s="13">
        <v>9</v>
      </c>
      <c r="R362" s="13">
        <v>21</v>
      </c>
      <c r="S362" s="13">
        <v>16</v>
      </c>
      <c r="T362" s="13">
        <v>30</v>
      </c>
      <c r="U362" s="13">
        <v>29</v>
      </c>
      <c r="V362" s="13">
        <v>14</v>
      </c>
      <c r="W362" s="13">
        <v>12</v>
      </c>
      <c r="X362" s="13">
        <v>14</v>
      </c>
      <c r="Y362" s="13">
        <v>21</v>
      </c>
      <c r="Z362" s="13">
        <v>13</v>
      </c>
      <c r="AA362" s="13">
        <v>41</v>
      </c>
      <c r="AB362" s="13">
        <v>55</v>
      </c>
      <c r="AC362" s="13">
        <v>102</v>
      </c>
      <c r="AD362" s="13">
        <v>12</v>
      </c>
      <c r="AE362" s="13">
        <v>33</v>
      </c>
      <c r="AF362" s="13">
        <v>28</v>
      </c>
      <c r="AG362" s="13">
        <v>8</v>
      </c>
      <c r="AH362" s="13">
        <v>33</v>
      </c>
      <c r="AI362" s="13">
        <v>15</v>
      </c>
      <c r="AJ362" s="13">
        <v>10</v>
      </c>
      <c r="AK362" s="13">
        <v>6</v>
      </c>
      <c r="AL362" s="13">
        <v>2</v>
      </c>
      <c r="AM362" s="13">
        <f>SUM(C362:AL362)</f>
        <v>1704</v>
      </c>
    </row>
    <row r="363" spans="1:39" x14ac:dyDescent="0.25">
      <c r="A363" s="21"/>
      <c r="B363" s="13" t="s">
        <v>286</v>
      </c>
      <c r="C363" s="13">
        <v>16</v>
      </c>
      <c r="D363" s="13">
        <v>5</v>
      </c>
      <c r="E363" s="13">
        <v>17</v>
      </c>
      <c r="F363" s="13">
        <v>41</v>
      </c>
      <c r="G363" s="13">
        <v>5</v>
      </c>
      <c r="H363" s="13">
        <v>87</v>
      </c>
      <c r="I363" s="13">
        <v>52</v>
      </c>
      <c r="J363" s="13">
        <v>46</v>
      </c>
      <c r="K363" s="13">
        <v>0</v>
      </c>
      <c r="L363" s="13">
        <v>19</v>
      </c>
      <c r="M363" s="13">
        <v>4</v>
      </c>
      <c r="N363" s="13">
        <v>12</v>
      </c>
      <c r="O363" s="13">
        <v>3</v>
      </c>
      <c r="P363" s="13">
        <v>4</v>
      </c>
      <c r="Q363" s="13">
        <v>6</v>
      </c>
      <c r="R363" s="13">
        <v>6</v>
      </c>
      <c r="S363" s="13">
        <v>4</v>
      </c>
      <c r="T363" s="13">
        <v>13</v>
      </c>
      <c r="U363" s="13">
        <v>14</v>
      </c>
      <c r="V363" s="13">
        <v>8</v>
      </c>
      <c r="W363" s="13">
        <v>1</v>
      </c>
      <c r="X363" s="13">
        <v>5</v>
      </c>
      <c r="Y363" s="13">
        <v>8</v>
      </c>
      <c r="Z363" s="13">
        <v>16</v>
      </c>
      <c r="AA363" s="13">
        <v>13</v>
      </c>
      <c r="AB363" s="13">
        <v>12</v>
      </c>
      <c r="AC363" s="13">
        <v>29</v>
      </c>
      <c r="AD363" s="13">
        <v>2</v>
      </c>
      <c r="AE363" s="13">
        <v>14</v>
      </c>
      <c r="AF363" s="13">
        <v>4</v>
      </c>
      <c r="AG363" s="13">
        <v>5</v>
      </c>
      <c r="AH363" s="13">
        <v>17</v>
      </c>
      <c r="AI363" s="13">
        <v>2</v>
      </c>
      <c r="AJ363" s="13">
        <v>1</v>
      </c>
      <c r="AK363" s="13">
        <v>2</v>
      </c>
      <c r="AL363" s="13">
        <v>1</v>
      </c>
      <c r="AM363" s="13">
        <f>SUM(C363:AL363)</f>
        <v>494</v>
      </c>
    </row>
    <row r="364" spans="1:39" x14ac:dyDescent="0.25">
      <c r="A364" s="21"/>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row>
    <row r="365" spans="1:39" x14ac:dyDescent="0.25">
      <c r="A365" s="33" t="s">
        <v>293</v>
      </c>
      <c r="B365" s="33"/>
      <c r="C365" s="33"/>
      <c r="D365" s="33"/>
      <c r="E365" s="33"/>
      <c r="F365" s="33"/>
      <c r="G365" s="33"/>
      <c r="H365" s="33"/>
      <c r="I365" s="33"/>
      <c r="J365" s="33"/>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row>
    <row r="366" spans="1:39"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t="s">
        <v>294</v>
      </c>
      <c r="AJ366" s="2"/>
      <c r="AK366" s="2"/>
      <c r="AL366" s="2"/>
      <c r="AM366" s="2"/>
    </row>
    <row r="367" spans="1:39" x14ac:dyDescent="0.25">
      <c r="A367" s="2" t="s">
        <v>295</v>
      </c>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row>
    <row r="368" spans="1:39" x14ac:dyDescent="0.25">
      <c r="A368" s="2" t="s">
        <v>296</v>
      </c>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row>
    <row r="369" spans="1:39"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row>
    <row r="370" spans="1:39"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row>
    <row r="371" spans="1:39"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row>
    <row r="372" spans="1:39" ht="15.75" thickBot="1" x14ac:dyDescent="0.3">
      <c r="A372" s="34"/>
      <c r="B372" s="34"/>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row>
    <row r="373" spans="1:39" x14ac:dyDescent="0.25">
      <c r="A373" s="2" t="s">
        <v>297</v>
      </c>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row>
    <row r="374" spans="1:39"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row>
    <row r="375" spans="1:39"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row>
    <row r="376" spans="1:39"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row>
    <row r="377" spans="1:39" ht="15.75" thickBot="1" x14ac:dyDescent="0.3">
      <c r="A377" s="35"/>
      <c r="B377" s="35"/>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row>
    <row r="378" spans="1:39" x14ac:dyDescent="0.25">
      <c r="A378" s="2" t="s">
        <v>298</v>
      </c>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row>
    <row r="379" spans="1:39"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row>
    <row r="380" spans="1:39"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row>
    <row r="381" spans="1:39"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row>
    <row r="382" spans="1:39" ht="15.75" thickBot="1" x14ac:dyDescent="0.3">
      <c r="A382" s="35"/>
      <c r="B382" s="35"/>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row>
    <row r="383" spans="1:39" x14ac:dyDescent="0.25">
      <c r="A383" s="2" t="s">
        <v>299</v>
      </c>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row>
    <row r="384" spans="1:39"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row>
    <row r="385" spans="1:39"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row>
    <row r="386" spans="1:39"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row>
    <row r="387" spans="1:39" ht="15.75" thickBot="1" x14ac:dyDescent="0.3">
      <c r="A387" s="35"/>
      <c r="B387" s="35"/>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row>
    <row r="388" spans="1:39" x14ac:dyDescent="0.25">
      <c r="A388" s="2" t="s">
        <v>299</v>
      </c>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row>
    <row r="389" spans="1:39"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row>
    <row r="390" spans="1:39"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row>
  </sheetData>
  <mergeCells count="69">
    <mergeCell ref="A377:B377"/>
    <mergeCell ref="A382:B382"/>
    <mergeCell ref="A387:B387"/>
    <mergeCell ref="A329:B329"/>
    <mergeCell ref="A334:B334"/>
    <mergeCell ref="A338:B338"/>
    <mergeCell ref="A341:B341"/>
    <mergeCell ref="A365:J365"/>
    <mergeCell ref="A372:B372"/>
    <mergeCell ref="A297:B297"/>
    <mergeCell ref="A307:B307"/>
    <mergeCell ref="A311:B311"/>
    <mergeCell ref="A315:B315"/>
    <mergeCell ref="A321:B321"/>
    <mergeCell ref="A325:B325"/>
    <mergeCell ref="A257:B257"/>
    <mergeCell ref="A263:B263"/>
    <mergeCell ref="A271:B271"/>
    <mergeCell ref="A274:B274"/>
    <mergeCell ref="A283:B283"/>
    <mergeCell ref="A289:B289"/>
    <mergeCell ref="A225:B225"/>
    <mergeCell ref="A229:B229"/>
    <mergeCell ref="A232:B232"/>
    <mergeCell ref="A236:B236"/>
    <mergeCell ref="A244:B244"/>
    <mergeCell ref="A253:B253"/>
    <mergeCell ref="A195:B195"/>
    <mergeCell ref="A200:B200"/>
    <mergeCell ref="A203:B203"/>
    <mergeCell ref="A206:B206"/>
    <mergeCell ref="A212:B212"/>
    <mergeCell ref="A219:B219"/>
    <mergeCell ref="A156:B156"/>
    <mergeCell ref="A162:B162"/>
    <mergeCell ref="A170:B170"/>
    <mergeCell ref="A180:B180"/>
    <mergeCell ref="A185:B185"/>
    <mergeCell ref="A189:B189"/>
    <mergeCell ref="A121:B121"/>
    <mergeCell ref="A125:B125"/>
    <mergeCell ref="A128:B128"/>
    <mergeCell ref="A133:B133"/>
    <mergeCell ref="A141:B141"/>
    <mergeCell ref="A152:B152"/>
    <mergeCell ref="A81:B81"/>
    <mergeCell ref="A86:B86"/>
    <mergeCell ref="A91:B91"/>
    <mergeCell ref="A101:B101"/>
    <mergeCell ref="A111:B111"/>
    <mergeCell ref="A115:B115"/>
    <mergeCell ref="A50:B50"/>
    <mergeCell ref="A53:B53"/>
    <mergeCell ref="A56:B56"/>
    <mergeCell ref="A65:B65"/>
    <mergeCell ref="A72:B72"/>
    <mergeCell ref="A77:B77"/>
    <mergeCell ref="A30:B30"/>
    <mergeCell ref="A33:B33"/>
    <mergeCell ref="A38:B38"/>
    <mergeCell ref="A41:B41"/>
    <mergeCell ref="A44:B44"/>
    <mergeCell ref="A47:B47"/>
    <mergeCell ref="A2:B2"/>
    <mergeCell ref="A13:B13"/>
    <mergeCell ref="A17:B17"/>
    <mergeCell ref="A20:B20"/>
    <mergeCell ref="A23:B23"/>
    <mergeCell ref="A27:B2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3AEC81AE9A1F943B8D5424AED4F8CF9" ma:contentTypeVersion="11" ma:contentTypeDescription="Create a new document." ma:contentTypeScope="" ma:versionID="ec43a35da0cf8bf5391f7bd16ad51ecd">
  <xsd:schema xmlns:xsd="http://www.w3.org/2001/XMLSchema" xmlns:xs="http://www.w3.org/2001/XMLSchema" xmlns:p="http://schemas.microsoft.com/office/2006/metadata/properties" xmlns:ns3="6679e6d5-1a7b-4b2d-991c-58dde33aacbb" targetNamespace="http://schemas.microsoft.com/office/2006/metadata/properties" ma:root="true" ma:fieldsID="6c094bd8c62f320e6a3cc7f558a4447e" ns3:_="">
    <xsd:import namespace="6679e6d5-1a7b-4b2d-991c-58dde33aacbb"/>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DateTaken" minOccurs="0"/>
                <xsd:element ref="ns3:MediaServiceSystemTags" minOccurs="0"/>
                <xsd:element ref="ns3:MediaServiceLocatio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79e6d5-1a7b-4b2d-991c-58dde33aac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6679e6d5-1a7b-4b2d-991c-58dde33aacbb" xsi:nil="true"/>
  </documentManagement>
</p:properties>
</file>

<file path=customXml/itemProps1.xml><?xml version="1.0" encoding="utf-8"?>
<ds:datastoreItem xmlns:ds="http://schemas.openxmlformats.org/officeDocument/2006/customXml" ds:itemID="{19D098E4-8DDA-47AD-995C-A1D20F4352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79e6d5-1a7b-4b2d-991c-58dde33aac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7661B3-3F1F-415C-976F-B39D234D0E2B}">
  <ds:schemaRefs>
    <ds:schemaRef ds:uri="http://schemas.microsoft.com/sharepoint/v3/contenttype/forms"/>
  </ds:schemaRefs>
</ds:datastoreItem>
</file>

<file path=customXml/itemProps3.xml><?xml version="1.0" encoding="utf-8"?>
<ds:datastoreItem xmlns:ds="http://schemas.openxmlformats.org/officeDocument/2006/customXml" ds:itemID="{B46E3126-5667-41A7-9AC3-7E9ACE267F81}">
  <ds:schemaRefs>
    <ds:schemaRef ds:uri="http://schemas.openxmlformats.org/package/2006/metadata/core-properties"/>
    <ds:schemaRef ds:uri="6679e6d5-1a7b-4b2d-991c-58dde33aacbb"/>
    <ds:schemaRef ds:uri="http://schemas.microsoft.com/office/infopath/2007/PartnerControls"/>
    <ds:schemaRef ds:uri="http://purl.org/dc/terms/"/>
    <ds:schemaRef ds:uri="http://purl.org/dc/elements/1.1/"/>
    <ds:schemaRef ds:uri="http://schemas.microsoft.com/office/2006/documentManagement/types"/>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Phillips Co Clerk</dc:creator>
  <cp:lastModifiedBy>Phillips Co Clerk</cp:lastModifiedBy>
  <dcterms:created xsi:type="dcterms:W3CDTF">2025-06-27T19:07:35Z</dcterms:created>
  <dcterms:modified xsi:type="dcterms:W3CDTF">2025-06-27T19:13:40Z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0x01010083AEC81AE9A1F943B8D5424AED4F8CF9</vt:lpwstr>
  </property>
</Properties>
</file>