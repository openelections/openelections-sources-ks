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bmikkelson\Desktop\2024 Election files\Abstract Votes Cast\"/>
    </mc:Choice>
  </mc:AlternateContent>
  <xr:revisionPtr revIDLastSave="0" documentId="13_ncr:1_{0E5AB5E9-0E34-4AB8-8A94-FD2B5D7D9DA1}" xr6:coauthVersionLast="47" xr6:coauthVersionMax="47" xr10:uidLastSave="{00000000-0000-0000-0000-000000000000}"/>
  <bookViews>
    <workbookView xWindow="19095" yWindow="0" windowWidth="19410" windowHeight="20985" activeTab="5" xr2:uid="{00000000-000D-0000-FFFF-FFFF00000000}"/>
  </bookViews>
  <sheets>
    <sheet name="START" sheetId="9" r:id="rId1"/>
    <sheet name="ADVANCE" sheetId="8" r:id="rId2"/>
    <sheet name="ELECTION DAY" sheetId="3" r:id="rId3"/>
    <sheet name="END" sheetId="10" r:id="rId4"/>
    <sheet name="ADVANCE &amp; ELECTION DAY TOTAL" sheetId="6" r:id="rId5"/>
    <sheet name="Abstract" sheetId="11" r:id="rId6"/>
  </sheets>
  <definedNames>
    <definedName name="_xlnm.Print_Area" localSheetId="5">Abstract!$A$1:$Y$264</definedName>
    <definedName name="_xlnm.Print_Area" localSheetId="1">ADVANCE!$A$1:$Y$158</definedName>
    <definedName name="_xlnm.Print_Area" localSheetId="2">'ELECTION DAY'!#REF!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0" i="11" l="1"/>
  <c r="W80" i="11" s="1"/>
  <c r="Y80" i="11" s="1"/>
  <c r="O81" i="11"/>
  <c r="W81" i="11"/>
  <c r="Y81" i="11"/>
  <c r="O82" i="11"/>
  <c r="W82" i="11" s="1"/>
  <c r="Y82" i="11" s="1"/>
  <c r="Q83" i="11"/>
  <c r="W83" i="11"/>
  <c r="Y83" i="11"/>
  <c r="Q84" i="11"/>
  <c r="W84" i="11"/>
  <c r="Y84" i="11"/>
  <c r="Q85" i="11"/>
  <c r="W85" i="11" s="1"/>
  <c r="Y85" i="11" s="1"/>
  <c r="J86" i="11"/>
  <c r="K86" i="11"/>
  <c r="S86" i="11"/>
  <c r="V86" i="11"/>
  <c r="W86" i="11"/>
  <c r="Y86" i="11" s="1"/>
  <c r="S87" i="11"/>
  <c r="W87" i="11"/>
  <c r="Y87" i="11"/>
  <c r="U88" i="11"/>
  <c r="W88" i="11"/>
  <c r="Y88" i="11"/>
  <c r="U89" i="11"/>
  <c r="W89" i="11"/>
  <c r="Y89" i="11" s="1"/>
  <c r="V90" i="11"/>
  <c r="W90" i="11"/>
  <c r="Y90" i="11" s="1"/>
  <c r="R91" i="11"/>
  <c r="V91" i="11"/>
  <c r="W91" i="11"/>
  <c r="Y91" i="11" s="1"/>
  <c r="V92" i="11"/>
  <c r="W92" i="11"/>
  <c r="Y92" i="11"/>
  <c r="E93" i="11"/>
  <c r="W93" i="11"/>
  <c r="Y93" i="11"/>
  <c r="I94" i="11"/>
  <c r="W94" i="11" s="1"/>
  <c r="Y94" i="11" s="1"/>
  <c r="J94" i="11"/>
  <c r="J95" i="11"/>
  <c r="W95" i="11" s="1"/>
  <c r="Y95" i="11" s="1"/>
  <c r="V253" i="11"/>
  <c r="U253" i="11"/>
  <c r="T253" i="11"/>
  <c r="S253" i="11"/>
  <c r="R253" i="11"/>
  <c r="Q253" i="11"/>
  <c r="P253" i="11"/>
  <c r="O253" i="11"/>
  <c r="M253" i="11"/>
  <c r="L253" i="11"/>
  <c r="K253" i="11"/>
  <c r="J253" i="11"/>
  <c r="I253" i="11"/>
  <c r="H253" i="11"/>
  <c r="G253" i="11"/>
  <c r="F253" i="11"/>
  <c r="E253" i="11"/>
  <c r="D253" i="11"/>
  <c r="Y193" i="11"/>
  <c r="Y143" i="11"/>
  <c r="M130" i="11"/>
  <c r="E110" i="6"/>
  <c r="F110" i="6"/>
  <c r="G110" i="6"/>
  <c r="H110" i="6"/>
  <c r="I110" i="6"/>
  <c r="J110" i="6"/>
  <c r="K110" i="6"/>
  <c r="L110" i="6"/>
  <c r="M110" i="6"/>
  <c r="N110" i="6"/>
  <c r="Q110" i="6"/>
  <c r="R110" i="6"/>
  <c r="S110" i="6"/>
  <c r="T110" i="6"/>
  <c r="U110" i="6"/>
  <c r="V110" i="6"/>
  <c r="W110" i="6"/>
  <c r="X110" i="6"/>
  <c r="Y110" i="6"/>
  <c r="E113" i="6"/>
  <c r="F113" i="6"/>
  <c r="G113" i="6"/>
  <c r="H113" i="6"/>
  <c r="I113" i="6"/>
  <c r="J113" i="6"/>
  <c r="K113" i="6"/>
  <c r="L113" i="6"/>
  <c r="M113" i="6"/>
  <c r="N113" i="6"/>
  <c r="Q113" i="6"/>
  <c r="R113" i="6"/>
  <c r="S113" i="6"/>
  <c r="T113" i="6"/>
  <c r="U113" i="6"/>
  <c r="V113" i="6"/>
  <c r="W113" i="6"/>
  <c r="X113" i="6"/>
  <c r="Y113" i="6"/>
  <c r="E115" i="6"/>
  <c r="F115" i="6"/>
  <c r="G115" i="6"/>
  <c r="H115" i="6"/>
  <c r="I115" i="6"/>
  <c r="J115" i="6"/>
  <c r="K115" i="6"/>
  <c r="L115" i="6"/>
  <c r="M115" i="6"/>
  <c r="N115" i="6"/>
  <c r="Q115" i="6"/>
  <c r="R115" i="6"/>
  <c r="S115" i="6"/>
  <c r="T115" i="6"/>
  <c r="U115" i="6"/>
  <c r="V115" i="6"/>
  <c r="W115" i="6"/>
  <c r="X115" i="6"/>
  <c r="Y115" i="6"/>
  <c r="E116" i="6"/>
  <c r="F116" i="6"/>
  <c r="G116" i="6"/>
  <c r="H116" i="6"/>
  <c r="I116" i="6"/>
  <c r="J116" i="6"/>
  <c r="K116" i="6"/>
  <c r="L116" i="6"/>
  <c r="M116" i="6"/>
  <c r="N116" i="6"/>
  <c r="Q116" i="6"/>
  <c r="R116" i="6"/>
  <c r="S116" i="6"/>
  <c r="T116" i="6"/>
  <c r="U116" i="6"/>
  <c r="V116" i="6"/>
  <c r="W116" i="6"/>
  <c r="X116" i="6"/>
  <c r="Y116" i="6"/>
  <c r="E117" i="6"/>
  <c r="F117" i="6"/>
  <c r="G117" i="6"/>
  <c r="H117" i="6"/>
  <c r="I117" i="6"/>
  <c r="J117" i="6"/>
  <c r="K117" i="6"/>
  <c r="L117" i="6"/>
  <c r="M117" i="6"/>
  <c r="N117" i="6"/>
  <c r="Q117" i="6"/>
  <c r="R117" i="6"/>
  <c r="S117" i="6"/>
  <c r="T117" i="6"/>
  <c r="U117" i="6"/>
  <c r="V117" i="6"/>
  <c r="W117" i="6"/>
  <c r="X117" i="6"/>
  <c r="Y117" i="6"/>
  <c r="E119" i="6"/>
  <c r="F119" i="6"/>
  <c r="G119" i="6"/>
  <c r="H119" i="6"/>
  <c r="I119" i="6"/>
  <c r="J119" i="6"/>
  <c r="K119" i="6"/>
  <c r="L119" i="6"/>
  <c r="M119" i="6"/>
  <c r="N119" i="6"/>
  <c r="Q119" i="6"/>
  <c r="R119" i="6"/>
  <c r="S119" i="6"/>
  <c r="T119" i="6"/>
  <c r="U119" i="6"/>
  <c r="V119" i="6"/>
  <c r="W119" i="6"/>
  <c r="X119" i="6"/>
  <c r="Y119" i="6"/>
  <c r="E121" i="6"/>
  <c r="F121" i="6"/>
  <c r="G121" i="6"/>
  <c r="H121" i="6"/>
  <c r="I121" i="6"/>
  <c r="J121" i="6"/>
  <c r="K121" i="6"/>
  <c r="L121" i="6"/>
  <c r="M121" i="6"/>
  <c r="N121" i="6"/>
  <c r="Q121" i="6"/>
  <c r="R121" i="6"/>
  <c r="S121" i="6"/>
  <c r="T121" i="6"/>
  <c r="U121" i="6"/>
  <c r="V121" i="6"/>
  <c r="W121" i="6"/>
  <c r="X121" i="6"/>
  <c r="Y121" i="6"/>
  <c r="E122" i="6"/>
  <c r="F122" i="6"/>
  <c r="G122" i="6"/>
  <c r="H122" i="6"/>
  <c r="I122" i="6"/>
  <c r="J122" i="6"/>
  <c r="K122" i="6"/>
  <c r="L122" i="6"/>
  <c r="M122" i="6"/>
  <c r="N122" i="6"/>
  <c r="Q122" i="6"/>
  <c r="R122" i="6"/>
  <c r="S122" i="6"/>
  <c r="T122" i="6"/>
  <c r="U122" i="6"/>
  <c r="V122" i="6"/>
  <c r="W122" i="6"/>
  <c r="X122" i="6"/>
  <c r="Y122" i="6"/>
  <c r="E123" i="6"/>
  <c r="F123" i="6"/>
  <c r="G123" i="6"/>
  <c r="H123" i="6"/>
  <c r="I123" i="6"/>
  <c r="J123" i="6"/>
  <c r="K123" i="6"/>
  <c r="L123" i="6"/>
  <c r="M123" i="6"/>
  <c r="N123" i="6"/>
  <c r="Q123" i="6"/>
  <c r="R123" i="6"/>
  <c r="S123" i="6"/>
  <c r="T123" i="6"/>
  <c r="U123" i="6"/>
  <c r="V123" i="6"/>
  <c r="W123" i="6"/>
  <c r="X123" i="6"/>
  <c r="Y123" i="6"/>
  <c r="E125" i="6"/>
  <c r="F125" i="6"/>
  <c r="G125" i="6"/>
  <c r="H125" i="6"/>
  <c r="I125" i="6"/>
  <c r="J125" i="6"/>
  <c r="K125" i="6"/>
  <c r="L125" i="6"/>
  <c r="M125" i="6"/>
  <c r="N125" i="6"/>
  <c r="Q125" i="6"/>
  <c r="R125" i="6"/>
  <c r="S125" i="6"/>
  <c r="T125" i="6"/>
  <c r="U125" i="6"/>
  <c r="V125" i="6"/>
  <c r="W125" i="6"/>
  <c r="X125" i="6"/>
  <c r="Y125" i="6"/>
  <c r="E126" i="6"/>
  <c r="F126" i="6"/>
  <c r="G126" i="6"/>
  <c r="H126" i="6"/>
  <c r="I126" i="6"/>
  <c r="J126" i="6"/>
  <c r="K126" i="6"/>
  <c r="L126" i="6"/>
  <c r="M126" i="6"/>
  <c r="N126" i="6"/>
  <c r="Q126" i="6"/>
  <c r="R126" i="6"/>
  <c r="S126" i="6"/>
  <c r="T126" i="6"/>
  <c r="U126" i="6"/>
  <c r="V126" i="6"/>
  <c r="W126" i="6"/>
  <c r="X126" i="6"/>
  <c r="Y126" i="6"/>
  <c r="E127" i="6"/>
  <c r="F127" i="6"/>
  <c r="G127" i="6"/>
  <c r="H127" i="6"/>
  <c r="I127" i="6"/>
  <c r="J127" i="6"/>
  <c r="K127" i="6"/>
  <c r="L127" i="6"/>
  <c r="M127" i="6"/>
  <c r="N127" i="6"/>
  <c r="Q127" i="6"/>
  <c r="R127" i="6"/>
  <c r="S127" i="6"/>
  <c r="T127" i="6"/>
  <c r="U127" i="6"/>
  <c r="V127" i="6"/>
  <c r="W127" i="6"/>
  <c r="X127" i="6"/>
  <c r="Y127" i="6"/>
  <c r="E129" i="6"/>
  <c r="F129" i="6"/>
  <c r="G129" i="6"/>
  <c r="H129" i="6"/>
  <c r="I129" i="6"/>
  <c r="J129" i="6"/>
  <c r="K129" i="6"/>
  <c r="L129" i="6"/>
  <c r="M129" i="6"/>
  <c r="N129" i="6"/>
  <c r="Q129" i="6"/>
  <c r="R129" i="6"/>
  <c r="S129" i="6"/>
  <c r="T129" i="6"/>
  <c r="U129" i="6"/>
  <c r="V129" i="6"/>
  <c r="W129" i="6"/>
  <c r="X129" i="6"/>
  <c r="Y129" i="6"/>
  <c r="E130" i="6"/>
  <c r="F130" i="6"/>
  <c r="G130" i="6"/>
  <c r="H130" i="6"/>
  <c r="I130" i="6"/>
  <c r="J130" i="6"/>
  <c r="K130" i="6"/>
  <c r="L130" i="6"/>
  <c r="M130" i="6"/>
  <c r="N130" i="6"/>
  <c r="Q130" i="6"/>
  <c r="R130" i="6"/>
  <c r="S130" i="6"/>
  <c r="T130" i="6"/>
  <c r="U130" i="6"/>
  <c r="V130" i="6"/>
  <c r="W130" i="6"/>
  <c r="X130" i="6"/>
  <c r="Y130" i="6"/>
  <c r="E131" i="6"/>
  <c r="F131" i="6"/>
  <c r="G131" i="6"/>
  <c r="H131" i="6"/>
  <c r="I131" i="6"/>
  <c r="J131" i="6"/>
  <c r="K131" i="6"/>
  <c r="L131" i="6"/>
  <c r="M131" i="6"/>
  <c r="N131" i="6"/>
  <c r="Q131" i="6"/>
  <c r="R131" i="6"/>
  <c r="S131" i="6"/>
  <c r="T131" i="6"/>
  <c r="U131" i="6"/>
  <c r="V131" i="6"/>
  <c r="W131" i="6"/>
  <c r="X131" i="6"/>
  <c r="Y131" i="6"/>
  <c r="E139" i="6"/>
  <c r="F139" i="6"/>
  <c r="G139" i="6"/>
  <c r="H139" i="6"/>
  <c r="I139" i="6"/>
  <c r="J139" i="6"/>
  <c r="K139" i="6"/>
  <c r="L139" i="6"/>
  <c r="M139" i="6"/>
  <c r="N139" i="6"/>
  <c r="Q139" i="6"/>
  <c r="R139" i="6"/>
  <c r="S139" i="6"/>
  <c r="T139" i="6"/>
  <c r="U139" i="6"/>
  <c r="V139" i="6"/>
  <c r="W139" i="6"/>
  <c r="X139" i="6"/>
  <c r="Y139" i="6"/>
  <c r="E141" i="6"/>
  <c r="F141" i="6"/>
  <c r="G141" i="6"/>
  <c r="H141" i="6"/>
  <c r="I141" i="6"/>
  <c r="J141" i="6"/>
  <c r="K141" i="6"/>
  <c r="L141" i="6"/>
  <c r="M141" i="6"/>
  <c r="N141" i="6"/>
  <c r="Q141" i="6"/>
  <c r="R141" i="6"/>
  <c r="S141" i="6"/>
  <c r="T141" i="6"/>
  <c r="U141" i="6"/>
  <c r="V141" i="6"/>
  <c r="W141" i="6"/>
  <c r="X141" i="6"/>
  <c r="Y141" i="6"/>
  <c r="E143" i="6"/>
  <c r="F143" i="6"/>
  <c r="G143" i="6"/>
  <c r="H143" i="6"/>
  <c r="I143" i="6"/>
  <c r="J143" i="6"/>
  <c r="K143" i="6"/>
  <c r="L143" i="6"/>
  <c r="M143" i="6"/>
  <c r="N143" i="6"/>
  <c r="Q143" i="6"/>
  <c r="R143" i="6"/>
  <c r="S143" i="6"/>
  <c r="T143" i="6"/>
  <c r="U143" i="6"/>
  <c r="V143" i="6"/>
  <c r="W143" i="6"/>
  <c r="X143" i="6"/>
  <c r="Y143" i="6"/>
  <c r="E144" i="6"/>
  <c r="F144" i="6"/>
  <c r="G144" i="6"/>
  <c r="H144" i="6"/>
  <c r="I144" i="6"/>
  <c r="J144" i="6"/>
  <c r="K144" i="6"/>
  <c r="L144" i="6"/>
  <c r="M144" i="6"/>
  <c r="N144" i="6"/>
  <c r="Q144" i="6"/>
  <c r="R144" i="6"/>
  <c r="S144" i="6"/>
  <c r="T144" i="6"/>
  <c r="U144" i="6"/>
  <c r="V144" i="6"/>
  <c r="W144" i="6"/>
  <c r="X144" i="6"/>
  <c r="Y144" i="6"/>
  <c r="E145" i="6"/>
  <c r="F145" i="6"/>
  <c r="G145" i="6"/>
  <c r="H145" i="6"/>
  <c r="I145" i="6"/>
  <c r="J145" i="6"/>
  <c r="K145" i="6"/>
  <c r="L145" i="6"/>
  <c r="M145" i="6"/>
  <c r="N145" i="6"/>
  <c r="Q145" i="6"/>
  <c r="R145" i="6"/>
  <c r="S145" i="6"/>
  <c r="T145" i="6"/>
  <c r="U145" i="6"/>
  <c r="V145" i="6"/>
  <c r="W145" i="6"/>
  <c r="X145" i="6"/>
  <c r="Y145" i="6"/>
  <c r="V251" i="11"/>
  <c r="U251" i="11"/>
  <c r="T251" i="11"/>
  <c r="S251" i="11"/>
  <c r="R251" i="11"/>
  <c r="Q251" i="11"/>
  <c r="P251" i="11"/>
  <c r="O251" i="11"/>
  <c r="M251" i="11"/>
  <c r="L251" i="11"/>
  <c r="K251" i="11"/>
  <c r="J251" i="11"/>
  <c r="I251" i="11"/>
  <c r="H251" i="11"/>
  <c r="G251" i="11"/>
  <c r="F251" i="11"/>
  <c r="E251" i="11"/>
  <c r="D251" i="11"/>
  <c r="V250" i="11"/>
  <c r="U250" i="11"/>
  <c r="T250" i="11"/>
  <c r="S250" i="11"/>
  <c r="R250" i="11"/>
  <c r="Q250" i="11"/>
  <c r="P250" i="11"/>
  <c r="O250" i="11"/>
  <c r="M250" i="11"/>
  <c r="L250" i="11"/>
  <c r="K250" i="11"/>
  <c r="J250" i="11"/>
  <c r="I250" i="11"/>
  <c r="H250" i="11"/>
  <c r="G250" i="11"/>
  <c r="F250" i="11"/>
  <c r="E250" i="11"/>
  <c r="D250" i="11"/>
  <c r="V249" i="11"/>
  <c r="U249" i="11"/>
  <c r="T249" i="11"/>
  <c r="S249" i="11"/>
  <c r="R249" i="11"/>
  <c r="Q249" i="11"/>
  <c r="P249" i="11"/>
  <c r="O249" i="11"/>
  <c r="M249" i="11"/>
  <c r="L249" i="11"/>
  <c r="K249" i="11"/>
  <c r="J249" i="11"/>
  <c r="I249" i="11"/>
  <c r="H249" i="11"/>
  <c r="G249" i="11"/>
  <c r="F249" i="11"/>
  <c r="E249" i="11"/>
  <c r="D249" i="11"/>
  <c r="V247" i="11"/>
  <c r="U247" i="11"/>
  <c r="T247" i="11"/>
  <c r="S247" i="11"/>
  <c r="R247" i="11"/>
  <c r="Q247" i="11"/>
  <c r="P247" i="11"/>
  <c r="O247" i="11"/>
  <c r="M247" i="11"/>
  <c r="L247" i="11"/>
  <c r="K247" i="11"/>
  <c r="J247" i="11"/>
  <c r="I247" i="11"/>
  <c r="H247" i="11"/>
  <c r="G247" i="11"/>
  <c r="F247" i="11"/>
  <c r="E247" i="11"/>
  <c r="D247" i="11"/>
  <c r="V245" i="11"/>
  <c r="U245" i="11"/>
  <c r="T245" i="11"/>
  <c r="S245" i="11"/>
  <c r="R245" i="11"/>
  <c r="Q245" i="11"/>
  <c r="P245" i="11"/>
  <c r="O245" i="11"/>
  <c r="M245" i="11"/>
  <c r="L245" i="11"/>
  <c r="K245" i="11"/>
  <c r="J245" i="11"/>
  <c r="I245" i="11"/>
  <c r="H245" i="11"/>
  <c r="G245" i="11"/>
  <c r="F245" i="11"/>
  <c r="E245" i="11"/>
  <c r="D245" i="11"/>
  <c r="V244" i="11"/>
  <c r="U244" i="11"/>
  <c r="T244" i="11"/>
  <c r="S244" i="11"/>
  <c r="R244" i="11"/>
  <c r="Q244" i="11"/>
  <c r="P244" i="11"/>
  <c r="O244" i="11"/>
  <c r="M244" i="11"/>
  <c r="L244" i="11"/>
  <c r="K244" i="11"/>
  <c r="J244" i="11"/>
  <c r="I244" i="11"/>
  <c r="H244" i="11"/>
  <c r="G244" i="11"/>
  <c r="F244" i="11"/>
  <c r="E244" i="11"/>
  <c r="D244" i="11"/>
  <c r="V242" i="11"/>
  <c r="U242" i="11"/>
  <c r="T242" i="11"/>
  <c r="S242" i="11"/>
  <c r="R242" i="11"/>
  <c r="Q242" i="11"/>
  <c r="P242" i="11"/>
  <c r="O242" i="11"/>
  <c r="M242" i="11"/>
  <c r="L242" i="11"/>
  <c r="K242" i="11"/>
  <c r="J242" i="11"/>
  <c r="I242" i="11"/>
  <c r="H242" i="11"/>
  <c r="G242" i="11"/>
  <c r="F242" i="11"/>
  <c r="E242" i="11"/>
  <c r="D242" i="11"/>
  <c r="V240" i="11"/>
  <c r="U240" i="11"/>
  <c r="T240" i="11"/>
  <c r="S240" i="11"/>
  <c r="R240" i="11"/>
  <c r="Q240" i="11"/>
  <c r="P240" i="11"/>
  <c r="O240" i="11"/>
  <c r="M240" i="11"/>
  <c r="L240" i="11"/>
  <c r="K240" i="11"/>
  <c r="J240" i="11"/>
  <c r="I240" i="11"/>
  <c r="H240" i="11"/>
  <c r="G240" i="11"/>
  <c r="F240" i="11"/>
  <c r="E240" i="11"/>
  <c r="D240" i="11"/>
  <c r="V239" i="11"/>
  <c r="U239" i="11"/>
  <c r="T239" i="11"/>
  <c r="S239" i="11"/>
  <c r="R239" i="11"/>
  <c r="Q239" i="11"/>
  <c r="P239" i="11"/>
  <c r="O239" i="11"/>
  <c r="M239" i="11"/>
  <c r="L239" i="11"/>
  <c r="K239" i="11"/>
  <c r="J239" i="11"/>
  <c r="I239" i="11"/>
  <c r="H239" i="11"/>
  <c r="G239" i="11"/>
  <c r="F239" i="11"/>
  <c r="E239" i="11"/>
  <c r="D239" i="11"/>
  <c r="V238" i="11"/>
  <c r="U238" i="11"/>
  <c r="T238" i="11"/>
  <c r="S238" i="11"/>
  <c r="R238" i="11"/>
  <c r="Q238" i="11"/>
  <c r="P238" i="11"/>
  <c r="O238" i="11"/>
  <c r="M238" i="11"/>
  <c r="L238" i="11"/>
  <c r="K238" i="11"/>
  <c r="J238" i="11"/>
  <c r="I238" i="11"/>
  <c r="H238" i="11"/>
  <c r="G238" i="11"/>
  <c r="F238" i="11"/>
  <c r="E238" i="11"/>
  <c r="D238" i="11"/>
  <c r="V236" i="11"/>
  <c r="U236" i="11"/>
  <c r="T236" i="11"/>
  <c r="S236" i="11"/>
  <c r="R236" i="11"/>
  <c r="Q236" i="11"/>
  <c r="P236" i="11"/>
  <c r="O236" i="11"/>
  <c r="M236" i="11"/>
  <c r="L236" i="11"/>
  <c r="K236" i="11"/>
  <c r="J236" i="11"/>
  <c r="I236" i="11"/>
  <c r="H236" i="11"/>
  <c r="G236" i="11"/>
  <c r="F236" i="11"/>
  <c r="E236" i="11"/>
  <c r="D236" i="11"/>
  <c r="V234" i="11"/>
  <c r="U234" i="11"/>
  <c r="T234" i="11"/>
  <c r="S234" i="11"/>
  <c r="R234" i="11"/>
  <c r="Q234" i="11"/>
  <c r="P234" i="11"/>
  <c r="O234" i="11"/>
  <c r="M234" i="11"/>
  <c r="L234" i="11"/>
  <c r="K234" i="11"/>
  <c r="J234" i="11"/>
  <c r="I234" i="11"/>
  <c r="H234" i="11"/>
  <c r="G234" i="11"/>
  <c r="F234" i="11"/>
  <c r="E234" i="11"/>
  <c r="D234" i="11"/>
  <c r="V213" i="11"/>
  <c r="U213" i="11"/>
  <c r="T213" i="11"/>
  <c r="S213" i="11"/>
  <c r="R213" i="11"/>
  <c r="Q213" i="11"/>
  <c r="P213" i="11"/>
  <c r="O213" i="11"/>
  <c r="M213" i="11"/>
  <c r="L213" i="11"/>
  <c r="K213" i="11"/>
  <c r="J213" i="11"/>
  <c r="I213" i="11"/>
  <c r="H213" i="11"/>
  <c r="G213" i="11"/>
  <c r="F213" i="11"/>
  <c r="E213" i="11"/>
  <c r="D213" i="11"/>
  <c r="V212" i="11"/>
  <c r="U212" i="11"/>
  <c r="T212" i="11"/>
  <c r="S212" i="11"/>
  <c r="R212" i="11"/>
  <c r="Q212" i="11"/>
  <c r="P212" i="11"/>
  <c r="O212" i="11"/>
  <c r="M212" i="11"/>
  <c r="L212" i="11"/>
  <c r="K212" i="11"/>
  <c r="J212" i="11"/>
  <c r="I212" i="11"/>
  <c r="H212" i="11"/>
  <c r="G212" i="11"/>
  <c r="F212" i="11"/>
  <c r="E212" i="11"/>
  <c r="D212" i="11"/>
  <c r="V211" i="11"/>
  <c r="U211" i="11"/>
  <c r="T211" i="11"/>
  <c r="S211" i="11"/>
  <c r="R211" i="11"/>
  <c r="Q211" i="11"/>
  <c r="P211" i="11"/>
  <c r="O211" i="11"/>
  <c r="M211" i="11"/>
  <c r="L211" i="11"/>
  <c r="K211" i="11"/>
  <c r="J211" i="11"/>
  <c r="I211" i="11"/>
  <c r="H211" i="11"/>
  <c r="G211" i="11"/>
  <c r="F211" i="11"/>
  <c r="E211" i="11"/>
  <c r="D211" i="11"/>
  <c r="V209" i="11"/>
  <c r="U209" i="11"/>
  <c r="T209" i="11"/>
  <c r="S209" i="11"/>
  <c r="R209" i="11"/>
  <c r="Q209" i="11"/>
  <c r="P209" i="11"/>
  <c r="O209" i="11"/>
  <c r="M209" i="11"/>
  <c r="L209" i="11"/>
  <c r="K209" i="11"/>
  <c r="J209" i="11"/>
  <c r="I209" i="11"/>
  <c r="H209" i="11"/>
  <c r="G209" i="11"/>
  <c r="F209" i="11"/>
  <c r="E209" i="11"/>
  <c r="D209" i="11"/>
  <c r="V208" i="11"/>
  <c r="U208" i="11"/>
  <c r="T208" i="11"/>
  <c r="S208" i="11"/>
  <c r="R208" i="11"/>
  <c r="Q208" i="11"/>
  <c r="P208" i="11"/>
  <c r="O208" i="11"/>
  <c r="M208" i="11"/>
  <c r="L208" i="11"/>
  <c r="K208" i="11"/>
  <c r="J208" i="11"/>
  <c r="I208" i="11"/>
  <c r="H208" i="11"/>
  <c r="G208" i="11"/>
  <c r="F208" i="11"/>
  <c r="E208" i="11"/>
  <c r="D208" i="11"/>
  <c r="V207" i="11"/>
  <c r="U207" i="11"/>
  <c r="T207" i="11"/>
  <c r="S207" i="11"/>
  <c r="R207" i="11"/>
  <c r="Q207" i="11"/>
  <c r="P207" i="11"/>
  <c r="O207" i="11"/>
  <c r="M207" i="11"/>
  <c r="L207" i="11"/>
  <c r="K207" i="11"/>
  <c r="J207" i="11"/>
  <c r="I207" i="11"/>
  <c r="H207" i="11"/>
  <c r="G207" i="11"/>
  <c r="F207" i="11"/>
  <c r="E207" i="11"/>
  <c r="D207" i="11"/>
  <c r="V205" i="11"/>
  <c r="U205" i="11"/>
  <c r="T205" i="11"/>
  <c r="S205" i="11"/>
  <c r="R205" i="11"/>
  <c r="Q205" i="11"/>
  <c r="P205" i="11"/>
  <c r="O205" i="11"/>
  <c r="M205" i="11"/>
  <c r="L205" i="11"/>
  <c r="K205" i="11"/>
  <c r="J205" i="11"/>
  <c r="I205" i="11"/>
  <c r="H205" i="11"/>
  <c r="G205" i="11"/>
  <c r="F205" i="11"/>
  <c r="E205" i="11"/>
  <c r="D205" i="11"/>
  <c r="V204" i="11"/>
  <c r="U204" i="11"/>
  <c r="T204" i="11"/>
  <c r="S204" i="11"/>
  <c r="R204" i="11"/>
  <c r="Q204" i="11"/>
  <c r="P204" i="11"/>
  <c r="O204" i="11"/>
  <c r="M204" i="11"/>
  <c r="L204" i="11"/>
  <c r="K204" i="11"/>
  <c r="J204" i="11"/>
  <c r="I204" i="11"/>
  <c r="H204" i="11"/>
  <c r="G204" i="11"/>
  <c r="F204" i="11"/>
  <c r="E204" i="11"/>
  <c r="D204" i="11"/>
  <c r="V203" i="11"/>
  <c r="U203" i="11"/>
  <c r="T203" i="11"/>
  <c r="S203" i="11"/>
  <c r="R203" i="11"/>
  <c r="Q203" i="11"/>
  <c r="P203" i="11"/>
  <c r="O203" i="11"/>
  <c r="M203" i="11"/>
  <c r="L203" i="11"/>
  <c r="K203" i="11"/>
  <c r="J203" i="11"/>
  <c r="I203" i="11"/>
  <c r="H203" i="11"/>
  <c r="G203" i="11"/>
  <c r="F203" i="11"/>
  <c r="E203" i="11"/>
  <c r="D203" i="11"/>
  <c r="V201" i="11"/>
  <c r="U201" i="11"/>
  <c r="T201" i="11"/>
  <c r="S201" i="11"/>
  <c r="R201" i="11"/>
  <c r="Q201" i="11"/>
  <c r="P201" i="11"/>
  <c r="O201" i="11"/>
  <c r="M201" i="11"/>
  <c r="L201" i="11"/>
  <c r="K201" i="11"/>
  <c r="J201" i="11"/>
  <c r="I201" i="11"/>
  <c r="H201" i="11"/>
  <c r="G201" i="11"/>
  <c r="F201" i="11"/>
  <c r="E201" i="11"/>
  <c r="D201" i="11"/>
  <c r="V199" i="11"/>
  <c r="U199" i="11"/>
  <c r="T199" i="11"/>
  <c r="S199" i="11"/>
  <c r="R199" i="11"/>
  <c r="Q199" i="11"/>
  <c r="P199" i="11"/>
  <c r="O199" i="11"/>
  <c r="M199" i="11"/>
  <c r="L199" i="11"/>
  <c r="K199" i="11"/>
  <c r="J199" i="11"/>
  <c r="I199" i="11"/>
  <c r="H199" i="11"/>
  <c r="G199" i="11"/>
  <c r="F199" i="11"/>
  <c r="E199" i="11"/>
  <c r="D199" i="11"/>
  <c r="V198" i="11"/>
  <c r="U198" i="11"/>
  <c r="T198" i="11"/>
  <c r="S198" i="11"/>
  <c r="R198" i="11"/>
  <c r="Q198" i="11"/>
  <c r="P198" i="11"/>
  <c r="O198" i="11"/>
  <c r="M198" i="11"/>
  <c r="L198" i="11"/>
  <c r="K198" i="11"/>
  <c r="J198" i="11"/>
  <c r="I198" i="11"/>
  <c r="H198" i="11"/>
  <c r="G198" i="11"/>
  <c r="F198" i="11"/>
  <c r="E198" i="11"/>
  <c r="D198" i="11"/>
  <c r="V197" i="11"/>
  <c r="U197" i="11"/>
  <c r="T197" i="11"/>
  <c r="S197" i="11"/>
  <c r="R197" i="11"/>
  <c r="Q197" i="11"/>
  <c r="P197" i="11"/>
  <c r="O197" i="11"/>
  <c r="M197" i="11"/>
  <c r="L197" i="11"/>
  <c r="K197" i="11"/>
  <c r="J197" i="11"/>
  <c r="I197" i="11"/>
  <c r="H197" i="11"/>
  <c r="G197" i="11"/>
  <c r="F197" i="11"/>
  <c r="E197" i="11"/>
  <c r="D197" i="11"/>
  <c r="V195" i="11"/>
  <c r="U195" i="11"/>
  <c r="T195" i="11"/>
  <c r="S195" i="11"/>
  <c r="R195" i="11"/>
  <c r="Q195" i="11"/>
  <c r="P195" i="11"/>
  <c r="O195" i="11"/>
  <c r="M195" i="11"/>
  <c r="L195" i="11"/>
  <c r="K195" i="11"/>
  <c r="J195" i="11"/>
  <c r="I195" i="11"/>
  <c r="H195" i="11"/>
  <c r="G195" i="11"/>
  <c r="F195" i="11"/>
  <c r="E195" i="11"/>
  <c r="D195" i="11"/>
  <c r="V192" i="11"/>
  <c r="U192" i="11"/>
  <c r="T192" i="11"/>
  <c r="S192" i="11"/>
  <c r="R192" i="11"/>
  <c r="Q192" i="11"/>
  <c r="P192" i="11"/>
  <c r="O192" i="11"/>
  <c r="M192" i="11"/>
  <c r="L192" i="11"/>
  <c r="K192" i="11"/>
  <c r="J192" i="11"/>
  <c r="I192" i="11"/>
  <c r="H192" i="11"/>
  <c r="G192" i="11"/>
  <c r="F192" i="11"/>
  <c r="E192" i="11"/>
  <c r="D192" i="11"/>
  <c r="J172" i="11"/>
  <c r="K171" i="11"/>
  <c r="K170" i="11"/>
  <c r="K169" i="11"/>
  <c r="K168" i="11"/>
  <c r="J167" i="11"/>
  <c r="J166" i="11"/>
  <c r="I166" i="11"/>
  <c r="K165" i="11"/>
  <c r="J164" i="11"/>
  <c r="I164" i="11"/>
  <c r="J163" i="11"/>
  <c r="J162" i="11"/>
  <c r="V142" i="11"/>
  <c r="V141" i="11"/>
  <c r="V140" i="11"/>
  <c r="V139" i="11"/>
  <c r="V138" i="11"/>
  <c r="V137" i="11"/>
  <c r="V136" i="11"/>
  <c r="S135" i="11"/>
  <c r="Q134" i="11"/>
  <c r="Q133" i="11"/>
  <c r="Q132" i="11"/>
  <c r="O131" i="11"/>
  <c r="K129" i="11"/>
  <c r="K128" i="11"/>
  <c r="K127" i="11"/>
  <c r="T126" i="11"/>
  <c r="J126" i="11"/>
  <c r="J125" i="11"/>
  <c r="J124" i="11"/>
  <c r="J123" i="11"/>
  <c r="J122" i="11"/>
  <c r="J121" i="11"/>
  <c r="J120" i="11"/>
  <c r="J119" i="11"/>
  <c r="J118" i="11"/>
  <c r="W118" i="11" s="1"/>
  <c r="Y118" i="11" s="1"/>
  <c r="J96" i="11"/>
  <c r="O61" i="11"/>
  <c r="M61" i="11"/>
  <c r="O60" i="11"/>
  <c r="M60" i="11"/>
  <c r="M59" i="11"/>
  <c r="I59" i="11"/>
  <c r="M58" i="11"/>
  <c r="L58" i="11"/>
  <c r="M57" i="11"/>
  <c r="K57" i="11"/>
  <c r="M56" i="11"/>
  <c r="K56" i="11"/>
  <c r="M55" i="11"/>
  <c r="K55" i="11"/>
  <c r="M54" i="11"/>
  <c r="K54" i="11"/>
  <c r="M53" i="11"/>
  <c r="K53" i="11"/>
  <c r="M52" i="11"/>
  <c r="K52" i="11"/>
  <c r="M51" i="11"/>
  <c r="K51" i="11"/>
  <c r="J51" i="11"/>
  <c r="M50" i="11"/>
  <c r="J50" i="11"/>
  <c r="M49" i="11"/>
  <c r="J49" i="11"/>
  <c r="M48" i="11"/>
  <c r="J48" i="11"/>
  <c r="M29" i="11"/>
  <c r="J29" i="11"/>
  <c r="M28" i="11"/>
  <c r="J28" i="11"/>
  <c r="M27" i="11"/>
  <c r="K27" i="11"/>
  <c r="J27" i="11"/>
  <c r="M26" i="11"/>
  <c r="J26" i="11"/>
  <c r="M25" i="11"/>
  <c r="J25" i="11"/>
  <c r="M24" i="11"/>
  <c r="J24" i="11"/>
  <c r="M23" i="11"/>
  <c r="J23" i="11"/>
  <c r="V22" i="11"/>
  <c r="M22" i="11"/>
  <c r="J22" i="11"/>
  <c r="M21" i="11"/>
  <c r="L21" i="11"/>
  <c r="K21" i="11"/>
  <c r="J21" i="11"/>
  <c r="M20" i="11"/>
  <c r="J20" i="11"/>
  <c r="U19" i="11"/>
  <c r="M19" i="11"/>
  <c r="J19" i="11"/>
  <c r="M18" i="11"/>
  <c r="J18" i="11"/>
  <c r="U17" i="11"/>
  <c r="Q17" i="11"/>
  <c r="M17" i="11"/>
  <c r="J17" i="11"/>
  <c r="I17" i="11"/>
  <c r="M16" i="11"/>
  <c r="K16" i="11"/>
  <c r="I16" i="11"/>
  <c r="M15" i="11"/>
  <c r="I15" i="11"/>
  <c r="M14" i="11"/>
  <c r="K14" i="11"/>
  <c r="I14" i="11"/>
  <c r="Q13" i="11"/>
  <c r="M13" i="11"/>
  <c r="K13" i="11"/>
  <c r="H13" i="11"/>
  <c r="M12" i="11"/>
  <c r="G12" i="11"/>
  <c r="M11" i="11"/>
  <c r="E11" i="11"/>
  <c r="M10" i="11"/>
  <c r="E10" i="11"/>
  <c r="M9" i="11"/>
  <c r="D9" i="11"/>
  <c r="V8" i="11"/>
  <c r="U8" i="11"/>
  <c r="T8" i="11"/>
  <c r="S8" i="11"/>
  <c r="R8" i="11"/>
  <c r="Q8" i="11"/>
  <c r="P8" i="11"/>
  <c r="O8" i="11"/>
  <c r="M8" i="11"/>
  <c r="K8" i="11"/>
  <c r="J8" i="11"/>
  <c r="I8" i="11"/>
  <c r="H8" i="11"/>
  <c r="G8" i="11"/>
  <c r="F8" i="11"/>
  <c r="D8" i="11"/>
  <c r="X158" i="6"/>
  <c r="W158" i="6"/>
  <c r="V158" i="6"/>
  <c r="U158" i="6"/>
  <c r="T158" i="6"/>
  <c r="S158" i="6"/>
  <c r="R158" i="6"/>
  <c r="Q158" i="6"/>
  <c r="X156" i="6"/>
  <c r="W156" i="6"/>
  <c r="V156" i="6"/>
  <c r="Y156" i="6" s="1"/>
  <c r="U156" i="6"/>
  <c r="T156" i="6"/>
  <c r="S156" i="6"/>
  <c r="R156" i="6"/>
  <c r="Q156" i="6"/>
  <c r="X155" i="6"/>
  <c r="W155" i="6"/>
  <c r="V155" i="6"/>
  <c r="U155" i="6"/>
  <c r="T155" i="6"/>
  <c r="S155" i="6"/>
  <c r="R155" i="6"/>
  <c r="Q155" i="6"/>
  <c r="X154" i="6"/>
  <c r="W154" i="6"/>
  <c r="V154" i="6"/>
  <c r="U154" i="6"/>
  <c r="T154" i="6"/>
  <c r="S154" i="6"/>
  <c r="R154" i="6"/>
  <c r="Q154" i="6"/>
  <c r="X152" i="6"/>
  <c r="W152" i="6"/>
  <c r="V152" i="6"/>
  <c r="U152" i="6"/>
  <c r="T152" i="6"/>
  <c r="S152" i="6"/>
  <c r="R152" i="6"/>
  <c r="Q152" i="6"/>
  <c r="X150" i="6"/>
  <c r="W150" i="6"/>
  <c r="V150" i="6"/>
  <c r="U150" i="6"/>
  <c r="T150" i="6"/>
  <c r="S150" i="6"/>
  <c r="R150" i="6"/>
  <c r="Q150" i="6"/>
  <c r="X149" i="6"/>
  <c r="W149" i="6"/>
  <c r="V149" i="6"/>
  <c r="U149" i="6"/>
  <c r="T149" i="6"/>
  <c r="Y149" i="6" s="1"/>
  <c r="S149" i="6"/>
  <c r="R149" i="6"/>
  <c r="Q149" i="6"/>
  <c r="X147" i="6"/>
  <c r="W147" i="6"/>
  <c r="V147" i="6"/>
  <c r="U147" i="6"/>
  <c r="T147" i="6"/>
  <c r="S147" i="6"/>
  <c r="R147" i="6"/>
  <c r="Q147" i="6"/>
  <c r="N149" i="6"/>
  <c r="M149" i="6"/>
  <c r="L149" i="6"/>
  <c r="K149" i="6"/>
  <c r="J149" i="6"/>
  <c r="I149" i="6"/>
  <c r="H149" i="6"/>
  <c r="G149" i="6"/>
  <c r="F149" i="6"/>
  <c r="E149" i="6"/>
  <c r="N147" i="6"/>
  <c r="M147" i="6"/>
  <c r="L147" i="6"/>
  <c r="K147" i="6"/>
  <c r="J147" i="6"/>
  <c r="Y147" i="6" s="1"/>
  <c r="I147" i="6"/>
  <c r="H147" i="6"/>
  <c r="G147" i="6"/>
  <c r="F147" i="6"/>
  <c r="E147" i="6"/>
  <c r="N158" i="6"/>
  <c r="M158" i="6"/>
  <c r="L158" i="6"/>
  <c r="K158" i="6"/>
  <c r="J158" i="6"/>
  <c r="I158" i="6"/>
  <c r="H158" i="6"/>
  <c r="G158" i="6"/>
  <c r="F158" i="6"/>
  <c r="E158" i="6"/>
  <c r="N156" i="6"/>
  <c r="M156" i="6"/>
  <c r="L156" i="6"/>
  <c r="K156" i="6"/>
  <c r="J156" i="6"/>
  <c r="I156" i="6"/>
  <c r="H156" i="6"/>
  <c r="G156" i="6"/>
  <c r="F156" i="6"/>
  <c r="E156" i="6"/>
  <c r="N155" i="6"/>
  <c r="M155" i="6"/>
  <c r="L155" i="6"/>
  <c r="K155" i="6"/>
  <c r="J155" i="6"/>
  <c r="I155" i="6"/>
  <c r="H155" i="6"/>
  <c r="G155" i="6"/>
  <c r="F155" i="6"/>
  <c r="E155" i="6"/>
  <c r="N154" i="6"/>
  <c r="M154" i="6"/>
  <c r="L154" i="6"/>
  <c r="K154" i="6"/>
  <c r="J154" i="6"/>
  <c r="I154" i="6"/>
  <c r="H154" i="6"/>
  <c r="G154" i="6"/>
  <c r="F154" i="6"/>
  <c r="E154" i="6"/>
  <c r="N152" i="6"/>
  <c r="M152" i="6"/>
  <c r="L152" i="6"/>
  <c r="K152" i="6"/>
  <c r="J152" i="6"/>
  <c r="I152" i="6"/>
  <c r="H152" i="6"/>
  <c r="G152" i="6"/>
  <c r="F152" i="6"/>
  <c r="E152" i="6"/>
  <c r="N150" i="6"/>
  <c r="M150" i="6"/>
  <c r="L150" i="6"/>
  <c r="K150" i="6"/>
  <c r="J150" i="6"/>
  <c r="I150" i="6"/>
  <c r="H150" i="6"/>
  <c r="G150" i="6"/>
  <c r="F150" i="6"/>
  <c r="Y150" i="6" s="1"/>
  <c r="E150" i="6"/>
  <c r="X103" i="6"/>
  <c r="W103" i="6"/>
  <c r="V103" i="6"/>
  <c r="U103" i="6"/>
  <c r="T103" i="6"/>
  <c r="S103" i="6"/>
  <c r="R103" i="6"/>
  <c r="Q103" i="6"/>
  <c r="X102" i="6"/>
  <c r="W102" i="6"/>
  <c r="V102" i="6"/>
  <c r="U102" i="6"/>
  <c r="T102" i="6"/>
  <c r="S102" i="6"/>
  <c r="R102" i="6"/>
  <c r="Q102" i="6"/>
  <c r="X101" i="6"/>
  <c r="W101" i="6"/>
  <c r="V101" i="6"/>
  <c r="U101" i="6"/>
  <c r="T101" i="6"/>
  <c r="S101" i="6"/>
  <c r="R101" i="6"/>
  <c r="Q101" i="6"/>
  <c r="X100" i="6"/>
  <c r="W100" i="6"/>
  <c r="V100" i="6"/>
  <c r="U100" i="6"/>
  <c r="T100" i="6"/>
  <c r="S100" i="6"/>
  <c r="R100" i="6"/>
  <c r="Q100" i="6"/>
  <c r="X99" i="6"/>
  <c r="W99" i="6"/>
  <c r="V99" i="6"/>
  <c r="Y99" i="6" s="1"/>
  <c r="U99" i="6"/>
  <c r="T99" i="6"/>
  <c r="S99" i="6"/>
  <c r="R99" i="6"/>
  <c r="Q99" i="6"/>
  <c r="X98" i="6"/>
  <c r="W98" i="6"/>
  <c r="V98" i="6"/>
  <c r="U98" i="6"/>
  <c r="T98" i="6"/>
  <c r="S98" i="6"/>
  <c r="R98" i="6"/>
  <c r="Q98" i="6"/>
  <c r="X97" i="6"/>
  <c r="W97" i="6"/>
  <c r="V97" i="6"/>
  <c r="U97" i="6"/>
  <c r="T97" i="6"/>
  <c r="S97" i="6"/>
  <c r="R97" i="6"/>
  <c r="Q97" i="6"/>
  <c r="X96" i="6"/>
  <c r="W96" i="6"/>
  <c r="V96" i="6"/>
  <c r="U96" i="6"/>
  <c r="T96" i="6"/>
  <c r="S96" i="6"/>
  <c r="R96" i="6"/>
  <c r="Q96" i="6"/>
  <c r="X95" i="6"/>
  <c r="W95" i="6"/>
  <c r="V95" i="6"/>
  <c r="U95" i="6"/>
  <c r="T95" i="6"/>
  <c r="S95" i="6"/>
  <c r="R95" i="6"/>
  <c r="Q95" i="6"/>
  <c r="X94" i="6"/>
  <c r="W94" i="6"/>
  <c r="V94" i="6"/>
  <c r="U94" i="6"/>
  <c r="T94" i="6"/>
  <c r="S94" i="6"/>
  <c r="R94" i="6"/>
  <c r="Q94" i="6"/>
  <c r="X93" i="6"/>
  <c r="W93" i="6"/>
  <c r="V93" i="6"/>
  <c r="Y93" i="6" s="1"/>
  <c r="U93" i="6"/>
  <c r="T93" i="6"/>
  <c r="S93" i="6"/>
  <c r="R93" i="6"/>
  <c r="Q93" i="6"/>
  <c r="G103" i="6"/>
  <c r="H103" i="6"/>
  <c r="I103" i="6"/>
  <c r="J103" i="6"/>
  <c r="K103" i="6"/>
  <c r="L103" i="6"/>
  <c r="M103" i="6"/>
  <c r="N103" i="6"/>
  <c r="F103" i="6"/>
  <c r="E103" i="6"/>
  <c r="N102" i="6"/>
  <c r="M102" i="6"/>
  <c r="L102" i="6"/>
  <c r="K102" i="6"/>
  <c r="J102" i="6"/>
  <c r="I102" i="6"/>
  <c r="H102" i="6"/>
  <c r="G102" i="6"/>
  <c r="F102" i="6"/>
  <c r="E102" i="6"/>
  <c r="N101" i="6"/>
  <c r="M101" i="6"/>
  <c r="L101" i="6"/>
  <c r="K101" i="6"/>
  <c r="J101" i="6"/>
  <c r="I101" i="6"/>
  <c r="H101" i="6"/>
  <c r="G101" i="6"/>
  <c r="F101" i="6"/>
  <c r="E101" i="6"/>
  <c r="N100" i="6"/>
  <c r="M100" i="6"/>
  <c r="L100" i="6"/>
  <c r="K100" i="6"/>
  <c r="J100" i="6"/>
  <c r="I100" i="6"/>
  <c r="H100" i="6"/>
  <c r="G100" i="6"/>
  <c r="F100" i="6"/>
  <c r="E100" i="6"/>
  <c r="N99" i="6"/>
  <c r="M99" i="6"/>
  <c r="L99" i="6"/>
  <c r="K99" i="6"/>
  <c r="J99" i="6"/>
  <c r="I99" i="6"/>
  <c r="H99" i="6"/>
  <c r="G99" i="6"/>
  <c r="F99" i="6"/>
  <c r="E99" i="6"/>
  <c r="N98" i="6"/>
  <c r="M98" i="6"/>
  <c r="L98" i="6"/>
  <c r="K98" i="6"/>
  <c r="J98" i="6"/>
  <c r="I98" i="6"/>
  <c r="H98" i="6"/>
  <c r="G98" i="6"/>
  <c r="F98" i="6"/>
  <c r="E98" i="6"/>
  <c r="N97" i="6"/>
  <c r="M97" i="6"/>
  <c r="L97" i="6"/>
  <c r="K97" i="6"/>
  <c r="J97" i="6"/>
  <c r="I97" i="6"/>
  <c r="H97" i="6"/>
  <c r="G97" i="6"/>
  <c r="F97" i="6"/>
  <c r="E97" i="6"/>
  <c r="N96" i="6"/>
  <c r="M96" i="6"/>
  <c r="L96" i="6"/>
  <c r="K96" i="6"/>
  <c r="J96" i="6"/>
  <c r="I96" i="6"/>
  <c r="H96" i="6"/>
  <c r="G96" i="6"/>
  <c r="F96" i="6"/>
  <c r="E96" i="6"/>
  <c r="N95" i="6"/>
  <c r="M95" i="6"/>
  <c r="L95" i="6"/>
  <c r="K95" i="6"/>
  <c r="J95" i="6"/>
  <c r="I95" i="6"/>
  <c r="H95" i="6"/>
  <c r="G95" i="6"/>
  <c r="F95" i="6"/>
  <c r="E95" i="6"/>
  <c r="N94" i="6"/>
  <c r="M94" i="6"/>
  <c r="L94" i="6"/>
  <c r="K94" i="6"/>
  <c r="J94" i="6"/>
  <c r="I94" i="6"/>
  <c r="H94" i="6"/>
  <c r="G94" i="6"/>
  <c r="F94" i="6"/>
  <c r="E94" i="6"/>
  <c r="N93" i="6"/>
  <c r="M93" i="6"/>
  <c r="L93" i="6"/>
  <c r="K93" i="6"/>
  <c r="J93" i="6"/>
  <c r="I93" i="6"/>
  <c r="H93" i="6"/>
  <c r="G93" i="6"/>
  <c r="F93" i="6"/>
  <c r="E93" i="6"/>
  <c r="X90" i="6"/>
  <c r="X89" i="6"/>
  <c r="X88" i="6"/>
  <c r="X87" i="6"/>
  <c r="X86" i="6"/>
  <c r="X85" i="6"/>
  <c r="X84" i="6"/>
  <c r="X83" i="6"/>
  <c r="X82" i="6"/>
  <c r="X81" i="6"/>
  <c r="X80" i="6"/>
  <c r="X79" i="6"/>
  <c r="X78" i="6"/>
  <c r="X77" i="6"/>
  <c r="X76" i="6"/>
  <c r="X75" i="6"/>
  <c r="X74" i="6"/>
  <c r="X73" i="6"/>
  <c r="X72" i="6"/>
  <c r="X71" i="6"/>
  <c r="X70" i="6"/>
  <c r="X69" i="6"/>
  <c r="X68" i="6"/>
  <c r="X67" i="6"/>
  <c r="X66" i="6"/>
  <c r="W90" i="6"/>
  <c r="V90" i="6"/>
  <c r="U90" i="6"/>
  <c r="T90" i="6"/>
  <c r="S90" i="6"/>
  <c r="R90" i="6"/>
  <c r="Q90" i="6"/>
  <c r="W89" i="6"/>
  <c r="V89" i="6"/>
  <c r="U89" i="6"/>
  <c r="T89" i="6"/>
  <c r="S89" i="6"/>
  <c r="Y89" i="6" s="1"/>
  <c r="R89" i="6"/>
  <c r="Q89" i="6"/>
  <c r="W88" i="6"/>
  <c r="V88" i="6"/>
  <c r="U88" i="6"/>
  <c r="T88" i="6"/>
  <c r="S88" i="6"/>
  <c r="R88" i="6"/>
  <c r="Q88" i="6"/>
  <c r="W87" i="6"/>
  <c r="V87" i="6"/>
  <c r="U87" i="6"/>
  <c r="T87" i="6"/>
  <c r="S87" i="6"/>
  <c r="R87" i="6"/>
  <c r="Q87" i="6"/>
  <c r="W86" i="6"/>
  <c r="V86" i="6"/>
  <c r="U86" i="6"/>
  <c r="T86" i="6"/>
  <c r="S86" i="6"/>
  <c r="R86" i="6"/>
  <c r="Q86" i="6"/>
  <c r="W85" i="6"/>
  <c r="V85" i="6"/>
  <c r="U85" i="6"/>
  <c r="T85" i="6"/>
  <c r="S85" i="6"/>
  <c r="R85" i="6"/>
  <c r="Q85" i="6"/>
  <c r="W84" i="6"/>
  <c r="V84" i="6"/>
  <c r="U84" i="6"/>
  <c r="T84" i="6"/>
  <c r="S84" i="6"/>
  <c r="R84" i="6"/>
  <c r="Q84" i="6"/>
  <c r="W83" i="6"/>
  <c r="V83" i="6"/>
  <c r="U83" i="6"/>
  <c r="T83" i="6"/>
  <c r="S83" i="6"/>
  <c r="R83" i="6"/>
  <c r="Q83" i="6"/>
  <c r="N90" i="6"/>
  <c r="M90" i="6"/>
  <c r="L90" i="6"/>
  <c r="K90" i="6"/>
  <c r="J90" i="6"/>
  <c r="I90" i="6"/>
  <c r="H90" i="6"/>
  <c r="G90" i="6"/>
  <c r="F90" i="6"/>
  <c r="E90" i="6"/>
  <c r="N89" i="6"/>
  <c r="M89" i="6"/>
  <c r="L89" i="6"/>
  <c r="K89" i="6"/>
  <c r="J89" i="6"/>
  <c r="I89" i="6"/>
  <c r="H89" i="6"/>
  <c r="G89" i="6"/>
  <c r="F89" i="6"/>
  <c r="E89" i="6"/>
  <c r="N88" i="6"/>
  <c r="M88" i="6"/>
  <c r="L88" i="6"/>
  <c r="K88" i="6"/>
  <c r="J88" i="6"/>
  <c r="I88" i="6"/>
  <c r="H88" i="6"/>
  <c r="G88" i="6"/>
  <c r="F88" i="6"/>
  <c r="E88" i="6"/>
  <c r="N87" i="6"/>
  <c r="M87" i="6"/>
  <c r="L87" i="6"/>
  <c r="K87" i="6"/>
  <c r="J87" i="6"/>
  <c r="I87" i="6"/>
  <c r="H87" i="6"/>
  <c r="G87" i="6"/>
  <c r="F87" i="6"/>
  <c r="E87" i="6"/>
  <c r="N86" i="6"/>
  <c r="M86" i="6"/>
  <c r="L86" i="6"/>
  <c r="K86" i="6"/>
  <c r="J86" i="6"/>
  <c r="I86" i="6"/>
  <c r="H86" i="6"/>
  <c r="G86" i="6"/>
  <c r="F86" i="6"/>
  <c r="E86" i="6"/>
  <c r="N85" i="6"/>
  <c r="M85" i="6"/>
  <c r="L85" i="6"/>
  <c r="K85" i="6"/>
  <c r="J85" i="6"/>
  <c r="I85" i="6"/>
  <c r="H85" i="6"/>
  <c r="G85" i="6"/>
  <c r="F85" i="6"/>
  <c r="E85" i="6"/>
  <c r="N84" i="6"/>
  <c r="M84" i="6"/>
  <c r="L84" i="6"/>
  <c r="K84" i="6"/>
  <c r="J84" i="6"/>
  <c r="I84" i="6"/>
  <c r="H84" i="6"/>
  <c r="G84" i="6"/>
  <c r="F84" i="6"/>
  <c r="E84" i="6"/>
  <c r="N83" i="6"/>
  <c r="M83" i="6"/>
  <c r="L83" i="6"/>
  <c r="K83" i="6"/>
  <c r="J83" i="6"/>
  <c r="I83" i="6"/>
  <c r="H83" i="6"/>
  <c r="G83" i="6"/>
  <c r="F83" i="6"/>
  <c r="E83" i="6"/>
  <c r="N82" i="6"/>
  <c r="M82" i="6"/>
  <c r="L82" i="6"/>
  <c r="K82" i="6"/>
  <c r="J82" i="6"/>
  <c r="I82" i="6"/>
  <c r="H82" i="6"/>
  <c r="G82" i="6"/>
  <c r="F82" i="6"/>
  <c r="E82" i="6"/>
  <c r="N81" i="6"/>
  <c r="M81" i="6"/>
  <c r="L81" i="6"/>
  <c r="K81" i="6"/>
  <c r="J81" i="6"/>
  <c r="I81" i="6"/>
  <c r="H81" i="6"/>
  <c r="G81" i="6"/>
  <c r="F81" i="6"/>
  <c r="E81" i="6"/>
  <c r="N80" i="6"/>
  <c r="M80" i="6"/>
  <c r="L80" i="6"/>
  <c r="K80" i="6"/>
  <c r="J80" i="6"/>
  <c r="I80" i="6"/>
  <c r="H80" i="6"/>
  <c r="G80" i="6"/>
  <c r="F80" i="6"/>
  <c r="E80" i="6"/>
  <c r="N79" i="6"/>
  <c r="M79" i="6"/>
  <c r="L79" i="6"/>
  <c r="K79" i="6"/>
  <c r="J79" i="6"/>
  <c r="I79" i="6"/>
  <c r="H79" i="6"/>
  <c r="G79" i="6"/>
  <c r="F79" i="6"/>
  <c r="E79" i="6"/>
  <c r="N78" i="6"/>
  <c r="M78" i="6"/>
  <c r="L78" i="6"/>
  <c r="K78" i="6"/>
  <c r="J78" i="6"/>
  <c r="I78" i="6"/>
  <c r="H78" i="6"/>
  <c r="G78" i="6"/>
  <c r="F78" i="6"/>
  <c r="E78" i="6"/>
  <c r="N77" i="6"/>
  <c r="M77" i="6"/>
  <c r="L77" i="6"/>
  <c r="K77" i="6"/>
  <c r="J77" i="6"/>
  <c r="I77" i="6"/>
  <c r="H77" i="6"/>
  <c r="G77" i="6"/>
  <c r="F77" i="6"/>
  <c r="E77" i="6"/>
  <c r="N76" i="6"/>
  <c r="M76" i="6"/>
  <c r="L76" i="6"/>
  <c r="K76" i="6"/>
  <c r="J76" i="6"/>
  <c r="I76" i="6"/>
  <c r="H76" i="6"/>
  <c r="G76" i="6"/>
  <c r="F76" i="6"/>
  <c r="E76" i="6"/>
  <c r="N75" i="6"/>
  <c r="M75" i="6"/>
  <c r="L75" i="6"/>
  <c r="K75" i="6"/>
  <c r="J75" i="6"/>
  <c r="I75" i="6"/>
  <c r="H75" i="6"/>
  <c r="G75" i="6"/>
  <c r="F75" i="6"/>
  <c r="E75" i="6"/>
  <c r="N74" i="6"/>
  <c r="M74" i="6"/>
  <c r="L74" i="6"/>
  <c r="K74" i="6"/>
  <c r="J74" i="6"/>
  <c r="I74" i="6"/>
  <c r="H74" i="6"/>
  <c r="G74" i="6"/>
  <c r="F74" i="6"/>
  <c r="E74" i="6"/>
  <c r="N73" i="6"/>
  <c r="M73" i="6"/>
  <c r="L73" i="6"/>
  <c r="K73" i="6"/>
  <c r="J73" i="6"/>
  <c r="I73" i="6"/>
  <c r="H73" i="6"/>
  <c r="G73" i="6"/>
  <c r="F73" i="6"/>
  <c r="E73" i="6"/>
  <c r="N72" i="6"/>
  <c r="M72" i="6"/>
  <c r="L72" i="6"/>
  <c r="K72" i="6"/>
  <c r="J72" i="6"/>
  <c r="I72" i="6"/>
  <c r="H72" i="6"/>
  <c r="G72" i="6"/>
  <c r="F72" i="6"/>
  <c r="E72" i="6"/>
  <c r="N71" i="6"/>
  <c r="M71" i="6"/>
  <c r="L71" i="6"/>
  <c r="K71" i="6"/>
  <c r="J71" i="6"/>
  <c r="I71" i="6"/>
  <c r="H71" i="6"/>
  <c r="G71" i="6"/>
  <c r="F71" i="6"/>
  <c r="E71" i="6"/>
  <c r="N70" i="6"/>
  <c r="M70" i="6"/>
  <c r="L70" i="6"/>
  <c r="K70" i="6"/>
  <c r="J70" i="6"/>
  <c r="I70" i="6"/>
  <c r="H70" i="6"/>
  <c r="G70" i="6"/>
  <c r="F70" i="6"/>
  <c r="E70" i="6"/>
  <c r="N69" i="6"/>
  <c r="M69" i="6"/>
  <c r="L69" i="6"/>
  <c r="K69" i="6"/>
  <c r="J69" i="6"/>
  <c r="I69" i="6"/>
  <c r="H69" i="6"/>
  <c r="G69" i="6"/>
  <c r="F69" i="6"/>
  <c r="E69" i="6"/>
  <c r="N68" i="6"/>
  <c r="M68" i="6"/>
  <c r="L68" i="6"/>
  <c r="K68" i="6"/>
  <c r="J68" i="6"/>
  <c r="I68" i="6"/>
  <c r="H68" i="6"/>
  <c r="G68" i="6"/>
  <c r="F68" i="6"/>
  <c r="E68" i="6"/>
  <c r="N67" i="6"/>
  <c r="M67" i="6"/>
  <c r="L67" i="6"/>
  <c r="K67" i="6"/>
  <c r="J67" i="6"/>
  <c r="I67" i="6"/>
  <c r="H67" i="6"/>
  <c r="G67" i="6"/>
  <c r="F67" i="6"/>
  <c r="E67" i="6"/>
  <c r="N66" i="6"/>
  <c r="M66" i="6"/>
  <c r="L66" i="6"/>
  <c r="K66" i="6"/>
  <c r="J66" i="6"/>
  <c r="I66" i="6"/>
  <c r="H66" i="6"/>
  <c r="G66" i="6"/>
  <c r="F66" i="6"/>
  <c r="E66" i="6"/>
  <c r="Q66" i="6"/>
  <c r="R66" i="6"/>
  <c r="S66" i="6"/>
  <c r="T66" i="6"/>
  <c r="U66" i="6"/>
  <c r="Q67" i="6"/>
  <c r="R67" i="6"/>
  <c r="S67" i="6"/>
  <c r="T67" i="6"/>
  <c r="U67" i="6"/>
  <c r="Q68" i="6"/>
  <c r="R68" i="6"/>
  <c r="S68" i="6"/>
  <c r="T68" i="6"/>
  <c r="U68" i="6"/>
  <c r="Q69" i="6"/>
  <c r="R69" i="6"/>
  <c r="S69" i="6"/>
  <c r="T69" i="6"/>
  <c r="U69" i="6"/>
  <c r="Q70" i="6"/>
  <c r="R70" i="6"/>
  <c r="S70" i="6"/>
  <c r="T70" i="6"/>
  <c r="U70" i="6"/>
  <c r="Q71" i="6"/>
  <c r="R71" i="6"/>
  <c r="S71" i="6"/>
  <c r="T71" i="6"/>
  <c r="U71" i="6"/>
  <c r="Q72" i="6"/>
  <c r="R72" i="6"/>
  <c r="S72" i="6"/>
  <c r="T72" i="6"/>
  <c r="U72" i="6"/>
  <c r="Q73" i="6"/>
  <c r="R73" i="6"/>
  <c r="S73" i="6"/>
  <c r="T73" i="6"/>
  <c r="U73" i="6"/>
  <c r="Q74" i="6"/>
  <c r="R74" i="6"/>
  <c r="S74" i="6"/>
  <c r="T74" i="6"/>
  <c r="U74" i="6"/>
  <c r="Q75" i="6"/>
  <c r="R75" i="6"/>
  <c r="S75" i="6"/>
  <c r="T75" i="6"/>
  <c r="U75" i="6"/>
  <c r="Y70" i="6"/>
  <c r="W82" i="6"/>
  <c r="V82" i="6"/>
  <c r="U82" i="6"/>
  <c r="T82" i="6"/>
  <c r="S82" i="6"/>
  <c r="R82" i="6"/>
  <c r="Q82" i="6"/>
  <c r="W81" i="6"/>
  <c r="V81" i="6"/>
  <c r="U81" i="6"/>
  <c r="T81" i="6"/>
  <c r="S81" i="6"/>
  <c r="R81" i="6"/>
  <c r="Q81" i="6"/>
  <c r="W80" i="6"/>
  <c r="V80" i="6"/>
  <c r="U80" i="6"/>
  <c r="T80" i="6"/>
  <c r="S80" i="6"/>
  <c r="R80" i="6"/>
  <c r="Q80" i="6"/>
  <c r="W79" i="6"/>
  <c r="V79" i="6"/>
  <c r="U79" i="6"/>
  <c r="T79" i="6"/>
  <c r="S79" i="6"/>
  <c r="R79" i="6"/>
  <c r="Q79" i="6"/>
  <c r="W78" i="6"/>
  <c r="V78" i="6"/>
  <c r="U78" i="6"/>
  <c r="T78" i="6"/>
  <c r="S78" i="6"/>
  <c r="R78" i="6"/>
  <c r="Q78" i="6"/>
  <c r="W77" i="6"/>
  <c r="V77" i="6"/>
  <c r="U77" i="6"/>
  <c r="T77" i="6"/>
  <c r="S77" i="6"/>
  <c r="R77" i="6"/>
  <c r="Q77" i="6"/>
  <c r="W76" i="6"/>
  <c r="V76" i="6"/>
  <c r="U76" i="6"/>
  <c r="T76" i="6"/>
  <c r="S76" i="6"/>
  <c r="R76" i="6"/>
  <c r="Q76" i="6"/>
  <c r="W75" i="6"/>
  <c r="V75" i="6"/>
  <c r="W74" i="6"/>
  <c r="V74" i="6"/>
  <c r="W73" i="6"/>
  <c r="V73" i="6"/>
  <c r="W72" i="6"/>
  <c r="V72" i="6"/>
  <c r="W71" i="6"/>
  <c r="V71" i="6"/>
  <c r="W70" i="6"/>
  <c r="V70" i="6"/>
  <c r="W69" i="6"/>
  <c r="V69" i="6"/>
  <c r="W68" i="6"/>
  <c r="V68" i="6"/>
  <c r="W67" i="6"/>
  <c r="V67" i="6"/>
  <c r="W66" i="6"/>
  <c r="V66" i="6"/>
  <c r="N61" i="6"/>
  <c r="M61" i="6"/>
  <c r="N60" i="6"/>
  <c r="M60" i="6"/>
  <c r="N59" i="6"/>
  <c r="M59" i="6"/>
  <c r="N58" i="6"/>
  <c r="M58" i="6"/>
  <c r="N57" i="6"/>
  <c r="M57" i="6"/>
  <c r="N56" i="6"/>
  <c r="M56" i="6"/>
  <c r="N55" i="6"/>
  <c r="M55" i="6"/>
  <c r="N54" i="6"/>
  <c r="M54" i="6"/>
  <c r="N53" i="6"/>
  <c r="M53" i="6"/>
  <c r="N52" i="6"/>
  <c r="M52" i="6"/>
  <c r="N51" i="6"/>
  <c r="M51" i="6"/>
  <c r="N50" i="6"/>
  <c r="M50" i="6"/>
  <c r="N49" i="6"/>
  <c r="M49" i="6"/>
  <c r="N48" i="6"/>
  <c r="M48" i="6"/>
  <c r="N47" i="6"/>
  <c r="Y47" i="6" s="1"/>
  <c r="M47" i="6"/>
  <c r="N46" i="6"/>
  <c r="M46" i="6"/>
  <c r="Q46" i="6"/>
  <c r="R46" i="6"/>
  <c r="S46" i="6"/>
  <c r="T46" i="6"/>
  <c r="U46" i="6"/>
  <c r="V46" i="6"/>
  <c r="W46" i="6"/>
  <c r="X46" i="6"/>
  <c r="Y46" i="6"/>
  <c r="Q47" i="6"/>
  <c r="R47" i="6"/>
  <c r="S47" i="6"/>
  <c r="T47" i="6"/>
  <c r="U47" i="6"/>
  <c r="V47" i="6"/>
  <c r="W47" i="6"/>
  <c r="X47" i="6"/>
  <c r="Q48" i="6"/>
  <c r="R48" i="6"/>
  <c r="S48" i="6"/>
  <c r="T48" i="6"/>
  <c r="U48" i="6"/>
  <c r="V48" i="6"/>
  <c r="W48" i="6"/>
  <c r="X48" i="6"/>
  <c r="Y48" i="6"/>
  <c r="Q49" i="6"/>
  <c r="R49" i="6"/>
  <c r="S49" i="6"/>
  <c r="T49" i="6"/>
  <c r="U49" i="6"/>
  <c r="V49" i="6"/>
  <c r="W49" i="6"/>
  <c r="X49" i="6"/>
  <c r="Y49" i="6"/>
  <c r="L61" i="6"/>
  <c r="K61" i="6"/>
  <c r="J61" i="6"/>
  <c r="I61" i="6"/>
  <c r="L60" i="6"/>
  <c r="K60" i="6"/>
  <c r="J60" i="6"/>
  <c r="I60" i="6"/>
  <c r="L59" i="6"/>
  <c r="K59" i="6"/>
  <c r="J59" i="6"/>
  <c r="I59" i="6"/>
  <c r="L58" i="6"/>
  <c r="K58" i="6"/>
  <c r="J58" i="6"/>
  <c r="I58" i="6"/>
  <c r="L57" i="6"/>
  <c r="K57" i="6"/>
  <c r="J57" i="6"/>
  <c r="I57" i="6"/>
  <c r="L56" i="6"/>
  <c r="K56" i="6"/>
  <c r="J56" i="6"/>
  <c r="I56" i="6"/>
  <c r="L55" i="6"/>
  <c r="K55" i="6"/>
  <c r="J55" i="6"/>
  <c r="I55" i="6"/>
  <c r="L54" i="6"/>
  <c r="K54" i="6"/>
  <c r="J54" i="6"/>
  <c r="I54" i="6"/>
  <c r="L53" i="6"/>
  <c r="K53" i="6"/>
  <c r="J53" i="6"/>
  <c r="I53" i="6"/>
  <c r="L52" i="6"/>
  <c r="K52" i="6"/>
  <c r="J52" i="6"/>
  <c r="I52" i="6"/>
  <c r="L51" i="6"/>
  <c r="K51" i="6"/>
  <c r="J51" i="6"/>
  <c r="I51" i="6"/>
  <c r="L50" i="6"/>
  <c r="K50" i="6"/>
  <c r="J50" i="6"/>
  <c r="I50" i="6"/>
  <c r="L49" i="6"/>
  <c r="K49" i="6"/>
  <c r="J49" i="6"/>
  <c r="I49" i="6"/>
  <c r="L48" i="6"/>
  <c r="K48" i="6"/>
  <c r="J48" i="6"/>
  <c r="I48" i="6"/>
  <c r="L47" i="6"/>
  <c r="K47" i="6"/>
  <c r="J47" i="6"/>
  <c r="I47" i="6"/>
  <c r="L46" i="6"/>
  <c r="K46" i="6"/>
  <c r="J46" i="6"/>
  <c r="I46" i="6"/>
  <c r="X61" i="6"/>
  <c r="W61" i="6"/>
  <c r="V61" i="6"/>
  <c r="U61" i="6"/>
  <c r="T61" i="6"/>
  <c r="S61" i="6"/>
  <c r="R61" i="6"/>
  <c r="X60" i="6"/>
  <c r="W60" i="6"/>
  <c r="V60" i="6"/>
  <c r="U60" i="6"/>
  <c r="T60" i="6"/>
  <c r="S60" i="6"/>
  <c r="R60" i="6"/>
  <c r="X59" i="6"/>
  <c r="W59" i="6"/>
  <c r="V59" i="6"/>
  <c r="U59" i="6"/>
  <c r="T59" i="6"/>
  <c r="S59" i="6"/>
  <c r="R59" i="6"/>
  <c r="X58" i="6"/>
  <c r="W58" i="6"/>
  <c r="V58" i="6"/>
  <c r="U58" i="6"/>
  <c r="T58" i="6"/>
  <c r="S58" i="6"/>
  <c r="R58" i="6"/>
  <c r="X57" i="6"/>
  <c r="W57" i="6"/>
  <c r="V57" i="6"/>
  <c r="U57" i="6"/>
  <c r="T57" i="6"/>
  <c r="S57" i="6"/>
  <c r="R57" i="6"/>
  <c r="X56" i="6"/>
  <c r="W56" i="6"/>
  <c r="V56" i="6"/>
  <c r="U56" i="6"/>
  <c r="T56" i="6"/>
  <c r="S56" i="6"/>
  <c r="R56" i="6"/>
  <c r="X55" i="6"/>
  <c r="W55" i="6"/>
  <c r="V55" i="6"/>
  <c r="U55" i="6"/>
  <c r="T55" i="6"/>
  <c r="S55" i="6"/>
  <c r="R55" i="6"/>
  <c r="X54" i="6"/>
  <c r="W54" i="6"/>
  <c r="V54" i="6"/>
  <c r="U54" i="6"/>
  <c r="T54" i="6"/>
  <c r="S54" i="6"/>
  <c r="R54" i="6"/>
  <c r="X53" i="6"/>
  <c r="W53" i="6"/>
  <c r="V53" i="6"/>
  <c r="U53" i="6"/>
  <c r="T53" i="6"/>
  <c r="S53" i="6"/>
  <c r="R53" i="6"/>
  <c r="X52" i="6"/>
  <c r="W52" i="6"/>
  <c r="Y52" i="6" s="1"/>
  <c r="V52" i="6"/>
  <c r="U52" i="6"/>
  <c r="T52" i="6"/>
  <c r="S52" i="6"/>
  <c r="R52" i="6"/>
  <c r="X51" i="6"/>
  <c r="Y51" i="6" s="1"/>
  <c r="W51" i="6"/>
  <c r="V51" i="6"/>
  <c r="U51" i="6"/>
  <c r="T51" i="6"/>
  <c r="S51" i="6"/>
  <c r="R51" i="6"/>
  <c r="X50" i="6"/>
  <c r="W50" i="6"/>
  <c r="V50" i="6"/>
  <c r="U50" i="6"/>
  <c r="T50" i="6"/>
  <c r="S50" i="6"/>
  <c r="R50" i="6"/>
  <c r="X45" i="6"/>
  <c r="W45" i="6"/>
  <c r="V45" i="6"/>
  <c r="U45" i="6"/>
  <c r="T45" i="6"/>
  <c r="S45" i="6"/>
  <c r="R45" i="6"/>
  <c r="Q61" i="6"/>
  <c r="Q60" i="6"/>
  <c r="Q59" i="6"/>
  <c r="Q58" i="6"/>
  <c r="Q57" i="6"/>
  <c r="Q56" i="6"/>
  <c r="Q55" i="6"/>
  <c r="Q54" i="6"/>
  <c r="Q53" i="6"/>
  <c r="Q52" i="6"/>
  <c r="Q51" i="6"/>
  <c r="Q50" i="6"/>
  <c r="Q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F45" i="6"/>
  <c r="G45" i="6"/>
  <c r="H45" i="6"/>
  <c r="I45" i="6"/>
  <c r="J45" i="6"/>
  <c r="K45" i="6"/>
  <c r="L45" i="6"/>
  <c r="M45" i="6"/>
  <c r="N45" i="6"/>
  <c r="E4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R40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R5" i="6"/>
  <c r="S5" i="6"/>
  <c r="T5" i="6"/>
  <c r="U5" i="6"/>
  <c r="V5" i="6"/>
  <c r="W5" i="6"/>
  <c r="X5" i="6"/>
  <c r="Q5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Y21" i="6" s="1"/>
  <c r="H22" i="6"/>
  <c r="H23" i="6"/>
  <c r="H24" i="6"/>
  <c r="H25" i="6"/>
  <c r="H26" i="6"/>
  <c r="H27" i="6"/>
  <c r="H28" i="6"/>
  <c r="H29" i="6"/>
  <c r="H30" i="6"/>
  <c r="H31" i="6"/>
  <c r="H32" i="6"/>
  <c r="H33" i="6"/>
  <c r="Y33" i="6" s="1"/>
  <c r="H34" i="6"/>
  <c r="H35" i="6"/>
  <c r="H36" i="6"/>
  <c r="H37" i="6"/>
  <c r="H38" i="6"/>
  <c r="H39" i="6"/>
  <c r="H40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7" i="6"/>
  <c r="G7" i="6"/>
  <c r="H7" i="6"/>
  <c r="I7" i="6"/>
  <c r="J7" i="6"/>
  <c r="K7" i="6"/>
  <c r="L7" i="6"/>
  <c r="M7" i="6"/>
  <c r="N7" i="6"/>
  <c r="F6" i="6"/>
  <c r="G6" i="6"/>
  <c r="H6" i="6"/>
  <c r="I6" i="6"/>
  <c r="J6" i="6"/>
  <c r="K6" i="6"/>
  <c r="L6" i="6"/>
  <c r="M6" i="6"/>
  <c r="N6" i="6"/>
  <c r="F5" i="6"/>
  <c r="G5" i="6"/>
  <c r="H5" i="6"/>
  <c r="I5" i="6"/>
  <c r="J5" i="6"/>
  <c r="K5" i="6"/>
  <c r="L5" i="6"/>
  <c r="M5" i="6"/>
  <c r="N5" i="6"/>
  <c r="E6" i="6"/>
  <c r="E7" i="6"/>
  <c r="Y7" i="6" s="1"/>
  <c r="E8" i="6"/>
  <c r="Y8" i="6" s="1"/>
  <c r="E9" i="6"/>
  <c r="E10" i="6"/>
  <c r="E11" i="6"/>
  <c r="E12" i="6"/>
  <c r="E13" i="6"/>
  <c r="Y13" i="6" s="1"/>
  <c r="E14" i="6"/>
  <c r="Y14" i="6" s="1"/>
  <c r="E15" i="6"/>
  <c r="E16" i="6"/>
  <c r="E17" i="6"/>
  <c r="E18" i="6"/>
  <c r="E19" i="6"/>
  <c r="Y19" i="6" s="1"/>
  <c r="E20" i="6"/>
  <c r="Y20" i="6" s="1"/>
  <c r="E21" i="6"/>
  <c r="E22" i="6"/>
  <c r="E23" i="6"/>
  <c r="E24" i="6"/>
  <c r="E25" i="6"/>
  <c r="Y25" i="6" s="1"/>
  <c r="E26" i="6"/>
  <c r="Y26" i="6" s="1"/>
  <c r="E27" i="6"/>
  <c r="E28" i="6"/>
  <c r="E29" i="6"/>
  <c r="E30" i="6"/>
  <c r="E31" i="6"/>
  <c r="E32" i="6"/>
  <c r="E33" i="6"/>
  <c r="E34" i="6"/>
  <c r="E35" i="6"/>
  <c r="E36" i="6"/>
  <c r="E37" i="6"/>
  <c r="Y37" i="6" s="1"/>
  <c r="E38" i="6"/>
  <c r="Y38" i="6" s="1"/>
  <c r="E39" i="6"/>
  <c r="E40" i="6"/>
  <c r="E5" i="6"/>
  <c r="Y83" i="6"/>
  <c r="Y31" i="6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3" i="3"/>
  <c r="Y94" i="3"/>
  <c r="Y95" i="3"/>
  <c r="Y96" i="3"/>
  <c r="Y97" i="3"/>
  <c r="Y98" i="3"/>
  <c r="Y99" i="3"/>
  <c r="Y100" i="3"/>
  <c r="Y101" i="3"/>
  <c r="Y102" i="3"/>
  <c r="Y103" i="3"/>
  <c r="Y110" i="3"/>
  <c r="Y113" i="3"/>
  <c r="Y115" i="3"/>
  <c r="Y116" i="3"/>
  <c r="Y117" i="3"/>
  <c r="Y121" i="3"/>
  <c r="Y122" i="3"/>
  <c r="Y123" i="3"/>
  <c r="Y125" i="3"/>
  <c r="Y126" i="3"/>
  <c r="Y127" i="3"/>
  <c r="Y129" i="3"/>
  <c r="Y130" i="3"/>
  <c r="Y131" i="3"/>
  <c r="Y139" i="3"/>
  <c r="Y141" i="3"/>
  <c r="Y143" i="3"/>
  <c r="Y144" i="3"/>
  <c r="Y145" i="3"/>
  <c r="Y147" i="3"/>
  <c r="Y149" i="3"/>
  <c r="Y150" i="3"/>
  <c r="Y152" i="3"/>
  <c r="Y154" i="3"/>
  <c r="Y155" i="3"/>
  <c r="Y156" i="3"/>
  <c r="Y158" i="3"/>
  <c r="Y158" i="8"/>
  <c r="Y143" i="8"/>
  <c r="Y144" i="8"/>
  <c r="Y145" i="8"/>
  <c r="Y147" i="8"/>
  <c r="Y149" i="8"/>
  <c r="Y150" i="8"/>
  <c r="Y155" i="8"/>
  <c r="Y139" i="8"/>
  <c r="Y141" i="8"/>
  <c r="Y152" i="8"/>
  <c r="Y154" i="8"/>
  <c r="Y156" i="8"/>
  <c r="Y116" i="8"/>
  <c r="Y122" i="8"/>
  <c r="Y125" i="8"/>
  <c r="Y126" i="8"/>
  <c r="Y129" i="8"/>
  <c r="Y130" i="8"/>
  <c r="Y131" i="8"/>
  <c r="Y113" i="8"/>
  <c r="Y115" i="8"/>
  <c r="Y117" i="8"/>
  <c r="Y121" i="8"/>
  <c r="Y123" i="8"/>
  <c r="Y127" i="8"/>
  <c r="Y95" i="8"/>
  <c r="Y96" i="8"/>
  <c r="Y97" i="8"/>
  <c r="Y98" i="8"/>
  <c r="Y99" i="8"/>
  <c r="Y100" i="8"/>
  <c r="Y101" i="8"/>
  <c r="Y102" i="8"/>
  <c r="Y103" i="8"/>
  <c r="Y66" i="8"/>
  <c r="Y67" i="8"/>
  <c r="Y68" i="8"/>
  <c r="Y69" i="8"/>
  <c r="Y70" i="8"/>
  <c r="Y71" i="8"/>
  <c r="Y72" i="8"/>
  <c r="Y73" i="8"/>
  <c r="Y74" i="8"/>
  <c r="Y75" i="8"/>
  <c r="Y76" i="8"/>
  <c r="Y77" i="8"/>
  <c r="Y78" i="8"/>
  <c r="Y79" i="8"/>
  <c r="Y80" i="8"/>
  <c r="Y81" i="8"/>
  <c r="Y82" i="8"/>
  <c r="Y83" i="8"/>
  <c r="Y84" i="8"/>
  <c r="Y85" i="8"/>
  <c r="Y86" i="8"/>
  <c r="Y87" i="8"/>
  <c r="Y88" i="8"/>
  <c r="Y89" i="8"/>
  <c r="Y90" i="8"/>
  <c r="Y91" i="8"/>
  <c r="Y61" i="8"/>
  <c r="Y60" i="8"/>
  <c r="Y59" i="8"/>
  <c r="Y58" i="8"/>
  <c r="Y57" i="8"/>
  <c r="Y56" i="8"/>
  <c r="Y55" i="8"/>
  <c r="Y54" i="8"/>
  <c r="Y53" i="8"/>
  <c r="Y51" i="8"/>
  <c r="Y52" i="8"/>
  <c r="Y50" i="8"/>
  <c r="Y49" i="8"/>
  <c r="Y48" i="8"/>
  <c r="Y47" i="8"/>
  <c r="Y46" i="8"/>
  <c r="Y45" i="8"/>
  <c r="Y40" i="8"/>
  <c r="Y39" i="8"/>
  <c r="Y38" i="8"/>
  <c r="Y37" i="8"/>
  <c r="Y36" i="8"/>
  <c r="Y35" i="8"/>
  <c r="Y34" i="8"/>
  <c r="Y33" i="8"/>
  <c r="Y31" i="8"/>
  <c r="Y32" i="8"/>
  <c r="Y30" i="8"/>
  <c r="Y29" i="8"/>
  <c r="Y28" i="8"/>
  <c r="Y27" i="8"/>
  <c r="Y26" i="8"/>
  <c r="Y25" i="8"/>
  <c r="Y24" i="8"/>
  <c r="Y23" i="8"/>
  <c r="Y22" i="8"/>
  <c r="Y21" i="8"/>
  <c r="Y20" i="8"/>
  <c r="Y19" i="8"/>
  <c r="Y18" i="8"/>
  <c r="Y17" i="8"/>
  <c r="Y16" i="8"/>
  <c r="Y15" i="8"/>
  <c r="Y14" i="8"/>
  <c r="Y13" i="8"/>
  <c r="Y12" i="8"/>
  <c r="Y11" i="8"/>
  <c r="Y10" i="8"/>
  <c r="Y9" i="8"/>
  <c r="Y8" i="8"/>
  <c r="Y7" i="8"/>
  <c r="Y6" i="8"/>
  <c r="Y5" i="8"/>
  <c r="Y140" i="8"/>
  <c r="Y138" i="8"/>
  <c r="Y110" i="8"/>
  <c r="Y94" i="8"/>
  <c r="Y93" i="8"/>
  <c r="W253" i="11" l="1"/>
  <c r="Y253" i="11" s="1"/>
  <c r="W239" i="11"/>
  <c r="Y239" i="11" s="1"/>
  <c r="W251" i="11"/>
  <c r="Y251" i="11" s="1"/>
  <c r="W244" i="11"/>
  <c r="Y244" i="11" s="1"/>
  <c r="W245" i="11"/>
  <c r="Y245" i="11" s="1"/>
  <c r="W240" i="11"/>
  <c r="Y240" i="11" s="1"/>
  <c r="W242" i="11"/>
  <c r="Y242" i="11" s="1"/>
  <c r="W234" i="11"/>
  <c r="Y234" i="11" s="1"/>
  <c r="W236" i="11"/>
  <c r="Y236" i="11" s="1"/>
  <c r="W247" i="11"/>
  <c r="Y247" i="11" s="1"/>
  <c r="W249" i="11"/>
  <c r="Y249" i="11" s="1"/>
  <c r="W238" i="11"/>
  <c r="Y238" i="11" s="1"/>
  <c r="W250" i="11"/>
  <c r="Y250" i="11" s="1"/>
  <c r="W208" i="11"/>
  <c r="Y208" i="11" s="1"/>
  <c r="W209" i="11"/>
  <c r="Y209" i="11" s="1"/>
  <c r="W211" i="11"/>
  <c r="Y211" i="11" s="1"/>
  <c r="W212" i="11"/>
  <c r="Y212" i="11" s="1"/>
  <c r="W213" i="11"/>
  <c r="Y213" i="11" s="1"/>
  <c r="W9" i="11"/>
  <c r="Y9" i="11" s="1"/>
  <c r="W8" i="11"/>
  <c r="Y8" i="11" s="1"/>
  <c r="W61" i="11"/>
  <c r="Y61" i="11" s="1"/>
  <c r="W53" i="11"/>
  <c r="Y53" i="11" s="1"/>
  <c r="W129" i="11"/>
  <c r="Y129" i="11" s="1"/>
  <c r="W166" i="11"/>
  <c r="Y166" i="11" s="1"/>
  <c r="W10" i="11"/>
  <c r="Y10" i="11" s="1"/>
  <c r="W11" i="11"/>
  <c r="Y11" i="11" s="1"/>
  <c r="W12" i="11"/>
  <c r="Y12" i="11" s="1"/>
  <c r="W13" i="11"/>
  <c r="Y13" i="11" s="1"/>
  <c r="W14" i="11"/>
  <c r="Y14" i="11" s="1"/>
  <c r="W15" i="11"/>
  <c r="Y15" i="11" s="1"/>
  <c r="W16" i="11"/>
  <c r="Y16" i="11" s="1"/>
  <c r="W17" i="11"/>
  <c r="Y17" i="11" s="1"/>
  <c r="W18" i="11"/>
  <c r="Y18" i="11" s="1"/>
  <c r="W19" i="11"/>
  <c r="Y19" i="11" s="1"/>
  <c r="W20" i="11"/>
  <c r="Y20" i="11" s="1"/>
  <c r="W21" i="11"/>
  <c r="Y21" i="11" s="1"/>
  <c r="W22" i="11"/>
  <c r="Y22" i="11" s="1"/>
  <c r="W23" i="11"/>
  <c r="Y23" i="11" s="1"/>
  <c r="W24" i="11"/>
  <c r="Y24" i="11" s="1"/>
  <c r="W25" i="11"/>
  <c r="Y25" i="11" s="1"/>
  <c r="W26" i="11"/>
  <c r="Y26" i="11" s="1"/>
  <c r="W27" i="11"/>
  <c r="Y27" i="11" s="1"/>
  <c r="W28" i="11"/>
  <c r="Y28" i="11" s="1"/>
  <c r="W29" i="11"/>
  <c r="Y29" i="11" s="1"/>
  <c r="W48" i="11"/>
  <c r="Y48" i="11" s="1"/>
  <c r="W49" i="11"/>
  <c r="Y49" i="11" s="1"/>
  <c r="W50" i="11"/>
  <c r="Y50" i="11" s="1"/>
  <c r="W51" i="11"/>
  <c r="Y51" i="11" s="1"/>
  <c r="W52" i="11"/>
  <c r="Y52" i="11" s="1"/>
  <c r="W54" i="11"/>
  <c r="Y54" i="11" s="1"/>
  <c r="W55" i="11"/>
  <c r="Y55" i="11" s="1"/>
  <c r="W56" i="11"/>
  <c r="Y56" i="11" s="1"/>
  <c r="W57" i="11"/>
  <c r="Y57" i="11" s="1"/>
  <c r="W58" i="11"/>
  <c r="Y58" i="11" s="1"/>
  <c r="W59" i="11"/>
  <c r="Y59" i="11" s="1"/>
  <c r="W60" i="11"/>
  <c r="Y60" i="11" s="1"/>
  <c r="W96" i="11"/>
  <c r="Y96" i="11" s="1"/>
  <c r="W119" i="11"/>
  <c r="Y119" i="11" s="1"/>
  <c r="W120" i="11"/>
  <c r="Y120" i="11" s="1"/>
  <c r="W121" i="11"/>
  <c r="Y121" i="11" s="1"/>
  <c r="W122" i="11"/>
  <c r="Y122" i="11" s="1"/>
  <c r="W123" i="11"/>
  <c r="Y123" i="11" s="1"/>
  <c r="W124" i="11"/>
  <c r="Y124" i="11" s="1"/>
  <c r="W125" i="11"/>
  <c r="Y125" i="11" s="1"/>
  <c r="W126" i="11"/>
  <c r="Y126" i="11" s="1"/>
  <c r="W127" i="11"/>
  <c r="Y127" i="11" s="1"/>
  <c r="W128" i="11"/>
  <c r="Y128" i="11" s="1"/>
  <c r="W130" i="11"/>
  <c r="Y130" i="11" s="1"/>
  <c r="W131" i="11"/>
  <c r="Y131" i="11" s="1"/>
  <c r="W132" i="11"/>
  <c r="Y132" i="11" s="1"/>
  <c r="W133" i="11"/>
  <c r="Y133" i="11" s="1"/>
  <c r="W134" i="11"/>
  <c r="Y134" i="11" s="1"/>
  <c r="W135" i="11"/>
  <c r="Y135" i="11" s="1"/>
  <c r="W136" i="11"/>
  <c r="Y136" i="11" s="1"/>
  <c r="W137" i="11"/>
  <c r="Y137" i="11" s="1"/>
  <c r="W138" i="11"/>
  <c r="Y138" i="11" s="1"/>
  <c r="W139" i="11"/>
  <c r="Y139" i="11" s="1"/>
  <c r="W140" i="11"/>
  <c r="Y140" i="11" s="1"/>
  <c r="W141" i="11"/>
  <c r="Y141" i="11" s="1"/>
  <c r="W142" i="11"/>
  <c r="Y142" i="11" s="1"/>
  <c r="W162" i="11"/>
  <c r="Y162" i="11" s="1"/>
  <c r="W163" i="11"/>
  <c r="Y163" i="11" s="1"/>
  <c r="W164" i="11"/>
  <c r="Y164" i="11" s="1"/>
  <c r="W165" i="11"/>
  <c r="Y165" i="11" s="1"/>
  <c r="W167" i="11"/>
  <c r="Y167" i="11" s="1"/>
  <c r="W168" i="11"/>
  <c r="Y168" i="11" s="1"/>
  <c r="W169" i="11"/>
  <c r="Y169" i="11" s="1"/>
  <c r="W170" i="11"/>
  <c r="Y170" i="11" s="1"/>
  <c r="W171" i="11"/>
  <c r="Y171" i="11" s="1"/>
  <c r="W172" i="11"/>
  <c r="Y172" i="11" s="1"/>
  <c r="W192" i="11"/>
  <c r="Y192" i="11" s="1"/>
  <c r="W195" i="11"/>
  <c r="Y195" i="11" s="1"/>
  <c r="W197" i="11"/>
  <c r="Y197" i="11" s="1"/>
  <c r="W198" i="11"/>
  <c r="Y198" i="11" s="1"/>
  <c r="W199" i="11"/>
  <c r="Y199" i="11" s="1"/>
  <c r="W201" i="11"/>
  <c r="Y201" i="11" s="1"/>
  <c r="W203" i="11"/>
  <c r="Y203" i="11" s="1"/>
  <c r="W204" i="11"/>
  <c r="Y204" i="11" s="1"/>
  <c r="W205" i="11"/>
  <c r="Y205" i="11" s="1"/>
  <c r="W207" i="11"/>
  <c r="Y207" i="11" s="1"/>
  <c r="Y154" i="6"/>
  <c r="Y155" i="6"/>
  <c r="Y158" i="6"/>
  <c r="Y152" i="6"/>
  <c r="Y96" i="6"/>
  <c r="Y102" i="6"/>
  <c r="Y103" i="6"/>
  <c r="Y94" i="6"/>
  <c r="Y95" i="6"/>
  <c r="Y97" i="6"/>
  <c r="Y98" i="6"/>
  <c r="Y100" i="6"/>
  <c r="Y101" i="6"/>
  <c r="Y76" i="6"/>
  <c r="Y82" i="6"/>
  <c r="Y88" i="6"/>
  <c r="Y90" i="6"/>
  <c r="Y84" i="6"/>
  <c r="Y85" i="6"/>
  <c r="Y87" i="6"/>
  <c r="Y86" i="6"/>
  <c r="Y79" i="6"/>
  <c r="Y67" i="6"/>
  <c r="Y72" i="6"/>
  <c r="Y75" i="6"/>
  <c r="Y78" i="6"/>
  <c r="Y81" i="6"/>
  <c r="Y68" i="6"/>
  <c r="Y71" i="6"/>
  <c r="Y74" i="6"/>
  <c r="Y77" i="6"/>
  <c r="Y80" i="6"/>
  <c r="Y66" i="6"/>
  <c r="Y69" i="6"/>
  <c r="Y73" i="6"/>
  <c r="Y53" i="6"/>
  <c r="Y58" i="6"/>
  <c r="Y59" i="6"/>
  <c r="Y45" i="6"/>
  <c r="Y57" i="6"/>
  <c r="Y50" i="6"/>
  <c r="Y61" i="6"/>
  <c r="Y55" i="6"/>
  <c r="Y56" i="6"/>
  <c r="Y60" i="6"/>
  <c r="Y54" i="6"/>
  <c r="Y27" i="6"/>
  <c r="Y32" i="6"/>
  <c r="Y15" i="6"/>
  <c r="Y34" i="6"/>
  <c r="Y22" i="6"/>
  <c r="Y16" i="6"/>
  <c r="Y39" i="6"/>
  <c r="Y40" i="6"/>
  <c r="Y28" i="6"/>
  <c r="Y10" i="6"/>
  <c r="Y17" i="6"/>
  <c r="Y35" i="6"/>
  <c r="Y29" i="6"/>
  <c r="Y23" i="6"/>
  <c r="Y11" i="6"/>
  <c r="Y36" i="6"/>
  <c r="Y9" i="6"/>
  <c r="Y30" i="6"/>
  <c r="Y24" i="6"/>
  <c r="Y18" i="6"/>
  <c r="Y12" i="6"/>
  <c r="Y6" i="6"/>
  <c r="Y5" i="6"/>
</calcChain>
</file>

<file path=xl/sharedStrings.xml><?xml version="1.0" encoding="utf-8"?>
<sst xmlns="http://schemas.openxmlformats.org/spreadsheetml/2006/main" count="1803" uniqueCount="170">
  <si>
    <t xml:space="preserve">NAME OF OFFICE </t>
  </si>
  <si>
    <t>NAME OF PERSON VOTED FOR</t>
  </si>
  <si>
    <t>PARTY</t>
  </si>
  <si>
    <t>ALLODIUM</t>
  </si>
  <si>
    <t>BRYANT</t>
  </si>
  <si>
    <t>GETTYSBURG</t>
  </si>
  <si>
    <t>GRAHAM</t>
  </si>
  <si>
    <t>HAPPPY</t>
  </si>
  <si>
    <t>INDIANA</t>
  </si>
  <si>
    <t>MILLBROOK</t>
  </si>
  <si>
    <t>MORLAN</t>
  </si>
  <si>
    <t>PIONEER</t>
  </si>
  <si>
    <t>SOLOMON</t>
  </si>
  <si>
    <t>WILDHORSE</t>
  </si>
  <si>
    <t>TOTAL</t>
  </si>
  <si>
    <t>STATE OF KANSAS,</t>
  </si>
  <si>
    <t xml:space="preserve">    Graham County,       ss.</t>
  </si>
  <si>
    <t xml:space="preserve">true and correct as shown by the returns of said election on file in the office of the County Election officer and canvassed by us </t>
  </si>
  <si>
    <t>Attest:</t>
  </si>
  <si>
    <t xml:space="preserve">     _____________________________</t>
  </si>
  <si>
    <t xml:space="preserve">           _____________________________</t>
  </si>
  <si>
    <t xml:space="preserve">                                     County Board of Canvassers.</t>
  </si>
  <si>
    <t xml:space="preserve">Abstract of Votes Cast at the Primary Election in </t>
  </si>
  <si>
    <t>HILL CITY #1</t>
  </si>
  <si>
    <t xml:space="preserve">HILL CITY #2  </t>
  </si>
  <si>
    <t xml:space="preserve">HILL CITY #3 </t>
  </si>
  <si>
    <t xml:space="preserve">HILL CITY TWP #71 </t>
  </si>
  <si>
    <t xml:space="preserve">HILL CITY TWP #72 </t>
  </si>
  <si>
    <t xml:space="preserve">HILL CITY TWP #73 </t>
  </si>
  <si>
    <t xml:space="preserve">NICODEMUS </t>
  </si>
  <si>
    <t>Dan Irby</t>
  </si>
  <si>
    <t>TOWNSHIP TRUSTEE</t>
  </si>
  <si>
    <t>TOWNSHIP TREASURER</t>
  </si>
  <si>
    <t>ELECTION DAY TOTALS</t>
  </si>
  <si>
    <t>Turnout</t>
  </si>
  <si>
    <t xml:space="preserve">Registered Voters </t>
  </si>
  <si>
    <t xml:space="preserve">Number of Voters Voting </t>
  </si>
  <si>
    <t xml:space="preserve">                              County Election Officer.</t>
  </si>
  <si>
    <t>Janet Billips</t>
  </si>
  <si>
    <t>Tim Thompson</t>
  </si>
  <si>
    <t>CITY COUNCIL</t>
  </si>
  <si>
    <t>November 5th, 2024</t>
  </si>
  <si>
    <t>ADVANCE TOTALS</t>
  </si>
  <si>
    <t>Graham County Kansas, on the 5th day of November, 2024</t>
  </si>
  <si>
    <t>TOTALS</t>
  </si>
  <si>
    <t xml:space="preserve">HOSPITAL </t>
  </si>
  <si>
    <t>Michelle Smee</t>
  </si>
  <si>
    <t>Nikki Presley</t>
  </si>
  <si>
    <t>Stephanie David</t>
  </si>
  <si>
    <t>T. Treas</t>
  </si>
  <si>
    <t>Mark Fergeson</t>
  </si>
  <si>
    <t>Thomas Brown</t>
  </si>
  <si>
    <t>Diana Hobbs</t>
  </si>
  <si>
    <t>Cody Keiswetter</t>
  </si>
  <si>
    <t>Bruce Billips</t>
  </si>
  <si>
    <t>Connie Gish</t>
  </si>
  <si>
    <t>Michelle Billips</t>
  </si>
  <si>
    <t>Rhonda Goddard</t>
  </si>
  <si>
    <t>Chris Smee</t>
  </si>
  <si>
    <t>Dan Worcester</t>
  </si>
  <si>
    <t>David Atkins</t>
  </si>
  <si>
    <t>Marcy Gansel</t>
  </si>
  <si>
    <t>Cindy Underhill</t>
  </si>
  <si>
    <t>Kay Money</t>
  </si>
  <si>
    <t>Kimberly Kinderknecht</t>
  </si>
  <si>
    <t xml:space="preserve">Ethan Edwards </t>
  </si>
  <si>
    <t>Ron Radcliffe</t>
  </si>
  <si>
    <t>Joyce Reese</t>
  </si>
  <si>
    <t>Lance Post</t>
  </si>
  <si>
    <t>Saundra Nickelson</t>
  </si>
  <si>
    <t>Reggie Jordan</t>
  </si>
  <si>
    <t>Cole Keiswetter</t>
  </si>
  <si>
    <t>Joy Robison</t>
  </si>
  <si>
    <t>Dannis Robison</t>
  </si>
  <si>
    <t>Bruce VanLoenen</t>
  </si>
  <si>
    <t>Christopher Mikkelson</t>
  </si>
  <si>
    <t>Daniel Thyfault</t>
  </si>
  <si>
    <t>Missy Atkins</t>
  </si>
  <si>
    <t>Mike Parks</t>
  </si>
  <si>
    <t>Curt Hamel</t>
  </si>
  <si>
    <t>Dr. Handy</t>
  </si>
  <si>
    <t>Dennis Mersch</t>
  </si>
  <si>
    <t>Debra Tremblay</t>
  </si>
  <si>
    <t>Chad Pittman</t>
  </si>
  <si>
    <t>Teri Cooper</t>
  </si>
  <si>
    <t>Brandy Born</t>
  </si>
  <si>
    <t>Jessica Smith</t>
  </si>
  <si>
    <t>Shawn Brown</t>
  </si>
  <si>
    <t>Vera Garrison</t>
  </si>
  <si>
    <t>Jana Irby</t>
  </si>
  <si>
    <t>Deb Hill</t>
  </si>
  <si>
    <t>Renee Jackson</t>
  </si>
  <si>
    <t>Ryan Scott</t>
  </si>
  <si>
    <t>Sue Worcester</t>
  </si>
  <si>
    <t>Esther Clark</t>
  </si>
  <si>
    <t>Wallace Clark</t>
  </si>
  <si>
    <t>Mike Davignon</t>
  </si>
  <si>
    <t>Tessa Tremblay</t>
  </si>
  <si>
    <t>Tawny Ashbaugh</t>
  </si>
  <si>
    <t>Debi Keith</t>
  </si>
  <si>
    <t>Jeri Keith</t>
  </si>
  <si>
    <t>Roy Voss</t>
  </si>
  <si>
    <t>Barb Grecian</t>
  </si>
  <si>
    <t>Kim Nutting</t>
  </si>
  <si>
    <t>Sue Rohleder</t>
  </si>
  <si>
    <t>Cody Roberts</t>
  </si>
  <si>
    <t>Barbara Stites</t>
  </si>
  <si>
    <t>Dusti Bagley</t>
  </si>
  <si>
    <t>Bill Miller</t>
  </si>
  <si>
    <t>Smee</t>
  </si>
  <si>
    <t>Dale Deighton</t>
  </si>
  <si>
    <t>Melissa Atkins</t>
  </si>
  <si>
    <t>Jolyn Mauck</t>
  </si>
  <si>
    <t>Billie Frakes</t>
  </si>
  <si>
    <t>Rodney Belleau</t>
  </si>
  <si>
    <t>Thomas Rodriguez</t>
  </si>
  <si>
    <t>Miranda Pimlott</t>
  </si>
  <si>
    <t>Vince Walker</t>
  </si>
  <si>
    <t>Sara Keiswetter</t>
  </si>
  <si>
    <t>Jim Braford</t>
  </si>
  <si>
    <t>Fred Keener</t>
  </si>
  <si>
    <t>Judy Goltl</t>
  </si>
  <si>
    <t>Daryl Stute</t>
  </si>
  <si>
    <t>Taylor Myers</t>
  </si>
  <si>
    <t>Brandon Born</t>
  </si>
  <si>
    <t>Blake Born</t>
  </si>
  <si>
    <t>Brett Garrison</t>
  </si>
  <si>
    <t>Sue Schulz</t>
  </si>
  <si>
    <t>Vance Garner</t>
  </si>
  <si>
    <t>Tiffany Breinig</t>
  </si>
  <si>
    <t>Jaque Beckman</t>
  </si>
  <si>
    <t>Chris Crawford</t>
  </si>
  <si>
    <t>Terry Davis</t>
  </si>
  <si>
    <t>Mary McWilliams</t>
  </si>
  <si>
    <t>Mike Smith</t>
  </si>
  <si>
    <t>Steve Pool</t>
  </si>
  <si>
    <t>Karen Fountain</t>
  </si>
  <si>
    <t>Kendal Grecian</t>
  </si>
  <si>
    <t>Johnella Holmes Reece</t>
  </si>
  <si>
    <t>Bobbie Holsman</t>
  </si>
  <si>
    <t>Big Al</t>
  </si>
  <si>
    <t>Cynthia Knipp</t>
  </si>
  <si>
    <t>Valerie</t>
  </si>
  <si>
    <t>Chase Keiswetter</t>
  </si>
  <si>
    <t>Liz VanLoenen</t>
  </si>
  <si>
    <t>Nathan Reeves</t>
  </si>
  <si>
    <t>Lowell Hixon</t>
  </si>
  <si>
    <t>Kelsie Kenyon</t>
  </si>
  <si>
    <t>Darrin Desbien</t>
  </si>
  <si>
    <t>Allodium</t>
  </si>
  <si>
    <t>Bryant</t>
  </si>
  <si>
    <t>Graham</t>
  </si>
  <si>
    <t>Nicodemus</t>
  </si>
  <si>
    <t>Pioneer</t>
  </si>
  <si>
    <t>Solomon</t>
  </si>
  <si>
    <t>Indiana</t>
  </si>
  <si>
    <t>Millbrook</t>
  </si>
  <si>
    <t>Morlan</t>
  </si>
  <si>
    <t>Johnella Holmes Reese</t>
  </si>
  <si>
    <t>Wildhorse</t>
  </si>
  <si>
    <t>HOSPITAL Board Pos. 4</t>
  </si>
  <si>
    <t>Rodger Billips</t>
  </si>
  <si>
    <t>Deb Keith</t>
  </si>
  <si>
    <t xml:space="preserve">Abstract of Votes Cast at the General Election in </t>
  </si>
  <si>
    <t>certify that the foregoing abstract of votes cast at the General election held in Graham County on the 5th day of November A.D. 2024, is</t>
  </si>
  <si>
    <t xml:space="preserve"> TOTALS</t>
  </si>
  <si>
    <t>PROVISIONAL</t>
  </si>
  <si>
    <t>this 15th day of November A.D. 2024.</t>
  </si>
  <si>
    <t xml:space="preserve">                  Witness our hands, this 15th day of November A.D. 2024.</t>
  </si>
  <si>
    <t>We, the undersigned, members of the County Board of Canvassers for said County, do hereby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</si>
</sst>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22"/>
      <name val="Arial"/>
      <family val="2"/>
    </font>
    <font>
      <b/>
      <sz val="2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indexed="10"/>
      <name val="Arial"/>
      <family val="2"/>
    </font>
    <font>
      <sz val="19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textRotation="90"/>
    </xf>
    <xf numFmtId="0" fontId="6" fillId="2" borderId="3" xfId="0" applyFont="1" applyFill="1" applyBorder="1"/>
    <xf numFmtId="0" fontId="6" fillId="2" borderId="3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7" fillId="0" borderId="0" xfId="0" applyFont="1"/>
    <xf numFmtId="0" fontId="4" fillId="0" borderId="1" xfId="0" applyFont="1" applyBorder="1" applyAlignment="1">
      <alignment horizontal="center" textRotation="90"/>
    </xf>
    <xf numFmtId="0" fontId="6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/>
    </xf>
    <xf numFmtId="15" fontId="1" fillId="0" borderId="0" xfId="0" quotePrefix="1" applyNumberFormat="1" applyFont="1"/>
    <xf numFmtId="9" fontId="3" fillId="0" borderId="0" xfId="0" applyNumberFormat="1" applyFont="1"/>
    <xf numFmtId="0" fontId="3" fillId="0" borderId="0" xfId="0" applyFont="1" applyAlignment="1">
      <alignment horizontal="right"/>
    </xf>
    <xf numFmtId="0" fontId="6" fillId="2" borderId="2" xfId="0" applyFont="1" applyFill="1" applyBorder="1"/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6" xfId="0" applyFont="1" applyBorder="1"/>
    <xf numFmtId="0" fontId="6" fillId="0" borderId="5" xfId="0" applyFont="1" applyBorder="1" applyAlignment="1">
      <alignment horizontal="left"/>
    </xf>
    <xf numFmtId="0" fontId="10" fillId="2" borderId="1" xfId="0" applyFont="1" applyFill="1" applyBorder="1"/>
    <xf numFmtId="0" fontId="5" fillId="2" borderId="3" xfId="0" applyFont="1" applyFill="1" applyBorder="1"/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/>
    <xf numFmtId="0" fontId="5" fillId="2" borderId="3" xfId="0" applyFont="1" applyFill="1" applyBorder="1" applyAlignment="1">
      <alignment horizontal="left"/>
    </xf>
    <xf numFmtId="0" fontId="5" fillId="2" borderId="2" xfId="0" applyFont="1" applyFill="1" applyBorder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11" fillId="0" borderId="1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1" xfId="0" applyFont="1" applyBorder="1"/>
    <xf numFmtId="0" fontId="11" fillId="0" borderId="2" xfId="0" applyFont="1" applyBorder="1"/>
    <xf numFmtId="0" fontId="11" fillId="0" borderId="0" xfId="0" applyFont="1"/>
    <xf numFmtId="0" fontId="12" fillId="2" borderId="5" xfId="0" applyFont="1" applyFill="1" applyBorder="1"/>
    <xf numFmtId="0" fontId="11" fillId="2" borderId="6" xfId="0" applyFont="1" applyFill="1" applyBorder="1"/>
    <xf numFmtId="0" fontId="11" fillId="2" borderId="7" xfId="0" applyFont="1" applyFill="1" applyBorder="1"/>
    <xf numFmtId="0" fontId="11" fillId="2" borderId="6" xfId="0" applyFont="1" applyFill="1" applyBorder="1" applyAlignment="1">
      <alignment horizontal="center"/>
    </xf>
    <xf numFmtId="0" fontId="11" fillId="2" borderId="2" xfId="0" applyFont="1" applyFill="1" applyBorder="1"/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2" borderId="8" xfId="0" applyFont="1" applyFill="1" applyBorder="1"/>
    <xf numFmtId="0" fontId="13" fillId="0" borderId="1" xfId="0" applyFont="1" applyBorder="1" applyAlignment="1">
      <alignment horizontal="right"/>
    </xf>
    <xf numFmtId="0" fontId="11" fillId="0" borderId="2" xfId="0" applyFont="1" applyBorder="1" applyAlignment="1">
      <alignment horizontal="left"/>
    </xf>
    <xf numFmtId="0" fontId="12" fillId="2" borderId="1" xfId="0" applyFont="1" applyFill="1" applyBorder="1"/>
    <xf numFmtId="0" fontId="11" fillId="2" borderId="3" xfId="0" applyFont="1" applyFill="1" applyBorder="1"/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/>
    <xf numFmtId="0" fontId="11" fillId="2" borderId="3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4" fillId="2" borderId="3" xfId="0" applyFont="1" applyFill="1" applyBorder="1"/>
    <xf numFmtId="0" fontId="14" fillId="2" borderId="3" xfId="0" applyFont="1" applyFill="1" applyBorder="1" applyAlignment="1">
      <alignment horizontal="center"/>
    </xf>
    <xf numFmtId="0" fontId="14" fillId="2" borderId="4" xfId="0" applyFont="1" applyFill="1" applyBorder="1"/>
    <xf numFmtId="0" fontId="11" fillId="0" borderId="1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14" fillId="2" borderId="3" xfId="0" applyFont="1" applyFill="1" applyBorder="1" applyAlignment="1">
      <alignment horizontal="left"/>
    </xf>
    <xf numFmtId="0" fontId="11" fillId="0" borderId="1" xfId="0" applyFont="1" applyBorder="1" applyAlignment="1">
      <alignment horizontal="left" vertical="center"/>
    </xf>
    <xf numFmtId="0" fontId="4" fillId="0" borderId="2" xfId="0" applyFont="1" applyBorder="1"/>
    <xf numFmtId="0" fontId="1" fillId="0" borderId="0" xfId="0" applyFont="1" applyAlignment="1">
      <alignment vertical="center"/>
    </xf>
    <xf numFmtId="0" fontId="10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0" fontId="12" fillId="2" borderId="5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2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2" fillId="0" borderId="2" xfId="0" applyFont="1" applyBorder="1" applyAlignment="1">
      <alignment horizontal="center" textRotation="90" wrapText="1"/>
    </xf>
    <xf numFmtId="0" fontId="12" fillId="0" borderId="1" xfId="0" applyFont="1" applyBorder="1" applyAlignment="1">
      <alignment horizontal="center" textRotation="90" wrapText="1"/>
    </xf>
    <xf numFmtId="0" fontId="3" fillId="0" borderId="0" xfId="0" applyFont="1" applyAlignment="1">
      <alignment horizontal="left" wrapText="1"/>
    </xf>
    <xf numFmtId="0" fontId="15" fillId="0" borderId="0" xfId="0" applyFont="1" applyAlignment="1">
      <alignment wrapText="1"/>
    </xf>
    <xf numFmtId="0" fontId="10" fillId="0" borderId="1" xfId="0" applyFont="1" applyBorder="1" applyAlignment="1">
      <alignment horizontal="center" wrapText="1"/>
    </xf>
    <xf numFmtId="0" fontId="10" fillId="0" borderId="2" xfId="0" applyFont="1" applyBorder="1" applyAlignment="1">
      <alignment horizontal="center" textRotation="90" wrapText="1"/>
    </xf>
    <xf numFmtId="0" fontId="10" fillId="0" borderId="1" xfId="0" applyFont="1" applyBorder="1" applyAlignment="1">
      <alignment horizontal="center" textRotation="90" wrapText="1"/>
    </xf>
    <xf numFmtId="0" fontId="10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57227-D86D-4948-ACA5-0FA58E4454FA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E1D49-93BF-4804-886E-A896C2056275}">
  <sheetPr>
    <pageSetUpPr fitToPage="1"/>
  </sheetPr>
  <dimension ref="A1:Y160"/>
  <sheetViews>
    <sheetView view="pageBreakPreview" topLeftCell="B141" zoomScale="70" zoomScaleNormal="95" zoomScaleSheetLayoutView="70" workbookViewId="0">
      <selection activeCell="M161" sqref="M161"/>
    </sheetView>
  </sheetViews>
  <sheetFormatPr defaultRowHeight="12.75" x14ac:dyDescent="0.2"/>
  <cols>
    <col min="1" max="1" width="3.28515625" hidden="1" customWidth="1"/>
    <col min="2" max="2" width="26.7109375" customWidth="1"/>
    <col min="3" max="3" width="30.85546875" customWidth="1"/>
    <col min="5" max="14" width="8.7109375" customWidth="1"/>
    <col min="15" max="15" width="29.5703125" customWidth="1"/>
    <col min="16" max="16" width="7.42578125" style="20" customWidth="1"/>
    <col min="17" max="17" width="7.42578125" customWidth="1"/>
    <col min="18" max="18" width="8.7109375" customWidth="1"/>
    <col min="19" max="19" width="8.7109375" style="20" customWidth="1"/>
    <col min="20" max="25" width="8.7109375" customWidth="1"/>
    <col min="26" max="31" width="9.140625" customWidth="1"/>
  </cols>
  <sheetData>
    <row r="1" spans="2:25" ht="27" x14ac:dyDescent="0.35">
      <c r="B1" s="22" t="s">
        <v>41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2:25" ht="28.5" thickBot="1" x14ac:dyDescent="0.45">
      <c r="B2" s="1" t="s">
        <v>42</v>
      </c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1"/>
      <c r="T2" s="1"/>
      <c r="U2" s="1"/>
      <c r="V2" s="1"/>
      <c r="W2" s="1"/>
      <c r="X2" s="1"/>
      <c r="Y2" s="1"/>
    </row>
    <row r="3" spans="2:25" ht="102.75" thickBot="1" x14ac:dyDescent="0.25">
      <c r="B3" s="8" t="s">
        <v>0</v>
      </c>
      <c r="C3" s="8" t="s">
        <v>1</v>
      </c>
      <c r="D3" s="8" t="s">
        <v>2</v>
      </c>
      <c r="E3" s="9" t="s">
        <v>3</v>
      </c>
      <c r="F3" s="9" t="s">
        <v>4</v>
      </c>
      <c r="G3" s="9" t="s">
        <v>5</v>
      </c>
      <c r="H3" s="9" t="s">
        <v>6</v>
      </c>
      <c r="I3" s="9" t="s">
        <v>7</v>
      </c>
      <c r="J3" s="9" t="s">
        <v>23</v>
      </c>
      <c r="K3" s="9" t="s">
        <v>24</v>
      </c>
      <c r="L3" s="9" t="s">
        <v>25</v>
      </c>
      <c r="M3" s="16" t="s">
        <v>26</v>
      </c>
      <c r="N3" s="9" t="s">
        <v>27</v>
      </c>
      <c r="O3" s="21" t="s">
        <v>1</v>
      </c>
      <c r="P3" s="8" t="s">
        <v>2</v>
      </c>
      <c r="Q3" s="9" t="s">
        <v>28</v>
      </c>
      <c r="R3" s="9" t="s">
        <v>8</v>
      </c>
      <c r="S3" s="9" t="s">
        <v>9</v>
      </c>
      <c r="T3" s="9" t="s">
        <v>10</v>
      </c>
      <c r="U3" s="9" t="s">
        <v>29</v>
      </c>
      <c r="V3" s="9" t="s">
        <v>11</v>
      </c>
      <c r="W3" s="9" t="s">
        <v>12</v>
      </c>
      <c r="X3" s="9" t="s">
        <v>13</v>
      </c>
      <c r="Y3" s="9" t="s">
        <v>14</v>
      </c>
    </row>
    <row r="4" spans="2:25" s="6" customFormat="1" ht="15" customHeight="1" thickBot="1" x14ac:dyDescent="0.3">
      <c r="B4" s="30" t="s">
        <v>160</v>
      </c>
      <c r="C4" s="31"/>
      <c r="D4" s="31"/>
      <c r="E4" s="32"/>
      <c r="F4" s="32"/>
      <c r="G4" s="31"/>
      <c r="H4" s="31"/>
      <c r="I4" s="31"/>
      <c r="J4" s="31"/>
      <c r="K4" s="31"/>
      <c r="L4" s="31"/>
      <c r="M4" s="31"/>
      <c r="N4" s="33"/>
      <c r="O4" s="30" t="s">
        <v>45</v>
      </c>
      <c r="P4" s="34"/>
      <c r="Q4" s="31"/>
      <c r="R4" s="31"/>
      <c r="S4" s="32"/>
      <c r="T4" s="31"/>
      <c r="U4" s="31"/>
      <c r="V4" s="31"/>
      <c r="W4" s="31"/>
      <c r="X4" s="31"/>
      <c r="Y4" s="35"/>
    </row>
    <row r="5" spans="2:25" s="6" customFormat="1" ht="18.95" customHeight="1" thickBot="1" x14ac:dyDescent="0.35">
      <c r="B5" s="36"/>
      <c r="C5" s="41" t="s">
        <v>46</v>
      </c>
      <c r="D5" s="42"/>
      <c r="E5" s="42">
        <v>2</v>
      </c>
      <c r="F5" s="42"/>
      <c r="G5" s="42">
        <v>2</v>
      </c>
      <c r="H5" s="42">
        <v>1</v>
      </c>
      <c r="I5" s="42">
        <v>2</v>
      </c>
      <c r="J5" s="42">
        <v>5</v>
      </c>
      <c r="K5" s="42">
        <v>31</v>
      </c>
      <c r="L5" s="42">
        <v>5</v>
      </c>
      <c r="M5" s="42"/>
      <c r="N5" s="42">
        <v>2</v>
      </c>
      <c r="O5" s="41" t="s">
        <v>46</v>
      </c>
      <c r="P5" s="37"/>
      <c r="Q5" s="38">
        <v>1</v>
      </c>
      <c r="R5" s="38"/>
      <c r="S5" s="38">
        <v>3</v>
      </c>
      <c r="T5" s="38">
        <v>3</v>
      </c>
      <c r="U5" s="38"/>
      <c r="V5" s="38">
        <v>4</v>
      </c>
      <c r="W5" s="38">
        <v>3</v>
      </c>
      <c r="X5" s="36">
        <v>6</v>
      </c>
      <c r="Y5" s="38">
        <f t="shared" ref="Y5:Y30" si="0">SUM(D5:X5)</f>
        <v>70</v>
      </c>
    </row>
    <row r="6" spans="2:25" s="6" customFormat="1" ht="18.95" customHeight="1" thickBot="1" x14ac:dyDescent="0.35">
      <c r="B6" s="36"/>
      <c r="C6" s="41" t="s">
        <v>47</v>
      </c>
      <c r="D6" s="42"/>
      <c r="E6" s="42">
        <v>1</v>
      </c>
      <c r="F6" s="42"/>
      <c r="G6" s="42"/>
      <c r="H6" s="42"/>
      <c r="I6" s="42"/>
      <c r="J6" s="42"/>
      <c r="K6" s="42"/>
      <c r="L6" s="42"/>
      <c r="M6" s="42"/>
      <c r="N6" s="42"/>
      <c r="O6" s="41" t="s">
        <v>47</v>
      </c>
      <c r="P6" s="37"/>
      <c r="Q6" s="38"/>
      <c r="R6" s="38"/>
      <c r="S6" s="38"/>
      <c r="T6" s="38"/>
      <c r="U6" s="38"/>
      <c r="V6" s="38"/>
      <c r="W6" s="38"/>
      <c r="X6" s="36"/>
      <c r="Y6" s="38">
        <f t="shared" si="0"/>
        <v>1</v>
      </c>
    </row>
    <row r="7" spans="2:25" s="6" customFormat="1" ht="18.95" customHeight="1" thickBot="1" x14ac:dyDescent="0.35">
      <c r="B7" s="36"/>
      <c r="C7" s="41" t="s">
        <v>49</v>
      </c>
      <c r="D7" s="42"/>
      <c r="E7" s="42"/>
      <c r="F7" s="42">
        <v>1</v>
      </c>
      <c r="G7" s="42"/>
      <c r="H7" s="42"/>
      <c r="I7" s="42"/>
      <c r="J7" s="42"/>
      <c r="K7" s="42"/>
      <c r="L7" s="42"/>
      <c r="M7" s="42"/>
      <c r="N7" s="42"/>
      <c r="O7" s="41" t="s">
        <v>49</v>
      </c>
      <c r="P7" s="37"/>
      <c r="Q7" s="38"/>
      <c r="R7" s="38"/>
      <c r="S7" s="38"/>
      <c r="T7" s="38"/>
      <c r="U7" s="38"/>
      <c r="V7" s="38"/>
      <c r="W7" s="38"/>
      <c r="X7" s="36"/>
      <c r="Y7" s="38">
        <f t="shared" si="0"/>
        <v>1</v>
      </c>
    </row>
    <row r="8" spans="2:25" s="6" customFormat="1" ht="18.95" customHeight="1" thickBot="1" x14ac:dyDescent="0.35">
      <c r="B8" s="36"/>
      <c r="C8" s="41" t="s">
        <v>50</v>
      </c>
      <c r="D8" s="42"/>
      <c r="E8" s="42"/>
      <c r="F8" s="42">
        <v>2</v>
      </c>
      <c r="G8" s="42"/>
      <c r="H8" s="42"/>
      <c r="I8" s="42"/>
      <c r="J8" s="42"/>
      <c r="K8" s="42"/>
      <c r="L8" s="42"/>
      <c r="M8" s="42"/>
      <c r="N8" s="42"/>
      <c r="O8" s="41" t="s">
        <v>50</v>
      </c>
      <c r="P8" s="37"/>
      <c r="Q8" s="38"/>
      <c r="R8" s="38"/>
      <c r="S8" s="38"/>
      <c r="T8" s="38"/>
      <c r="U8" s="38"/>
      <c r="V8" s="38"/>
      <c r="W8" s="38"/>
      <c r="X8" s="36"/>
      <c r="Y8" s="38">
        <f t="shared" si="0"/>
        <v>2</v>
      </c>
    </row>
    <row r="9" spans="2:25" s="6" customFormat="1" ht="18.95" customHeight="1" thickBot="1" x14ac:dyDescent="0.35">
      <c r="B9" s="36"/>
      <c r="C9" s="41" t="s">
        <v>53</v>
      </c>
      <c r="D9" s="42"/>
      <c r="E9" s="42"/>
      <c r="F9" s="42"/>
      <c r="G9" s="42"/>
      <c r="H9" s="42">
        <v>1</v>
      </c>
      <c r="I9" s="42"/>
      <c r="J9" s="42"/>
      <c r="K9" s="42"/>
      <c r="L9" s="42"/>
      <c r="M9" s="42"/>
      <c r="N9" s="42"/>
      <c r="O9" s="41" t="s">
        <v>53</v>
      </c>
      <c r="P9" s="37"/>
      <c r="Q9" s="38"/>
      <c r="R9" s="38"/>
      <c r="S9" s="38"/>
      <c r="T9" s="38"/>
      <c r="U9" s="38"/>
      <c r="V9" s="38"/>
      <c r="W9" s="38"/>
      <c r="X9" s="36"/>
      <c r="Y9" s="38">
        <f t="shared" si="0"/>
        <v>1</v>
      </c>
    </row>
    <row r="10" spans="2:25" s="6" customFormat="1" ht="18.95" customHeight="1" thickBot="1" x14ac:dyDescent="0.35">
      <c r="B10" s="36"/>
      <c r="C10" s="41" t="s">
        <v>55</v>
      </c>
      <c r="D10" s="42"/>
      <c r="E10" s="42"/>
      <c r="F10" s="42"/>
      <c r="G10" s="42"/>
      <c r="H10" s="42"/>
      <c r="I10" s="42">
        <v>1</v>
      </c>
      <c r="J10" s="42"/>
      <c r="K10" s="42"/>
      <c r="L10" s="42"/>
      <c r="M10" s="42"/>
      <c r="N10" s="42"/>
      <c r="O10" s="41" t="s">
        <v>55</v>
      </c>
      <c r="P10" s="37"/>
      <c r="Q10" s="38"/>
      <c r="R10" s="38"/>
      <c r="S10" s="38">
        <v>1</v>
      </c>
      <c r="T10" s="38"/>
      <c r="U10" s="38"/>
      <c r="V10" s="38"/>
      <c r="W10" s="38"/>
      <c r="X10" s="36"/>
      <c r="Y10" s="38">
        <f t="shared" si="0"/>
        <v>2</v>
      </c>
    </row>
    <row r="11" spans="2:25" s="6" customFormat="1" ht="18.95" customHeight="1" thickBot="1" x14ac:dyDescent="0.35">
      <c r="B11" s="36"/>
      <c r="C11" s="41" t="s">
        <v>56</v>
      </c>
      <c r="D11" s="42"/>
      <c r="E11" s="42"/>
      <c r="F11" s="42"/>
      <c r="G11" s="42"/>
      <c r="H11" s="42"/>
      <c r="I11" s="42"/>
      <c r="J11" s="42">
        <v>1</v>
      </c>
      <c r="K11" s="42"/>
      <c r="L11" s="42">
        <v>1</v>
      </c>
      <c r="M11" s="42"/>
      <c r="N11" s="42"/>
      <c r="O11" s="41" t="s">
        <v>56</v>
      </c>
      <c r="P11" s="37"/>
      <c r="Q11" s="38"/>
      <c r="R11" s="38"/>
      <c r="S11" s="38"/>
      <c r="T11" s="38"/>
      <c r="U11" s="38"/>
      <c r="V11" s="38"/>
      <c r="W11" s="38"/>
      <c r="X11" s="36"/>
      <c r="Y11" s="38">
        <f t="shared" si="0"/>
        <v>2</v>
      </c>
    </row>
    <row r="12" spans="2:25" s="6" customFormat="1" ht="18.95" customHeight="1" thickBot="1" x14ac:dyDescent="0.35">
      <c r="B12" s="36"/>
      <c r="C12" s="41" t="s">
        <v>57</v>
      </c>
      <c r="D12" s="42"/>
      <c r="E12" s="42"/>
      <c r="F12" s="42"/>
      <c r="G12" s="42"/>
      <c r="H12" s="42"/>
      <c r="I12" s="42"/>
      <c r="J12" s="42">
        <v>1</v>
      </c>
      <c r="K12" s="42"/>
      <c r="L12" s="42"/>
      <c r="M12" s="42"/>
      <c r="N12" s="42"/>
      <c r="O12" s="41" t="s">
        <v>57</v>
      </c>
      <c r="P12" s="37"/>
      <c r="Q12" s="38"/>
      <c r="R12" s="38"/>
      <c r="S12" s="38"/>
      <c r="T12" s="38"/>
      <c r="U12" s="38"/>
      <c r="V12" s="38"/>
      <c r="W12" s="38"/>
      <c r="X12" s="36"/>
      <c r="Y12" s="38">
        <f t="shared" si="0"/>
        <v>1</v>
      </c>
    </row>
    <row r="13" spans="2:25" s="6" customFormat="1" ht="18.95" customHeight="1" thickBot="1" x14ac:dyDescent="0.35">
      <c r="B13" s="36"/>
      <c r="C13" s="41" t="s">
        <v>58</v>
      </c>
      <c r="D13" s="42"/>
      <c r="E13" s="42"/>
      <c r="F13" s="42"/>
      <c r="G13" s="42"/>
      <c r="H13" s="42"/>
      <c r="I13" s="42"/>
      <c r="J13" s="42">
        <v>1</v>
      </c>
      <c r="K13" s="42"/>
      <c r="L13" s="42">
        <v>1</v>
      </c>
      <c r="M13" s="42"/>
      <c r="N13" s="42"/>
      <c r="O13" s="41" t="s">
        <v>58</v>
      </c>
      <c r="P13" s="37"/>
      <c r="Q13" s="38"/>
      <c r="R13" s="38"/>
      <c r="S13" s="38"/>
      <c r="T13" s="38"/>
      <c r="U13" s="38"/>
      <c r="V13" s="38"/>
      <c r="W13" s="38"/>
      <c r="X13" s="36"/>
      <c r="Y13" s="38">
        <f t="shared" si="0"/>
        <v>2</v>
      </c>
    </row>
    <row r="14" spans="2:25" s="6" customFormat="1" ht="18.95" customHeight="1" thickBot="1" x14ac:dyDescent="0.35">
      <c r="B14" s="36"/>
      <c r="C14" s="41" t="s">
        <v>30</v>
      </c>
      <c r="D14" s="42"/>
      <c r="E14" s="42"/>
      <c r="F14" s="42"/>
      <c r="G14" s="42"/>
      <c r="H14" s="42"/>
      <c r="I14" s="42"/>
      <c r="J14" s="42"/>
      <c r="K14" s="42">
        <v>2</v>
      </c>
      <c r="L14" s="42"/>
      <c r="M14" s="42"/>
      <c r="N14" s="42">
        <v>1</v>
      </c>
      <c r="O14" s="41" t="s">
        <v>30</v>
      </c>
      <c r="P14" s="37"/>
      <c r="Q14" s="38"/>
      <c r="R14" s="38"/>
      <c r="S14" s="38">
        <v>1</v>
      </c>
      <c r="T14" s="38"/>
      <c r="U14" s="38"/>
      <c r="V14" s="38"/>
      <c r="W14" s="38">
        <v>1</v>
      </c>
      <c r="X14" s="36"/>
      <c r="Y14" s="38">
        <f t="shared" si="0"/>
        <v>5</v>
      </c>
    </row>
    <row r="15" spans="2:25" s="6" customFormat="1" ht="18.95" customHeight="1" thickBot="1" x14ac:dyDescent="0.35">
      <c r="B15" s="36"/>
      <c r="C15" s="41" t="s">
        <v>59</v>
      </c>
      <c r="D15" s="42"/>
      <c r="E15" s="42"/>
      <c r="F15" s="42"/>
      <c r="G15" s="42"/>
      <c r="H15" s="42"/>
      <c r="I15" s="42"/>
      <c r="J15" s="42"/>
      <c r="K15" s="42">
        <v>1</v>
      </c>
      <c r="L15" s="42"/>
      <c r="M15" s="42"/>
      <c r="N15" s="42"/>
      <c r="O15" s="41" t="s">
        <v>59</v>
      </c>
      <c r="P15" s="37"/>
      <c r="Q15" s="38"/>
      <c r="R15" s="38"/>
      <c r="S15" s="38"/>
      <c r="T15" s="38"/>
      <c r="U15" s="38"/>
      <c r="V15" s="38"/>
      <c r="W15" s="38"/>
      <c r="X15" s="36"/>
      <c r="Y15" s="38">
        <f t="shared" si="0"/>
        <v>1</v>
      </c>
    </row>
    <row r="16" spans="2:25" s="6" customFormat="1" ht="18.95" customHeight="1" thickBot="1" x14ac:dyDescent="0.35">
      <c r="B16" s="36"/>
      <c r="C16" s="41" t="s">
        <v>60</v>
      </c>
      <c r="D16" s="42"/>
      <c r="E16" s="42"/>
      <c r="F16" s="42"/>
      <c r="G16" s="42"/>
      <c r="H16" s="42"/>
      <c r="I16" s="42"/>
      <c r="J16" s="42"/>
      <c r="K16" s="42">
        <v>1</v>
      </c>
      <c r="L16" s="42"/>
      <c r="M16" s="42"/>
      <c r="N16" s="42"/>
      <c r="O16" s="41" t="s">
        <v>60</v>
      </c>
      <c r="P16" s="37"/>
      <c r="Q16" s="38"/>
      <c r="R16" s="38"/>
      <c r="S16" s="38"/>
      <c r="T16" s="38"/>
      <c r="U16" s="38"/>
      <c r="V16" s="38"/>
      <c r="W16" s="38"/>
      <c r="X16" s="36"/>
      <c r="Y16" s="38">
        <f t="shared" si="0"/>
        <v>1</v>
      </c>
    </row>
    <row r="17" spans="2:25" s="6" customFormat="1" ht="18.95" customHeight="1" thickBot="1" x14ac:dyDescent="0.35">
      <c r="B17" s="36"/>
      <c r="C17" s="41" t="s">
        <v>61</v>
      </c>
      <c r="D17" s="42"/>
      <c r="E17" s="42"/>
      <c r="F17" s="42"/>
      <c r="G17" s="42"/>
      <c r="H17" s="42"/>
      <c r="I17" s="42"/>
      <c r="J17" s="42"/>
      <c r="K17" s="42">
        <v>1</v>
      </c>
      <c r="L17" s="42"/>
      <c r="M17" s="42"/>
      <c r="N17" s="42"/>
      <c r="O17" s="41" t="s">
        <v>61</v>
      </c>
      <c r="P17" s="37"/>
      <c r="Q17" s="38"/>
      <c r="R17" s="38"/>
      <c r="S17" s="38"/>
      <c r="T17" s="38"/>
      <c r="U17" s="38"/>
      <c r="V17" s="38"/>
      <c r="W17" s="38"/>
      <c r="X17" s="36"/>
      <c r="Y17" s="38">
        <f t="shared" si="0"/>
        <v>1</v>
      </c>
    </row>
    <row r="18" spans="2:25" s="6" customFormat="1" ht="18.95" customHeight="1" thickBot="1" x14ac:dyDescent="0.35">
      <c r="B18" s="36"/>
      <c r="C18" s="41" t="s">
        <v>62</v>
      </c>
      <c r="D18" s="42"/>
      <c r="E18" s="42"/>
      <c r="F18" s="42"/>
      <c r="G18" s="42"/>
      <c r="H18" s="42"/>
      <c r="I18" s="42"/>
      <c r="J18" s="42"/>
      <c r="K18" s="42">
        <v>1</v>
      </c>
      <c r="L18" s="42">
        <v>1</v>
      </c>
      <c r="M18" s="42">
        <v>1</v>
      </c>
      <c r="N18" s="42">
        <v>1</v>
      </c>
      <c r="O18" s="41" t="s">
        <v>62</v>
      </c>
      <c r="P18" s="37"/>
      <c r="Q18" s="38"/>
      <c r="R18" s="38"/>
      <c r="S18" s="38"/>
      <c r="T18" s="38"/>
      <c r="U18" s="38"/>
      <c r="V18" s="38"/>
      <c r="W18" s="38"/>
      <c r="X18" s="36"/>
      <c r="Y18" s="38">
        <f t="shared" si="0"/>
        <v>4</v>
      </c>
    </row>
    <row r="19" spans="2:25" s="6" customFormat="1" ht="18.95" customHeight="1" thickBot="1" x14ac:dyDescent="0.35">
      <c r="B19" s="36"/>
      <c r="C19" s="41" t="s">
        <v>63</v>
      </c>
      <c r="D19" s="42"/>
      <c r="E19" s="42"/>
      <c r="F19" s="42"/>
      <c r="G19" s="42"/>
      <c r="H19" s="42"/>
      <c r="I19" s="42"/>
      <c r="J19" s="42"/>
      <c r="K19" s="42">
        <v>1</v>
      </c>
      <c r="L19" s="42"/>
      <c r="M19" s="42"/>
      <c r="N19" s="42"/>
      <c r="O19" s="41" t="s">
        <v>63</v>
      </c>
      <c r="P19" s="37"/>
      <c r="Q19" s="38"/>
      <c r="R19" s="38"/>
      <c r="S19" s="38"/>
      <c r="T19" s="38"/>
      <c r="U19" s="38"/>
      <c r="V19" s="38"/>
      <c r="W19" s="38"/>
      <c r="X19" s="36">
        <v>1</v>
      </c>
      <c r="Y19" s="38">
        <f t="shared" si="0"/>
        <v>2</v>
      </c>
    </row>
    <row r="20" spans="2:25" s="6" customFormat="1" ht="18.95" customHeight="1" thickBot="1" x14ac:dyDescent="0.35">
      <c r="B20" s="36"/>
      <c r="C20" s="41" t="s">
        <v>64</v>
      </c>
      <c r="D20" s="42"/>
      <c r="E20" s="42"/>
      <c r="F20" s="42"/>
      <c r="G20" s="42"/>
      <c r="H20" s="42"/>
      <c r="I20" s="42"/>
      <c r="J20" s="42"/>
      <c r="K20" s="42">
        <v>1</v>
      </c>
      <c r="L20" s="42"/>
      <c r="M20" s="42"/>
      <c r="N20" s="42"/>
      <c r="O20" s="41" t="s">
        <v>64</v>
      </c>
      <c r="P20" s="37"/>
      <c r="Q20" s="38"/>
      <c r="R20" s="38"/>
      <c r="S20" s="38"/>
      <c r="T20" s="38"/>
      <c r="U20" s="38"/>
      <c r="V20" s="38"/>
      <c r="W20" s="38"/>
      <c r="X20" s="36"/>
      <c r="Y20" s="38">
        <f t="shared" si="0"/>
        <v>1</v>
      </c>
    </row>
    <row r="21" spans="2:25" s="6" customFormat="1" ht="18.95" customHeight="1" thickBot="1" x14ac:dyDescent="0.35">
      <c r="B21" s="36"/>
      <c r="C21" s="41" t="s">
        <v>65</v>
      </c>
      <c r="D21" s="42"/>
      <c r="E21" s="42"/>
      <c r="F21" s="42"/>
      <c r="G21" s="42"/>
      <c r="H21" s="42"/>
      <c r="I21" s="42"/>
      <c r="J21" s="42"/>
      <c r="K21" s="42">
        <v>1</v>
      </c>
      <c r="L21" s="42"/>
      <c r="M21" s="42"/>
      <c r="N21" s="42"/>
      <c r="O21" s="41" t="s">
        <v>65</v>
      </c>
      <c r="P21" s="37"/>
      <c r="Q21" s="38"/>
      <c r="R21" s="38"/>
      <c r="S21" s="38"/>
      <c r="T21" s="38"/>
      <c r="U21" s="38"/>
      <c r="V21" s="38"/>
      <c r="W21" s="38"/>
      <c r="X21" s="36"/>
      <c r="Y21" s="38">
        <f t="shared" si="0"/>
        <v>1</v>
      </c>
    </row>
    <row r="22" spans="2:25" s="6" customFormat="1" ht="18.95" customHeight="1" thickBot="1" x14ac:dyDescent="0.35">
      <c r="B22" s="36"/>
      <c r="C22" s="41" t="s">
        <v>66</v>
      </c>
      <c r="D22" s="42"/>
      <c r="E22" s="42"/>
      <c r="F22" s="42"/>
      <c r="G22" s="42"/>
      <c r="H22" s="42"/>
      <c r="I22" s="42"/>
      <c r="J22" s="42"/>
      <c r="K22" s="42">
        <v>1</v>
      </c>
      <c r="L22" s="42"/>
      <c r="M22" s="42"/>
      <c r="N22" s="42"/>
      <c r="O22" s="41" t="s">
        <v>66</v>
      </c>
      <c r="P22" s="37"/>
      <c r="Q22" s="38"/>
      <c r="R22" s="38"/>
      <c r="S22" s="38"/>
      <c r="T22" s="38"/>
      <c r="U22" s="38"/>
      <c r="V22" s="38"/>
      <c r="W22" s="38"/>
      <c r="X22" s="36"/>
      <c r="Y22" s="38">
        <f t="shared" si="0"/>
        <v>1</v>
      </c>
    </row>
    <row r="23" spans="2:25" s="6" customFormat="1" ht="18.95" customHeight="1" thickBot="1" x14ac:dyDescent="0.35">
      <c r="B23" s="36"/>
      <c r="C23" s="41" t="s">
        <v>67</v>
      </c>
      <c r="D23" s="42"/>
      <c r="E23" s="42"/>
      <c r="F23" s="42"/>
      <c r="G23" s="42"/>
      <c r="H23" s="42"/>
      <c r="I23" s="42"/>
      <c r="J23" s="42"/>
      <c r="K23" s="42">
        <v>1</v>
      </c>
      <c r="L23" s="42"/>
      <c r="M23" s="42"/>
      <c r="N23" s="42"/>
      <c r="O23" s="41" t="s">
        <v>67</v>
      </c>
      <c r="P23" s="37"/>
      <c r="Q23" s="38"/>
      <c r="R23" s="38"/>
      <c r="S23" s="38"/>
      <c r="T23" s="38"/>
      <c r="U23" s="38"/>
      <c r="V23" s="38"/>
      <c r="W23" s="38"/>
      <c r="X23" s="36"/>
      <c r="Y23" s="38">
        <f t="shared" si="0"/>
        <v>1</v>
      </c>
    </row>
    <row r="24" spans="2:25" s="6" customFormat="1" ht="18.95" customHeight="1" thickBot="1" x14ac:dyDescent="0.35">
      <c r="B24" s="36"/>
      <c r="C24" s="41" t="s">
        <v>68</v>
      </c>
      <c r="D24" s="42"/>
      <c r="E24" s="42"/>
      <c r="F24" s="42"/>
      <c r="G24" s="42"/>
      <c r="H24" s="42"/>
      <c r="I24" s="42"/>
      <c r="J24" s="42"/>
      <c r="K24" s="42">
        <v>1</v>
      </c>
      <c r="L24" s="42">
        <v>2</v>
      </c>
      <c r="M24" s="42"/>
      <c r="N24" s="42">
        <v>1</v>
      </c>
      <c r="O24" s="41" t="s">
        <v>68</v>
      </c>
      <c r="P24" s="37"/>
      <c r="Q24" s="38"/>
      <c r="R24" s="38"/>
      <c r="S24" s="38"/>
      <c r="T24" s="38"/>
      <c r="U24" s="38"/>
      <c r="V24" s="38"/>
      <c r="W24" s="38"/>
      <c r="X24" s="36"/>
      <c r="Y24" s="38">
        <f t="shared" si="0"/>
        <v>4</v>
      </c>
    </row>
    <row r="25" spans="2:25" s="6" customFormat="1" ht="18.95" customHeight="1" thickBot="1" x14ac:dyDescent="0.35">
      <c r="B25" s="36"/>
      <c r="C25" s="41" t="s">
        <v>69</v>
      </c>
      <c r="D25" s="42"/>
      <c r="E25" s="42"/>
      <c r="F25" s="42"/>
      <c r="G25" s="42"/>
      <c r="H25" s="42"/>
      <c r="I25" s="42"/>
      <c r="J25" s="42"/>
      <c r="K25" s="42">
        <v>1</v>
      </c>
      <c r="L25" s="42"/>
      <c r="M25" s="42"/>
      <c r="N25" s="42"/>
      <c r="O25" s="41" t="s">
        <v>69</v>
      </c>
      <c r="P25" s="37"/>
      <c r="Q25" s="38"/>
      <c r="R25" s="38"/>
      <c r="S25" s="38"/>
      <c r="T25" s="38"/>
      <c r="U25" s="38"/>
      <c r="V25" s="38"/>
      <c r="W25" s="38"/>
      <c r="X25" s="36"/>
      <c r="Y25" s="38">
        <f t="shared" si="0"/>
        <v>1</v>
      </c>
    </row>
    <row r="26" spans="2:25" s="6" customFormat="1" ht="18.95" customHeight="1" thickBot="1" x14ac:dyDescent="0.35">
      <c r="B26" s="36"/>
      <c r="C26" s="41" t="s">
        <v>70</v>
      </c>
      <c r="D26" s="42"/>
      <c r="E26" s="42"/>
      <c r="F26" s="42"/>
      <c r="G26" s="42"/>
      <c r="H26" s="42"/>
      <c r="I26" s="42"/>
      <c r="J26" s="42"/>
      <c r="K26" s="42">
        <v>1</v>
      </c>
      <c r="L26" s="42"/>
      <c r="M26" s="42"/>
      <c r="N26" s="42"/>
      <c r="O26" s="41" t="s">
        <v>70</v>
      </c>
      <c r="P26" s="37"/>
      <c r="Q26" s="38"/>
      <c r="R26" s="38"/>
      <c r="S26" s="38"/>
      <c r="T26" s="38"/>
      <c r="U26" s="38"/>
      <c r="V26" s="38"/>
      <c r="W26" s="38"/>
      <c r="X26" s="36"/>
      <c r="Y26" s="38">
        <f t="shared" si="0"/>
        <v>1</v>
      </c>
    </row>
    <row r="27" spans="2:25" s="6" customFormat="1" ht="18.95" customHeight="1" thickBot="1" x14ac:dyDescent="0.35">
      <c r="B27" s="36"/>
      <c r="C27" s="41" t="s">
        <v>71</v>
      </c>
      <c r="D27" s="42"/>
      <c r="E27" s="42"/>
      <c r="F27" s="42"/>
      <c r="G27" s="42"/>
      <c r="H27" s="42"/>
      <c r="I27" s="42"/>
      <c r="J27" s="42"/>
      <c r="K27" s="42">
        <v>1</v>
      </c>
      <c r="L27" s="42"/>
      <c r="M27" s="42"/>
      <c r="N27" s="42"/>
      <c r="O27" s="41" t="s">
        <v>71</v>
      </c>
      <c r="P27" s="37"/>
      <c r="Q27" s="38"/>
      <c r="R27" s="38"/>
      <c r="S27" s="38"/>
      <c r="T27" s="38"/>
      <c r="U27" s="38"/>
      <c r="V27" s="38"/>
      <c r="W27" s="38"/>
      <c r="X27" s="36"/>
      <c r="Y27" s="38">
        <f t="shared" si="0"/>
        <v>1</v>
      </c>
    </row>
    <row r="28" spans="2:25" s="6" customFormat="1" ht="18.95" customHeight="1" thickBot="1" x14ac:dyDescent="0.35">
      <c r="B28" s="36"/>
      <c r="C28" s="41" t="s">
        <v>72</v>
      </c>
      <c r="D28" s="42"/>
      <c r="E28" s="42"/>
      <c r="F28" s="42"/>
      <c r="G28" s="42"/>
      <c r="H28" s="42"/>
      <c r="I28" s="42"/>
      <c r="J28" s="42"/>
      <c r="K28" s="42">
        <v>1</v>
      </c>
      <c r="L28" s="42"/>
      <c r="M28" s="42"/>
      <c r="N28" s="42"/>
      <c r="O28" s="41" t="s">
        <v>72</v>
      </c>
      <c r="P28" s="37"/>
      <c r="Q28" s="38"/>
      <c r="R28" s="38"/>
      <c r="S28" s="38"/>
      <c r="T28" s="38"/>
      <c r="U28" s="38"/>
      <c r="V28" s="38"/>
      <c r="W28" s="38"/>
      <c r="X28" s="36"/>
      <c r="Y28" s="38">
        <f t="shared" si="0"/>
        <v>1</v>
      </c>
    </row>
    <row r="29" spans="2:25" s="6" customFormat="1" ht="18.95" customHeight="1" thickBot="1" x14ac:dyDescent="0.35">
      <c r="B29" s="36"/>
      <c r="C29" s="41" t="s">
        <v>73</v>
      </c>
      <c r="D29" s="42"/>
      <c r="E29" s="42"/>
      <c r="F29" s="42"/>
      <c r="G29" s="42"/>
      <c r="H29" s="42"/>
      <c r="I29" s="42"/>
      <c r="J29" s="42"/>
      <c r="K29" s="42">
        <v>1</v>
      </c>
      <c r="L29" s="42"/>
      <c r="M29" s="42"/>
      <c r="N29" s="42"/>
      <c r="O29" s="41" t="s">
        <v>73</v>
      </c>
      <c r="P29" s="37"/>
      <c r="Q29" s="38"/>
      <c r="R29" s="38"/>
      <c r="S29" s="38"/>
      <c r="T29" s="38"/>
      <c r="U29" s="38"/>
      <c r="V29" s="38"/>
      <c r="W29" s="38"/>
      <c r="X29" s="36"/>
      <c r="Y29" s="38">
        <f t="shared" si="0"/>
        <v>1</v>
      </c>
    </row>
    <row r="30" spans="2:25" s="6" customFormat="1" ht="18.95" customHeight="1" thickBot="1" x14ac:dyDescent="0.35">
      <c r="B30" s="36"/>
      <c r="C30" s="41" t="s">
        <v>74</v>
      </c>
      <c r="D30" s="42"/>
      <c r="E30" s="42"/>
      <c r="F30" s="42"/>
      <c r="G30" s="42"/>
      <c r="H30" s="42"/>
      <c r="I30" s="42"/>
      <c r="J30" s="42"/>
      <c r="K30" s="42">
        <v>1</v>
      </c>
      <c r="L30" s="42"/>
      <c r="M30" s="42"/>
      <c r="N30" s="42"/>
      <c r="O30" s="41" t="s">
        <v>74</v>
      </c>
      <c r="P30" s="37"/>
      <c r="Q30" s="38"/>
      <c r="R30" s="38"/>
      <c r="S30" s="38"/>
      <c r="T30" s="38"/>
      <c r="U30" s="38"/>
      <c r="V30" s="38"/>
      <c r="W30" s="38"/>
      <c r="X30" s="36"/>
      <c r="Y30" s="38">
        <f t="shared" si="0"/>
        <v>1</v>
      </c>
    </row>
    <row r="31" spans="2:25" s="6" customFormat="1" ht="18.95" customHeight="1" thickBot="1" x14ac:dyDescent="0.35">
      <c r="B31" s="36"/>
      <c r="C31" s="41" t="s">
        <v>77</v>
      </c>
      <c r="D31" s="42"/>
      <c r="E31" s="42"/>
      <c r="F31" s="42"/>
      <c r="G31" s="42"/>
      <c r="H31" s="42"/>
      <c r="I31" s="42"/>
      <c r="J31" s="42"/>
      <c r="K31" s="42"/>
      <c r="L31" s="42">
        <v>1</v>
      </c>
      <c r="M31" s="42"/>
      <c r="N31" s="42"/>
      <c r="O31" s="41" t="s">
        <v>77</v>
      </c>
      <c r="P31" s="37"/>
      <c r="Q31" s="38"/>
      <c r="R31" s="38"/>
      <c r="S31" s="38"/>
      <c r="T31" s="38"/>
      <c r="U31" s="38"/>
      <c r="V31" s="38"/>
      <c r="W31" s="38"/>
      <c r="X31" s="36"/>
      <c r="Y31" s="38">
        <f>SUM(L31:X31)</f>
        <v>1</v>
      </c>
    </row>
    <row r="32" spans="2:25" s="6" customFormat="1" ht="18.95" customHeight="1" thickBot="1" x14ac:dyDescent="0.35">
      <c r="B32" s="36"/>
      <c r="C32" s="41" t="s">
        <v>78</v>
      </c>
      <c r="D32" s="42"/>
      <c r="E32" s="42"/>
      <c r="F32" s="42"/>
      <c r="G32" s="42"/>
      <c r="H32" s="42"/>
      <c r="I32" s="42"/>
      <c r="J32" s="42"/>
      <c r="K32" s="42"/>
      <c r="L32" s="42">
        <v>1</v>
      </c>
      <c r="M32" s="42"/>
      <c r="N32" s="42"/>
      <c r="O32" s="41" t="s">
        <v>78</v>
      </c>
      <c r="P32" s="37"/>
      <c r="Q32" s="38"/>
      <c r="R32" s="38"/>
      <c r="S32" s="38"/>
      <c r="T32" s="38"/>
      <c r="U32" s="38"/>
      <c r="V32" s="38"/>
      <c r="W32" s="38"/>
      <c r="X32" s="36"/>
      <c r="Y32" s="38">
        <f>SUM(L32:X32)</f>
        <v>1</v>
      </c>
    </row>
    <row r="33" spans="2:25" s="6" customFormat="1" ht="18.95" customHeight="1" thickBot="1" x14ac:dyDescent="0.35">
      <c r="B33" s="36"/>
      <c r="C33" s="41" t="s">
        <v>79</v>
      </c>
      <c r="D33" s="42"/>
      <c r="E33" s="42"/>
      <c r="F33" s="42"/>
      <c r="G33" s="42"/>
      <c r="H33" s="42"/>
      <c r="I33" s="42"/>
      <c r="J33" s="42"/>
      <c r="K33" s="42"/>
      <c r="L33" s="42">
        <v>1</v>
      </c>
      <c r="M33" s="42"/>
      <c r="N33" s="42"/>
      <c r="O33" s="41" t="s">
        <v>79</v>
      </c>
      <c r="P33" s="37"/>
      <c r="Q33" s="38"/>
      <c r="R33" s="38"/>
      <c r="S33" s="38"/>
      <c r="T33" s="38"/>
      <c r="U33" s="38"/>
      <c r="V33" s="38"/>
      <c r="W33" s="38"/>
      <c r="X33" s="36"/>
      <c r="Y33" s="38">
        <f t="shared" ref="Y33:Y40" si="1">SUM(D33:X33)</f>
        <v>1</v>
      </c>
    </row>
    <row r="34" spans="2:25" s="6" customFormat="1" ht="18.95" customHeight="1" thickBot="1" x14ac:dyDescent="0.35">
      <c r="B34" s="36"/>
      <c r="C34" s="41" t="s">
        <v>80</v>
      </c>
      <c r="D34" s="42"/>
      <c r="E34" s="42"/>
      <c r="F34" s="42"/>
      <c r="G34" s="42"/>
      <c r="H34" s="42"/>
      <c r="I34" s="42"/>
      <c r="J34" s="42"/>
      <c r="K34" s="42"/>
      <c r="L34" s="42">
        <v>1</v>
      </c>
      <c r="M34" s="42"/>
      <c r="N34" s="42"/>
      <c r="O34" s="41" t="s">
        <v>80</v>
      </c>
      <c r="P34" s="37"/>
      <c r="Q34" s="38"/>
      <c r="R34" s="38"/>
      <c r="S34" s="38"/>
      <c r="T34" s="38"/>
      <c r="U34" s="38"/>
      <c r="V34" s="38"/>
      <c r="W34" s="38"/>
      <c r="X34" s="36"/>
      <c r="Y34" s="38">
        <f t="shared" si="1"/>
        <v>1</v>
      </c>
    </row>
    <row r="35" spans="2:25" s="6" customFormat="1" ht="18.95" customHeight="1" thickBot="1" x14ac:dyDescent="0.35">
      <c r="B35" s="36"/>
      <c r="C35" s="41" t="s">
        <v>81</v>
      </c>
      <c r="D35" s="42"/>
      <c r="E35" s="42"/>
      <c r="F35" s="42"/>
      <c r="G35" s="42"/>
      <c r="H35" s="42"/>
      <c r="I35" s="42"/>
      <c r="J35" s="42"/>
      <c r="K35" s="42"/>
      <c r="L35" s="42">
        <v>1</v>
      </c>
      <c r="M35" s="42"/>
      <c r="N35" s="42">
        <v>1</v>
      </c>
      <c r="O35" s="41" t="s">
        <v>81</v>
      </c>
      <c r="P35" s="37"/>
      <c r="Q35" s="38"/>
      <c r="R35" s="38"/>
      <c r="S35" s="38"/>
      <c r="T35" s="38"/>
      <c r="U35" s="38"/>
      <c r="V35" s="38"/>
      <c r="W35" s="38"/>
      <c r="X35" s="36"/>
      <c r="Y35" s="38">
        <f t="shared" si="1"/>
        <v>2</v>
      </c>
    </row>
    <row r="36" spans="2:25" s="6" customFormat="1" ht="18.95" customHeight="1" thickBot="1" x14ac:dyDescent="0.35">
      <c r="B36" s="36"/>
      <c r="C36" s="41" t="s">
        <v>82</v>
      </c>
      <c r="D36" s="42"/>
      <c r="E36" s="42"/>
      <c r="F36" s="42"/>
      <c r="G36" s="42"/>
      <c r="H36" s="42"/>
      <c r="I36" s="42"/>
      <c r="J36" s="42"/>
      <c r="K36" s="42"/>
      <c r="L36" s="42">
        <v>1</v>
      </c>
      <c r="M36" s="42"/>
      <c r="N36" s="42"/>
      <c r="O36" s="41" t="s">
        <v>82</v>
      </c>
      <c r="P36" s="37"/>
      <c r="Q36" s="38"/>
      <c r="R36" s="38"/>
      <c r="S36" s="38"/>
      <c r="T36" s="38"/>
      <c r="U36" s="38"/>
      <c r="V36" s="38"/>
      <c r="W36" s="38"/>
      <c r="X36" s="36"/>
      <c r="Y36" s="38">
        <f t="shared" si="1"/>
        <v>1</v>
      </c>
    </row>
    <row r="37" spans="2:25" s="6" customFormat="1" ht="18.95" customHeight="1" thickBot="1" x14ac:dyDescent="0.35">
      <c r="B37" s="36"/>
      <c r="C37" s="41" t="s">
        <v>84</v>
      </c>
      <c r="D37" s="42"/>
      <c r="E37" s="42"/>
      <c r="F37" s="42"/>
      <c r="G37" s="42"/>
      <c r="H37" s="42"/>
      <c r="I37" s="42"/>
      <c r="J37" s="42"/>
      <c r="K37" s="42"/>
      <c r="L37" s="42"/>
      <c r="M37" s="42">
        <v>1</v>
      </c>
      <c r="N37" s="42"/>
      <c r="O37" s="41" t="s">
        <v>84</v>
      </c>
      <c r="P37" s="37"/>
      <c r="Q37" s="38"/>
      <c r="R37" s="38"/>
      <c r="S37" s="38"/>
      <c r="T37" s="38"/>
      <c r="U37" s="38"/>
      <c r="V37" s="38"/>
      <c r="W37" s="38"/>
      <c r="X37" s="36"/>
      <c r="Y37" s="38">
        <f t="shared" si="1"/>
        <v>1</v>
      </c>
    </row>
    <row r="38" spans="2:25" s="6" customFormat="1" ht="18.95" customHeight="1" thickBot="1" x14ac:dyDescent="0.35">
      <c r="B38" s="36"/>
      <c r="C38" s="41" t="s">
        <v>85</v>
      </c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>
        <v>2</v>
      </c>
      <c r="O38" s="41" t="s">
        <v>85</v>
      </c>
      <c r="P38" s="37"/>
      <c r="Q38" s="38"/>
      <c r="R38" s="38"/>
      <c r="S38" s="38"/>
      <c r="T38" s="38"/>
      <c r="U38" s="38"/>
      <c r="V38" s="38"/>
      <c r="W38" s="38"/>
      <c r="X38" s="36"/>
      <c r="Y38" s="38">
        <f t="shared" si="1"/>
        <v>2</v>
      </c>
    </row>
    <row r="39" spans="2:25" s="6" customFormat="1" ht="18.95" customHeight="1" thickBot="1" x14ac:dyDescent="0.35">
      <c r="B39" s="36"/>
      <c r="C39" s="41" t="s">
        <v>86</v>
      </c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1" t="s">
        <v>86</v>
      </c>
      <c r="P39" s="37"/>
      <c r="Q39" s="38">
        <v>1</v>
      </c>
      <c r="R39" s="38"/>
      <c r="S39" s="38"/>
      <c r="T39" s="38"/>
      <c r="U39" s="38"/>
      <c r="V39" s="38"/>
      <c r="W39" s="38"/>
      <c r="X39" s="36"/>
      <c r="Y39" s="38">
        <f t="shared" si="1"/>
        <v>1</v>
      </c>
    </row>
    <row r="40" spans="2:25" s="6" customFormat="1" ht="18.95" customHeight="1" thickBot="1" x14ac:dyDescent="0.35">
      <c r="B40" s="36"/>
      <c r="C40" s="41" t="s">
        <v>87</v>
      </c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1" t="s">
        <v>87</v>
      </c>
      <c r="P40" s="37"/>
      <c r="Q40" s="38">
        <v>1</v>
      </c>
      <c r="R40" s="38"/>
      <c r="S40" s="38"/>
      <c r="T40" s="38"/>
      <c r="U40" s="38"/>
      <c r="V40" s="38"/>
      <c r="W40" s="38"/>
      <c r="X40" s="36"/>
      <c r="Y40" s="38">
        <f t="shared" si="1"/>
        <v>1</v>
      </c>
    </row>
    <row r="41" spans="2:25" ht="27" x14ac:dyDescent="0.35">
      <c r="B41" s="22" t="s">
        <v>41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2:25" ht="28.5" thickBot="1" x14ac:dyDescent="0.45">
      <c r="B42" s="1" t="s">
        <v>42</v>
      </c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2"/>
      <c r="S42" s="1"/>
      <c r="T42" s="1"/>
      <c r="U42" s="1"/>
      <c r="V42" s="1"/>
      <c r="W42" s="1"/>
      <c r="X42" s="1"/>
      <c r="Y42" s="1"/>
    </row>
    <row r="43" spans="2:25" ht="102.75" thickBot="1" x14ac:dyDescent="0.25">
      <c r="B43" s="8" t="s">
        <v>0</v>
      </c>
      <c r="C43" s="8" t="s">
        <v>1</v>
      </c>
      <c r="D43" s="8" t="s">
        <v>2</v>
      </c>
      <c r="E43" s="9" t="s">
        <v>3</v>
      </c>
      <c r="F43" s="9" t="s">
        <v>4</v>
      </c>
      <c r="G43" s="9" t="s">
        <v>5</v>
      </c>
      <c r="H43" s="9" t="s">
        <v>6</v>
      </c>
      <c r="I43" s="9" t="s">
        <v>7</v>
      </c>
      <c r="J43" s="9" t="s">
        <v>23</v>
      </c>
      <c r="K43" s="9" t="s">
        <v>24</v>
      </c>
      <c r="L43" s="9" t="s">
        <v>25</v>
      </c>
      <c r="M43" s="16" t="s">
        <v>26</v>
      </c>
      <c r="N43" s="9" t="s">
        <v>27</v>
      </c>
      <c r="O43" s="21" t="s">
        <v>1</v>
      </c>
      <c r="P43" s="8" t="s">
        <v>2</v>
      </c>
      <c r="Q43" s="9" t="s">
        <v>28</v>
      </c>
      <c r="R43" s="9" t="s">
        <v>8</v>
      </c>
      <c r="S43" s="9" t="s">
        <v>9</v>
      </c>
      <c r="T43" s="9" t="s">
        <v>10</v>
      </c>
      <c r="U43" s="9" t="s">
        <v>29</v>
      </c>
      <c r="V43" s="9" t="s">
        <v>11</v>
      </c>
      <c r="W43" s="9" t="s">
        <v>12</v>
      </c>
      <c r="X43" s="9" t="s">
        <v>13</v>
      </c>
      <c r="Y43" s="9" t="s">
        <v>14</v>
      </c>
    </row>
    <row r="44" spans="2:25" s="6" customFormat="1" ht="18.95" customHeight="1" thickBot="1" x14ac:dyDescent="0.35">
      <c r="B44" s="30" t="s">
        <v>160</v>
      </c>
      <c r="C44" s="61"/>
      <c r="D44" s="61"/>
      <c r="E44" s="62"/>
      <c r="F44" s="62"/>
      <c r="G44" s="61"/>
      <c r="H44" s="61"/>
      <c r="I44" s="61"/>
      <c r="J44" s="61"/>
      <c r="K44" s="61"/>
      <c r="L44" s="61"/>
      <c r="M44" s="61"/>
      <c r="N44" s="63"/>
      <c r="O44" s="30" t="s">
        <v>45</v>
      </c>
      <c r="P44" s="34"/>
      <c r="Q44" s="31"/>
      <c r="R44" s="31"/>
      <c r="S44" s="32"/>
      <c r="T44" s="31"/>
      <c r="U44" s="31"/>
      <c r="V44" s="31"/>
      <c r="W44" s="31"/>
      <c r="X44" s="31"/>
      <c r="Y44" s="35"/>
    </row>
    <row r="45" spans="2:25" s="6" customFormat="1" ht="18.95" customHeight="1" thickBot="1" x14ac:dyDescent="0.3">
      <c r="B45" s="36"/>
      <c r="C45" s="39" t="s">
        <v>106</v>
      </c>
      <c r="D45" s="40"/>
      <c r="E45" s="40">
        <v>0</v>
      </c>
      <c r="F45" s="40"/>
      <c r="G45" s="40"/>
      <c r="H45" s="40"/>
      <c r="I45" s="40"/>
      <c r="J45" s="40"/>
      <c r="K45" s="40"/>
      <c r="L45" s="40"/>
      <c r="M45" s="40"/>
      <c r="N45" s="40"/>
      <c r="O45" s="39" t="s">
        <v>106</v>
      </c>
      <c r="P45" s="37"/>
      <c r="Q45" s="38"/>
      <c r="R45" s="38"/>
      <c r="S45" s="38"/>
      <c r="T45" s="38"/>
      <c r="U45" s="38"/>
      <c r="V45" s="38"/>
      <c r="W45" s="38"/>
      <c r="X45" s="36"/>
      <c r="Y45" s="38">
        <f t="shared" ref="Y45:Y50" si="2">SUM(E45:X45)</f>
        <v>0</v>
      </c>
    </row>
    <row r="46" spans="2:25" s="6" customFormat="1" ht="18.95" customHeight="1" thickBot="1" x14ac:dyDescent="0.3">
      <c r="B46" s="36"/>
      <c r="C46" s="39" t="s">
        <v>88</v>
      </c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39" t="s">
        <v>88</v>
      </c>
      <c r="P46" s="37"/>
      <c r="Q46" s="38">
        <v>1</v>
      </c>
      <c r="R46" s="38"/>
      <c r="S46" s="38"/>
      <c r="T46" s="38"/>
      <c r="U46" s="38"/>
      <c r="V46" s="38"/>
      <c r="W46" s="38"/>
      <c r="X46" s="36"/>
      <c r="Y46" s="38">
        <f t="shared" si="2"/>
        <v>1</v>
      </c>
    </row>
    <row r="47" spans="2:25" s="6" customFormat="1" ht="18.95" customHeight="1" thickBot="1" x14ac:dyDescent="0.3">
      <c r="B47" s="36"/>
      <c r="C47" s="39" t="s">
        <v>89</v>
      </c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39" t="s">
        <v>89</v>
      </c>
      <c r="P47" s="37"/>
      <c r="Q47" s="38">
        <v>1</v>
      </c>
      <c r="R47" s="38"/>
      <c r="S47" s="38"/>
      <c r="T47" s="38"/>
      <c r="U47" s="38"/>
      <c r="V47" s="38"/>
      <c r="W47" s="38"/>
      <c r="X47" s="36"/>
      <c r="Y47" s="38">
        <f t="shared" si="2"/>
        <v>1</v>
      </c>
    </row>
    <row r="48" spans="2:25" s="6" customFormat="1" ht="18.95" customHeight="1" thickBot="1" x14ac:dyDescent="0.3">
      <c r="B48" s="36"/>
      <c r="C48" s="39" t="s">
        <v>90</v>
      </c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39" t="s">
        <v>90</v>
      </c>
      <c r="P48" s="37"/>
      <c r="Q48" s="38"/>
      <c r="R48" s="38"/>
      <c r="S48" s="38">
        <v>1</v>
      </c>
      <c r="T48" s="38"/>
      <c r="U48" s="38"/>
      <c r="V48" s="38"/>
      <c r="W48" s="38"/>
      <c r="X48" s="36"/>
      <c r="Y48" s="38">
        <f t="shared" si="2"/>
        <v>1</v>
      </c>
    </row>
    <row r="49" spans="2:25" s="6" customFormat="1" ht="18.95" customHeight="1" thickBot="1" x14ac:dyDescent="0.3">
      <c r="B49" s="36"/>
      <c r="C49" s="39" t="s">
        <v>91</v>
      </c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39" t="s">
        <v>91</v>
      </c>
      <c r="P49" s="37"/>
      <c r="Q49" s="38"/>
      <c r="R49" s="38"/>
      <c r="S49" s="38">
        <v>1</v>
      </c>
      <c r="T49" s="38"/>
      <c r="U49" s="38"/>
      <c r="V49" s="38"/>
      <c r="W49" s="38"/>
      <c r="X49" s="36"/>
      <c r="Y49" s="38">
        <f t="shared" si="2"/>
        <v>1</v>
      </c>
    </row>
    <row r="50" spans="2:25" s="6" customFormat="1" ht="18.95" customHeight="1" thickBot="1" x14ac:dyDescent="0.3">
      <c r="B50" s="36"/>
      <c r="C50" s="39" t="s">
        <v>92</v>
      </c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39" t="s">
        <v>92</v>
      </c>
      <c r="P50" s="37"/>
      <c r="Q50" s="38"/>
      <c r="R50" s="38"/>
      <c r="S50" s="38">
        <v>1</v>
      </c>
      <c r="T50" s="38"/>
      <c r="U50" s="38"/>
      <c r="V50" s="38"/>
      <c r="W50" s="38"/>
      <c r="X50" s="36"/>
      <c r="Y50" s="38">
        <f t="shared" si="2"/>
        <v>1</v>
      </c>
    </row>
    <row r="51" spans="2:25" s="6" customFormat="1" ht="18.95" customHeight="1" thickBot="1" x14ac:dyDescent="0.3">
      <c r="B51" s="36"/>
      <c r="C51" s="39" t="s">
        <v>93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39" t="s">
        <v>93</v>
      </c>
      <c r="P51" s="37"/>
      <c r="Q51" s="38"/>
      <c r="R51" s="38"/>
      <c r="S51" s="38"/>
      <c r="T51" s="38"/>
      <c r="U51" s="38">
        <v>1</v>
      </c>
      <c r="V51" s="38"/>
      <c r="W51" s="38"/>
      <c r="X51" s="36">
        <v>1</v>
      </c>
      <c r="Y51" s="38">
        <f>SUM(U51:X51)</f>
        <v>2</v>
      </c>
    </row>
    <row r="52" spans="2:25" s="6" customFormat="1" ht="18.95" customHeight="1" thickBot="1" x14ac:dyDescent="0.3">
      <c r="B52" s="36"/>
      <c r="C52" s="39" t="s">
        <v>94</v>
      </c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39" t="s">
        <v>94</v>
      </c>
      <c r="P52" s="37"/>
      <c r="Q52" s="38"/>
      <c r="R52" s="38"/>
      <c r="S52" s="38"/>
      <c r="T52" s="38"/>
      <c r="U52" s="38">
        <v>1</v>
      </c>
      <c r="V52" s="38"/>
      <c r="W52" s="38"/>
      <c r="X52" s="36"/>
      <c r="Y52" s="38">
        <f>SUM(U52:X52)</f>
        <v>1</v>
      </c>
    </row>
    <row r="53" spans="2:25" s="6" customFormat="1" ht="18.95" customHeight="1" thickBot="1" x14ac:dyDescent="0.3">
      <c r="B53" s="36"/>
      <c r="C53" s="39" t="s">
        <v>97</v>
      </c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39" t="s">
        <v>97</v>
      </c>
      <c r="P53" s="37"/>
      <c r="Q53" s="38"/>
      <c r="R53" s="38"/>
      <c r="S53" s="38"/>
      <c r="T53" s="38"/>
      <c r="U53" s="38"/>
      <c r="V53" s="38"/>
      <c r="W53" s="38">
        <v>1</v>
      </c>
      <c r="X53" s="36"/>
      <c r="Y53" s="38">
        <f t="shared" ref="Y53:Y61" si="3">SUM(E53:X53)</f>
        <v>1</v>
      </c>
    </row>
    <row r="54" spans="2:25" s="6" customFormat="1" ht="18.95" customHeight="1" thickBot="1" x14ac:dyDescent="0.3">
      <c r="B54" s="36"/>
      <c r="C54" s="39" t="s">
        <v>98</v>
      </c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39" t="s">
        <v>98</v>
      </c>
      <c r="P54" s="37"/>
      <c r="Q54" s="38"/>
      <c r="R54" s="38"/>
      <c r="S54" s="38"/>
      <c r="T54" s="38"/>
      <c r="U54" s="38"/>
      <c r="V54" s="38"/>
      <c r="W54" s="38">
        <v>1</v>
      </c>
      <c r="X54" s="36"/>
      <c r="Y54" s="38">
        <f t="shared" si="3"/>
        <v>1</v>
      </c>
    </row>
    <row r="55" spans="2:25" s="6" customFormat="1" ht="18.95" customHeight="1" thickBot="1" x14ac:dyDescent="0.3">
      <c r="B55" s="36"/>
      <c r="C55" s="39" t="s">
        <v>101</v>
      </c>
      <c r="D55" s="40"/>
      <c r="E55" s="40">
        <v>0</v>
      </c>
      <c r="F55" s="40"/>
      <c r="G55" s="40"/>
      <c r="H55" s="40"/>
      <c r="I55" s="40"/>
      <c r="J55" s="40"/>
      <c r="K55" s="40"/>
      <c r="L55" s="40"/>
      <c r="M55" s="40"/>
      <c r="N55" s="40"/>
      <c r="O55" s="39" t="s">
        <v>101</v>
      </c>
      <c r="P55" s="37"/>
      <c r="Q55" s="38"/>
      <c r="R55" s="38"/>
      <c r="S55" s="38"/>
      <c r="T55" s="38"/>
      <c r="U55" s="38"/>
      <c r="V55" s="38"/>
      <c r="W55" s="38"/>
      <c r="X55" s="36">
        <v>1</v>
      </c>
      <c r="Y55" s="38">
        <f t="shared" si="3"/>
        <v>1</v>
      </c>
    </row>
    <row r="56" spans="2:25" s="6" customFormat="1" ht="18.95" customHeight="1" thickBot="1" x14ac:dyDescent="0.3">
      <c r="B56" s="36"/>
      <c r="C56" s="39" t="s">
        <v>102</v>
      </c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39" t="s">
        <v>102</v>
      </c>
      <c r="P56" s="37"/>
      <c r="Q56" s="38"/>
      <c r="R56" s="38"/>
      <c r="S56" s="38"/>
      <c r="T56" s="38"/>
      <c r="U56" s="38"/>
      <c r="V56" s="38"/>
      <c r="W56" s="38"/>
      <c r="X56" s="36">
        <v>1</v>
      </c>
      <c r="Y56" s="38">
        <f t="shared" si="3"/>
        <v>1</v>
      </c>
    </row>
    <row r="57" spans="2:25" s="6" customFormat="1" ht="18.95" customHeight="1" thickBot="1" x14ac:dyDescent="0.3">
      <c r="B57" s="36"/>
      <c r="C57" s="39" t="s">
        <v>103</v>
      </c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39" t="s">
        <v>103</v>
      </c>
      <c r="P57" s="37"/>
      <c r="Q57" s="38"/>
      <c r="R57" s="38"/>
      <c r="S57" s="38"/>
      <c r="T57" s="38"/>
      <c r="U57" s="38"/>
      <c r="V57" s="38"/>
      <c r="W57" s="38"/>
      <c r="X57" s="36">
        <v>2</v>
      </c>
      <c r="Y57" s="38">
        <f t="shared" si="3"/>
        <v>2</v>
      </c>
    </row>
    <row r="58" spans="2:25" s="6" customFormat="1" ht="18.95" customHeight="1" thickBot="1" x14ac:dyDescent="0.3">
      <c r="B58" s="36"/>
      <c r="C58" s="39" t="s">
        <v>104</v>
      </c>
      <c r="D58" s="40"/>
      <c r="E58" s="40">
        <v>0</v>
      </c>
      <c r="F58" s="40"/>
      <c r="G58" s="40"/>
      <c r="H58" s="40"/>
      <c r="I58" s="40"/>
      <c r="J58" s="40"/>
      <c r="K58" s="40"/>
      <c r="L58" s="40"/>
      <c r="M58" s="40"/>
      <c r="N58" s="40"/>
      <c r="O58" s="39" t="s">
        <v>104</v>
      </c>
      <c r="P58" s="37"/>
      <c r="Q58" s="38"/>
      <c r="R58" s="38"/>
      <c r="S58" s="38"/>
      <c r="T58" s="38"/>
      <c r="U58" s="38"/>
      <c r="V58" s="38"/>
      <c r="W58" s="38"/>
      <c r="X58" s="36"/>
      <c r="Y58" s="38">
        <f t="shared" si="3"/>
        <v>0</v>
      </c>
    </row>
    <row r="59" spans="2:25" s="6" customFormat="1" ht="18.95" customHeight="1" thickBot="1" x14ac:dyDescent="0.3">
      <c r="B59" s="36"/>
      <c r="C59" s="39" t="s">
        <v>107</v>
      </c>
      <c r="D59" s="40"/>
      <c r="E59" s="40">
        <v>0</v>
      </c>
      <c r="F59" s="40"/>
      <c r="G59" s="40"/>
      <c r="H59" s="40"/>
      <c r="I59" s="40"/>
      <c r="J59" s="40"/>
      <c r="K59" s="40"/>
      <c r="L59" s="40"/>
      <c r="M59" s="40"/>
      <c r="N59" s="40"/>
      <c r="O59" s="39" t="s">
        <v>107</v>
      </c>
      <c r="P59" s="37"/>
      <c r="Q59" s="38"/>
      <c r="R59" s="38"/>
      <c r="S59" s="38"/>
      <c r="T59" s="38"/>
      <c r="U59" s="38"/>
      <c r="V59" s="38"/>
      <c r="W59" s="38"/>
      <c r="X59" s="36"/>
      <c r="Y59" s="38">
        <f t="shared" si="3"/>
        <v>0</v>
      </c>
    </row>
    <row r="60" spans="2:25" s="6" customFormat="1" ht="18.95" customHeight="1" thickBot="1" x14ac:dyDescent="0.3">
      <c r="B60" s="36"/>
      <c r="C60" s="39" t="s">
        <v>110</v>
      </c>
      <c r="D60" s="40"/>
      <c r="E60" s="40">
        <v>0</v>
      </c>
      <c r="F60" s="40"/>
      <c r="G60" s="40"/>
      <c r="H60" s="40"/>
      <c r="I60" s="40"/>
      <c r="J60" s="40"/>
      <c r="K60" s="40"/>
      <c r="L60" s="40"/>
      <c r="M60" s="40"/>
      <c r="N60" s="40"/>
      <c r="O60" s="39" t="s">
        <v>110</v>
      </c>
      <c r="P60" s="37"/>
      <c r="Q60" s="38"/>
      <c r="R60" s="38"/>
      <c r="S60" s="38"/>
      <c r="T60" s="38"/>
      <c r="U60" s="38"/>
      <c r="V60" s="38"/>
      <c r="W60" s="38"/>
      <c r="X60" s="36"/>
      <c r="Y60" s="38">
        <f t="shared" si="3"/>
        <v>0</v>
      </c>
    </row>
    <row r="61" spans="2:25" s="6" customFormat="1" ht="18.95" customHeight="1" thickBot="1" x14ac:dyDescent="0.3">
      <c r="B61" s="36"/>
      <c r="C61" s="39" t="s">
        <v>111</v>
      </c>
      <c r="D61" s="40"/>
      <c r="E61" s="40">
        <v>0</v>
      </c>
      <c r="F61" s="40"/>
      <c r="G61" s="40"/>
      <c r="H61" s="40"/>
      <c r="I61" s="40"/>
      <c r="J61" s="40"/>
      <c r="K61" s="40"/>
      <c r="L61" s="40"/>
      <c r="M61" s="40"/>
      <c r="N61" s="40"/>
      <c r="O61" s="39" t="s">
        <v>111</v>
      </c>
      <c r="P61" s="37"/>
      <c r="Q61" s="38"/>
      <c r="R61" s="38"/>
      <c r="S61" s="38"/>
      <c r="T61" s="38"/>
      <c r="U61" s="38"/>
      <c r="V61" s="38"/>
      <c r="W61" s="38"/>
      <c r="X61" s="36"/>
      <c r="Y61" s="38">
        <f t="shared" si="3"/>
        <v>0</v>
      </c>
    </row>
    <row r="62" spans="2:25" ht="27" x14ac:dyDescent="0.35">
      <c r="B62" s="22" t="s">
        <v>41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2:25" ht="28.5" thickBot="1" x14ac:dyDescent="0.45">
      <c r="B63" s="1" t="s">
        <v>42</v>
      </c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2"/>
      <c r="S63" s="1"/>
      <c r="T63" s="1"/>
      <c r="U63" s="1"/>
      <c r="V63" s="1"/>
      <c r="W63" s="1"/>
      <c r="X63" s="1"/>
      <c r="Y63" s="1"/>
    </row>
    <row r="64" spans="2:25" ht="102.75" thickBot="1" x14ac:dyDescent="0.25">
      <c r="B64" s="8" t="s">
        <v>0</v>
      </c>
      <c r="C64" s="8" t="s">
        <v>1</v>
      </c>
      <c r="D64" s="8" t="s">
        <v>2</v>
      </c>
      <c r="E64" s="9" t="s">
        <v>3</v>
      </c>
      <c r="F64" s="9" t="s">
        <v>4</v>
      </c>
      <c r="G64" s="9" t="s">
        <v>5</v>
      </c>
      <c r="H64" s="9" t="s">
        <v>6</v>
      </c>
      <c r="I64" s="9" t="s">
        <v>7</v>
      </c>
      <c r="J64" s="9" t="s">
        <v>23</v>
      </c>
      <c r="K64" s="9" t="s">
        <v>24</v>
      </c>
      <c r="L64" s="9" t="s">
        <v>25</v>
      </c>
      <c r="M64" s="16" t="s">
        <v>26</v>
      </c>
      <c r="N64" s="9" t="s">
        <v>27</v>
      </c>
      <c r="O64" s="21" t="s">
        <v>1</v>
      </c>
      <c r="P64" s="8" t="s">
        <v>2</v>
      </c>
      <c r="Q64" s="9" t="s">
        <v>28</v>
      </c>
      <c r="R64" s="9" t="s">
        <v>8</v>
      </c>
      <c r="S64" s="9" t="s">
        <v>9</v>
      </c>
      <c r="T64" s="9" t="s">
        <v>10</v>
      </c>
      <c r="U64" s="9" t="s">
        <v>29</v>
      </c>
      <c r="V64" s="9" t="s">
        <v>11</v>
      </c>
      <c r="W64" s="9" t="s">
        <v>12</v>
      </c>
      <c r="X64" s="9" t="s">
        <v>13</v>
      </c>
      <c r="Y64" s="9" t="s">
        <v>14</v>
      </c>
    </row>
    <row r="65" spans="2:25" s="6" customFormat="1" ht="18.95" customHeight="1" thickBot="1" x14ac:dyDescent="0.35">
      <c r="B65" s="30" t="s">
        <v>160</v>
      </c>
      <c r="C65" s="61"/>
      <c r="D65" s="61"/>
      <c r="E65" s="62"/>
      <c r="F65" s="62"/>
      <c r="G65" s="61"/>
      <c r="H65" s="61"/>
      <c r="I65" s="61"/>
      <c r="J65" s="61"/>
      <c r="K65" s="61"/>
      <c r="L65" s="61"/>
      <c r="M65" s="61"/>
      <c r="N65" s="63"/>
      <c r="O65" s="30" t="s">
        <v>45</v>
      </c>
      <c r="P65" s="34"/>
      <c r="Q65" s="31"/>
      <c r="R65" s="31"/>
      <c r="S65" s="32"/>
      <c r="T65" s="31"/>
      <c r="U65" s="31"/>
      <c r="V65" s="31"/>
      <c r="W65" s="31"/>
      <c r="X65" s="31"/>
      <c r="Y65" s="35"/>
    </row>
    <row r="66" spans="2:25" ht="18.95" customHeight="1" thickBot="1" x14ac:dyDescent="0.35">
      <c r="B66" s="49"/>
      <c r="C66" s="49" t="s">
        <v>112</v>
      </c>
      <c r="D66" s="54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49" t="s">
        <v>112</v>
      </c>
      <c r="P66" s="54"/>
      <c r="Q66" s="50"/>
      <c r="R66" s="12"/>
      <c r="S66" s="12"/>
      <c r="T66" s="12"/>
      <c r="U66" s="12"/>
      <c r="V66" s="12"/>
      <c r="W66" s="12"/>
      <c r="X66" s="17"/>
      <c r="Y66" s="12">
        <f t="shared" ref="Y66:Y91" si="4">SUM(E66:X66)</f>
        <v>0</v>
      </c>
    </row>
    <row r="67" spans="2:25" ht="18.95" customHeight="1" thickBot="1" x14ac:dyDescent="0.35">
      <c r="B67" s="49"/>
      <c r="C67" s="49" t="s">
        <v>113</v>
      </c>
      <c r="D67" s="54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49" t="s">
        <v>113</v>
      </c>
      <c r="P67" s="54"/>
      <c r="Q67" s="50"/>
      <c r="R67" s="12"/>
      <c r="S67" s="12"/>
      <c r="T67" s="12"/>
      <c r="U67" s="12"/>
      <c r="V67" s="12"/>
      <c r="W67" s="12"/>
      <c r="X67" s="17"/>
      <c r="Y67" s="12">
        <f t="shared" si="4"/>
        <v>0</v>
      </c>
    </row>
    <row r="68" spans="2:25" ht="18.95" customHeight="1" thickBot="1" x14ac:dyDescent="0.35">
      <c r="B68" s="49"/>
      <c r="C68" s="49" t="s">
        <v>114</v>
      </c>
      <c r="D68" s="54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49" t="s">
        <v>114</v>
      </c>
      <c r="P68" s="54"/>
      <c r="Q68" s="50"/>
      <c r="R68" s="12"/>
      <c r="S68" s="12"/>
      <c r="T68" s="12"/>
      <c r="U68" s="12"/>
      <c r="V68" s="12"/>
      <c r="W68" s="12"/>
      <c r="X68" s="17"/>
      <c r="Y68" s="12">
        <f t="shared" si="4"/>
        <v>0</v>
      </c>
    </row>
    <row r="69" spans="2:25" ht="18.95" customHeight="1" thickBot="1" x14ac:dyDescent="0.35">
      <c r="B69" s="49"/>
      <c r="C69" s="49" t="s">
        <v>115</v>
      </c>
      <c r="D69" s="54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49" t="s">
        <v>115</v>
      </c>
      <c r="P69" s="54"/>
      <c r="Q69" s="50"/>
      <c r="R69" s="12"/>
      <c r="S69" s="12"/>
      <c r="T69" s="12"/>
      <c r="U69" s="12"/>
      <c r="V69" s="12"/>
      <c r="W69" s="12"/>
      <c r="X69" s="17"/>
      <c r="Y69" s="12">
        <f t="shared" si="4"/>
        <v>0</v>
      </c>
    </row>
    <row r="70" spans="2:25" ht="18.95" customHeight="1" thickBot="1" x14ac:dyDescent="0.35">
      <c r="B70" s="49"/>
      <c r="C70" s="49" t="s">
        <v>116</v>
      </c>
      <c r="D70" s="54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49" t="s">
        <v>116</v>
      </c>
      <c r="P70" s="54"/>
      <c r="Q70" s="50"/>
      <c r="R70" s="12"/>
      <c r="S70" s="12"/>
      <c r="T70" s="12"/>
      <c r="U70" s="12"/>
      <c r="V70" s="12"/>
      <c r="W70" s="12"/>
      <c r="X70" s="17"/>
      <c r="Y70" s="12">
        <f t="shared" si="4"/>
        <v>0</v>
      </c>
    </row>
    <row r="71" spans="2:25" ht="18.95" customHeight="1" thickBot="1" x14ac:dyDescent="0.35">
      <c r="B71" s="49"/>
      <c r="C71" s="49" t="s">
        <v>117</v>
      </c>
      <c r="D71" s="54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49" t="s">
        <v>117</v>
      </c>
      <c r="P71" s="54"/>
      <c r="Q71" s="50"/>
      <c r="R71" s="12"/>
      <c r="S71" s="12"/>
      <c r="T71" s="12"/>
      <c r="U71" s="12"/>
      <c r="V71" s="12"/>
      <c r="W71" s="12"/>
      <c r="X71" s="17"/>
      <c r="Y71" s="12">
        <f t="shared" si="4"/>
        <v>0</v>
      </c>
    </row>
    <row r="72" spans="2:25" ht="18.95" customHeight="1" thickBot="1" x14ac:dyDescent="0.35">
      <c r="B72" s="49"/>
      <c r="C72" s="49" t="s">
        <v>118</v>
      </c>
      <c r="D72" s="54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49" t="s">
        <v>118</v>
      </c>
      <c r="P72" s="54"/>
      <c r="Q72" s="50"/>
      <c r="R72" s="12"/>
      <c r="S72" s="12"/>
      <c r="T72" s="12"/>
      <c r="U72" s="12"/>
      <c r="V72" s="12"/>
      <c r="W72" s="12"/>
      <c r="X72" s="17"/>
      <c r="Y72" s="12">
        <f t="shared" si="4"/>
        <v>0</v>
      </c>
    </row>
    <row r="73" spans="2:25" ht="18.95" customHeight="1" thickBot="1" x14ac:dyDescent="0.35">
      <c r="B73" s="49"/>
      <c r="C73" s="49" t="s">
        <v>119</v>
      </c>
      <c r="D73" s="54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49" t="s">
        <v>119</v>
      </c>
      <c r="P73" s="54"/>
      <c r="Q73" s="50"/>
      <c r="R73" s="12"/>
      <c r="S73" s="12"/>
      <c r="T73" s="12"/>
      <c r="U73" s="12"/>
      <c r="V73" s="12"/>
      <c r="W73" s="12"/>
      <c r="X73" s="17"/>
      <c r="Y73" s="12">
        <f t="shared" si="4"/>
        <v>0</v>
      </c>
    </row>
    <row r="74" spans="2:25" ht="18.95" customHeight="1" thickBot="1" x14ac:dyDescent="0.35">
      <c r="B74" s="49"/>
      <c r="C74" s="49" t="s">
        <v>109</v>
      </c>
      <c r="D74" s="54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49" t="s">
        <v>109</v>
      </c>
      <c r="P74" s="54"/>
      <c r="Q74" s="50"/>
      <c r="R74" s="12"/>
      <c r="S74" s="12"/>
      <c r="T74" s="12"/>
      <c r="U74" s="12"/>
      <c r="V74" s="12"/>
      <c r="W74" s="12"/>
      <c r="X74" s="17"/>
      <c r="Y74" s="12">
        <f t="shared" si="4"/>
        <v>0</v>
      </c>
    </row>
    <row r="75" spans="2:25" ht="18.95" customHeight="1" thickBot="1" x14ac:dyDescent="0.35">
      <c r="B75" s="49"/>
      <c r="C75" s="49" t="s">
        <v>120</v>
      </c>
      <c r="D75" s="54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49" t="s">
        <v>120</v>
      </c>
      <c r="P75" s="54"/>
      <c r="Q75" s="50"/>
      <c r="R75" s="12"/>
      <c r="S75" s="12"/>
      <c r="T75" s="12"/>
      <c r="U75" s="12"/>
      <c r="V75" s="12"/>
      <c r="W75" s="12"/>
      <c r="X75" s="17"/>
      <c r="Y75" s="12">
        <f t="shared" si="4"/>
        <v>0</v>
      </c>
    </row>
    <row r="76" spans="2:25" ht="18.95" customHeight="1" thickBot="1" x14ac:dyDescent="0.35">
      <c r="B76" s="49"/>
      <c r="C76" s="49" t="s">
        <v>121</v>
      </c>
      <c r="D76" s="54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49" t="s">
        <v>121</v>
      </c>
      <c r="P76" s="54"/>
      <c r="Q76" s="50"/>
      <c r="R76" s="12"/>
      <c r="S76" s="12"/>
      <c r="T76" s="12"/>
      <c r="U76" s="12"/>
      <c r="V76" s="12"/>
      <c r="W76" s="12"/>
      <c r="X76" s="17"/>
      <c r="Y76" s="12">
        <f t="shared" si="4"/>
        <v>0</v>
      </c>
    </row>
    <row r="77" spans="2:25" ht="18.95" customHeight="1" thickBot="1" x14ac:dyDescent="0.35">
      <c r="B77" s="49"/>
      <c r="C77" s="49" t="s">
        <v>122</v>
      </c>
      <c r="D77" s="54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49" t="s">
        <v>122</v>
      </c>
      <c r="P77" s="54"/>
      <c r="Q77" s="50"/>
      <c r="R77" s="12"/>
      <c r="S77" s="12"/>
      <c r="T77" s="12"/>
      <c r="U77" s="12"/>
      <c r="V77" s="12"/>
      <c r="W77" s="12"/>
      <c r="X77" s="17"/>
      <c r="Y77" s="12">
        <f t="shared" si="4"/>
        <v>0</v>
      </c>
    </row>
    <row r="78" spans="2:25" ht="18.95" customHeight="1" thickBot="1" x14ac:dyDescent="0.35">
      <c r="B78" s="49"/>
      <c r="C78" s="49" t="s">
        <v>127</v>
      </c>
      <c r="D78" s="54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49" t="s">
        <v>127</v>
      </c>
      <c r="P78" s="54"/>
      <c r="Q78" s="50"/>
      <c r="R78" s="12"/>
      <c r="S78" s="12"/>
      <c r="T78" s="12"/>
      <c r="U78" s="12"/>
      <c r="V78" s="12"/>
      <c r="W78" s="12"/>
      <c r="X78" s="17"/>
      <c r="Y78" s="12">
        <f t="shared" si="4"/>
        <v>0</v>
      </c>
    </row>
    <row r="79" spans="2:25" ht="18.95" customHeight="1" thickBot="1" x14ac:dyDescent="0.35">
      <c r="B79" s="49"/>
      <c r="C79" s="49" t="s">
        <v>128</v>
      </c>
      <c r="D79" s="54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49" t="s">
        <v>128</v>
      </c>
      <c r="P79" s="54"/>
      <c r="Q79" s="50"/>
      <c r="R79" s="12"/>
      <c r="S79" s="12"/>
      <c r="T79" s="12"/>
      <c r="U79" s="12"/>
      <c r="V79" s="12"/>
      <c r="W79" s="12"/>
      <c r="X79" s="17"/>
      <c r="Y79" s="12">
        <f t="shared" si="4"/>
        <v>0</v>
      </c>
    </row>
    <row r="80" spans="2:25" ht="18.95" customHeight="1" thickBot="1" x14ac:dyDescent="0.35">
      <c r="B80" s="49"/>
      <c r="C80" s="49" t="s">
        <v>132</v>
      </c>
      <c r="D80" s="54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49" t="s">
        <v>132</v>
      </c>
      <c r="P80" s="54"/>
      <c r="Q80" s="50"/>
      <c r="R80" s="12"/>
      <c r="S80" s="12"/>
      <c r="T80" s="12"/>
      <c r="U80" s="12"/>
      <c r="V80" s="12"/>
      <c r="W80" s="12"/>
      <c r="X80" s="17"/>
      <c r="Y80" s="12">
        <f t="shared" si="4"/>
        <v>0</v>
      </c>
    </row>
    <row r="81" spans="2:25" ht="18.95" customHeight="1" thickBot="1" x14ac:dyDescent="0.35">
      <c r="B81" s="49"/>
      <c r="C81" s="49" t="s">
        <v>133</v>
      </c>
      <c r="D81" s="54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49" t="s">
        <v>133</v>
      </c>
      <c r="P81" s="54"/>
      <c r="Q81" s="50"/>
      <c r="R81" s="12"/>
      <c r="S81" s="12"/>
      <c r="T81" s="12"/>
      <c r="U81" s="12"/>
      <c r="V81" s="12"/>
      <c r="W81" s="12"/>
      <c r="X81" s="17"/>
      <c r="Y81" s="12">
        <f t="shared" si="4"/>
        <v>0</v>
      </c>
    </row>
    <row r="82" spans="2:25" ht="18.95" customHeight="1" thickBot="1" x14ac:dyDescent="0.35">
      <c r="B82" s="49"/>
      <c r="C82" s="49" t="s">
        <v>134</v>
      </c>
      <c r="D82" s="54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49" t="s">
        <v>134</v>
      </c>
      <c r="P82" s="54"/>
      <c r="Q82" s="50"/>
      <c r="R82" s="12"/>
      <c r="S82" s="12"/>
      <c r="T82" s="12"/>
      <c r="U82" s="12"/>
      <c r="V82" s="12"/>
      <c r="W82" s="12"/>
      <c r="X82" s="17"/>
      <c r="Y82" s="12">
        <f t="shared" si="4"/>
        <v>0</v>
      </c>
    </row>
    <row r="83" spans="2:25" ht="18.95" customHeight="1" thickBot="1" x14ac:dyDescent="0.35">
      <c r="B83" s="49"/>
      <c r="C83" s="49" t="s">
        <v>138</v>
      </c>
      <c r="D83" s="54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49" t="s">
        <v>138</v>
      </c>
      <c r="P83" s="54"/>
      <c r="Q83" s="50"/>
      <c r="R83" s="12"/>
      <c r="S83" s="12"/>
      <c r="T83" s="12"/>
      <c r="U83" s="12"/>
      <c r="V83" s="12"/>
      <c r="W83" s="12"/>
      <c r="X83" s="17"/>
      <c r="Y83" s="12">
        <f t="shared" si="4"/>
        <v>0</v>
      </c>
    </row>
    <row r="84" spans="2:25" ht="18.95" customHeight="1" thickBot="1" x14ac:dyDescent="0.35">
      <c r="B84" s="49"/>
      <c r="C84" s="49" t="s">
        <v>141</v>
      </c>
      <c r="D84" s="54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49" t="s">
        <v>141</v>
      </c>
      <c r="P84" s="54"/>
      <c r="Q84" s="50"/>
      <c r="R84" s="12"/>
      <c r="S84" s="12"/>
      <c r="T84" s="12"/>
      <c r="U84" s="12"/>
      <c r="V84" s="12"/>
      <c r="W84" s="12"/>
      <c r="X84" s="17"/>
      <c r="Y84" s="12">
        <f t="shared" si="4"/>
        <v>0</v>
      </c>
    </row>
    <row r="85" spans="2:25" ht="18.95" customHeight="1" thickBot="1" x14ac:dyDescent="0.35">
      <c r="B85" s="49"/>
      <c r="C85" s="49" t="s">
        <v>142</v>
      </c>
      <c r="D85" s="54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49" t="s">
        <v>142</v>
      </c>
      <c r="P85" s="54"/>
      <c r="Q85" s="50"/>
      <c r="R85" s="12"/>
      <c r="S85" s="12"/>
      <c r="T85" s="12"/>
      <c r="U85" s="12"/>
      <c r="V85" s="12"/>
      <c r="W85" s="12"/>
      <c r="X85" s="17"/>
      <c r="Y85" s="12">
        <f t="shared" si="4"/>
        <v>0</v>
      </c>
    </row>
    <row r="86" spans="2:25" ht="18.95" customHeight="1" thickBot="1" x14ac:dyDescent="0.35">
      <c r="B86" s="49"/>
      <c r="C86" s="49" t="s">
        <v>143</v>
      </c>
      <c r="D86" s="54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49" t="s">
        <v>143</v>
      </c>
      <c r="P86" s="54"/>
      <c r="Q86" s="50"/>
      <c r="R86" s="12"/>
      <c r="S86" s="12"/>
      <c r="T86" s="12"/>
      <c r="U86" s="12"/>
      <c r="V86" s="12"/>
      <c r="W86" s="12"/>
      <c r="X86" s="17"/>
      <c r="Y86" s="12">
        <f t="shared" si="4"/>
        <v>0</v>
      </c>
    </row>
    <row r="87" spans="2:25" ht="18.95" customHeight="1" thickBot="1" x14ac:dyDescent="0.35">
      <c r="B87" s="49"/>
      <c r="C87" s="49" t="s">
        <v>144</v>
      </c>
      <c r="D87" s="54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49" t="s">
        <v>144</v>
      </c>
      <c r="P87" s="54"/>
      <c r="Q87" s="50"/>
      <c r="R87" s="12"/>
      <c r="S87" s="12"/>
      <c r="T87" s="12"/>
      <c r="U87" s="12"/>
      <c r="V87" s="12"/>
      <c r="W87" s="12"/>
      <c r="X87" s="17"/>
      <c r="Y87" s="12">
        <f t="shared" si="4"/>
        <v>0</v>
      </c>
    </row>
    <row r="88" spans="2:25" ht="18.95" customHeight="1" thickBot="1" x14ac:dyDescent="0.35">
      <c r="B88" s="49"/>
      <c r="C88" s="49" t="s">
        <v>145</v>
      </c>
      <c r="D88" s="54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49" t="s">
        <v>145</v>
      </c>
      <c r="P88" s="54"/>
      <c r="Q88" s="50"/>
      <c r="R88" s="12"/>
      <c r="S88" s="12"/>
      <c r="T88" s="12"/>
      <c r="U88" s="12"/>
      <c r="V88" s="12"/>
      <c r="W88" s="12"/>
      <c r="X88" s="17"/>
      <c r="Y88" s="12">
        <f t="shared" si="4"/>
        <v>0</v>
      </c>
    </row>
    <row r="89" spans="2:25" ht="18.95" customHeight="1" thickBot="1" x14ac:dyDescent="0.35">
      <c r="B89" s="49"/>
      <c r="C89" s="49" t="s">
        <v>146</v>
      </c>
      <c r="D89" s="54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49" t="s">
        <v>146</v>
      </c>
      <c r="P89" s="54"/>
      <c r="Q89" s="50"/>
      <c r="R89" s="12"/>
      <c r="S89" s="12"/>
      <c r="T89" s="12"/>
      <c r="U89" s="12"/>
      <c r="V89" s="12"/>
      <c r="W89" s="12"/>
      <c r="X89" s="17"/>
      <c r="Y89" s="12">
        <f t="shared" si="4"/>
        <v>0</v>
      </c>
    </row>
    <row r="90" spans="2:25" ht="18.95" customHeight="1" thickBot="1" x14ac:dyDescent="0.35">
      <c r="B90" s="49"/>
      <c r="C90" s="49" t="s">
        <v>147</v>
      </c>
      <c r="D90" s="54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49" t="s">
        <v>147</v>
      </c>
      <c r="P90" s="54"/>
      <c r="Q90" s="50"/>
      <c r="R90" s="12"/>
      <c r="S90" s="12"/>
      <c r="T90" s="12"/>
      <c r="U90" s="12"/>
      <c r="V90" s="12"/>
      <c r="W90" s="12"/>
      <c r="X90" s="17"/>
      <c r="Y90" s="12">
        <f t="shared" si="4"/>
        <v>0</v>
      </c>
    </row>
    <row r="91" spans="2:25" ht="18.95" customHeight="1" thickBot="1" x14ac:dyDescent="0.35">
      <c r="B91" s="49"/>
      <c r="C91" s="49"/>
      <c r="D91" s="54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41"/>
      <c r="P91" s="54"/>
      <c r="Q91" s="50"/>
      <c r="R91" s="12"/>
      <c r="S91" s="12"/>
      <c r="T91" s="12"/>
      <c r="U91" s="12"/>
      <c r="V91" s="12"/>
      <c r="W91" s="12"/>
      <c r="X91" s="17"/>
      <c r="Y91" s="12">
        <f t="shared" si="4"/>
        <v>0</v>
      </c>
    </row>
    <row r="92" spans="2:25" ht="18.95" customHeight="1" thickBot="1" x14ac:dyDescent="0.35">
      <c r="B92" s="55" t="s">
        <v>40</v>
      </c>
      <c r="C92" s="56"/>
      <c r="D92" s="56"/>
      <c r="E92" s="57"/>
      <c r="F92" s="57"/>
      <c r="G92" s="56"/>
      <c r="H92" s="56"/>
      <c r="I92" s="56"/>
      <c r="J92" s="56"/>
      <c r="K92" s="56"/>
      <c r="L92" s="56"/>
      <c r="M92" s="56"/>
      <c r="N92" s="58"/>
      <c r="O92" s="55" t="s">
        <v>40</v>
      </c>
      <c r="P92" s="59"/>
      <c r="Q92" s="56"/>
      <c r="R92" s="10"/>
      <c r="S92" s="11"/>
      <c r="T92" s="10"/>
      <c r="U92" s="10"/>
      <c r="V92" s="10"/>
      <c r="W92" s="10"/>
      <c r="X92" s="10"/>
      <c r="Y92" s="25"/>
    </row>
    <row r="93" spans="2:25" ht="18.95" customHeight="1" thickBot="1" x14ac:dyDescent="0.35">
      <c r="B93" s="49"/>
      <c r="C93" s="49" t="s">
        <v>61</v>
      </c>
      <c r="D93" s="41"/>
      <c r="E93" s="50"/>
      <c r="F93" s="50"/>
      <c r="G93" s="50"/>
      <c r="H93" s="50"/>
      <c r="I93" s="50"/>
      <c r="J93" s="50"/>
      <c r="K93" s="50">
        <v>1</v>
      </c>
      <c r="L93" s="50"/>
      <c r="M93" s="50"/>
      <c r="N93" s="50"/>
      <c r="O93" s="49" t="s">
        <v>61</v>
      </c>
      <c r="P93" s="41"/>
      <c r="Q93" s="50"/>
      <c r="R93" s="12"/>
      <c r="S93" s="12"/>
      <c r="T93" s="12"/>
      <c r="U93" s="12"/>
      <c r="V93" s="12"/>
      <c r="W93" s="12"/>
      <c r="X93" s="17"/>
      <c r="Y93" s="12">
        <f t="shared" ref="Y93:Y140" si="5">SUM(E93:X93)</f>
        <v>1</v>
      </c>
    </row>
    <row r="94" spans="2:25" ht="18.95" customHeight="1" thickBot="1" x14ac:dyDescent="0.35">
      <c r="B94" s="49"/>
      <c r="C94" s="49" t="s">
        <v>75</v>
      </c>
      <c r="D94" s="41"/>
      <c r="E94" s="50"/>
      <c r="F94" s="50"/>
      <c r="G94" s="50"/>
      <c r="H94" s="50"/>
      <c r="I94" s="50"/>
      <c r="J94" s="50"/>
      <c r="K94" s="50">
        <v>1</v>
      </c>
      <c r="L94" s="50"/>
      <c r="M94" s="50"/>
      <c r="N94" s="50"/>
      <c r="O94" s="49" t="s">
        <v>75</v>
      </c>
      <c r="P94" s="41"/>
      <c r="Q94" s="50"/>
      <c r="R94" s="12"/>
      <c r="S94" s="12"/>
      <c r="T94" s="12"/>
      <c r="U94" s="12"/>
      <c r="V94" s="12"/>
      <c r="W94" s="12"/>
      <c r="X94" s="17"/>
      <c r="Y94" s="12">
        <f t="shared" si="5"/>
        <v>1</v>
      </c>
    </row>
    <row r="95" spans="2:25" ht="18.95" customHeight="1" thickBot="1" x14ac:dyDescent="0.35">
      <c r="B95" s="49"/>
      <c r="C95" s="49" t="s">
        <v>76</v>
      </c>
      <c r="D95" s="41"/>
      <c r="E95" s="50"/>
      <c r="F95" s="50"/>
      <c r="G95" s="50"/>
      <c r="H95" s="50"/>
      <c r="I95" s="50"/>
      <c r="J95" s="50"/>
      <c r="K95" s="50">
        <v>1</v>
      </c>
      <c r="L95" s="50"/>
      <c r="M95" s="50"/>
      <c r="N95" s="50"/>
      <c r="O95" s="49" t="s">
        <v>76</v>
      </c>
      <c r="P95" s="41"/>
      <c r="Q95" s="50"/>
      <c r="R95" s="12"/>
      <c r="S95" s="12"/>
      <c r="T95" s="12"/>
      <c r="U95" s="12"/>
      <c r="V95" s="12"/>
      <c r="W95" s="12"/>
      <c r="X95" s="17"/>
      <c r="Y95" s="12">
        <f t="shared" ref="Y95:Y103" si="6">SUM(E95:X95)</f>
        <v>1</v>
      </c>
    </row>
    <row r="96" spans="2:25" ht="18.95" customHeight="1" thickBot="1" x14ac:dyDescent="0.35">
      <c r="B96" s="49"/>
      <c r="C96" s="49" t="s">
        <v>83</v>
      </c>
      <c r="D96" s="41"/>
      <c r="E96" s="50"/>
      <c r="F96" s="50"/>
      <c r="G96" s="50"/>
      <c r="H96" s="50"/>
      <c r="I96" s="50"/>
      <c r="J96" s="50"/>
      <c r="K96" s="50"/>
      <c r="L96" s="50">
        <v>1</v>
      </c>
      <c r="M96" s="50"/>
      <c r="N96" s="50"/>
      <c r="O96" s="49" t="s">
        <v>83</v>
      </c>
      <c r="P96" s="41"/>
      <c r="Q96" s="50"/>
      <c r="R96" s="12"/>
      <c r="S96" s="12"/>
      <c r="T96" s="12"/>
      <c r="U96" s="12"/>
      <c r="V96" s="12"/>
      <c r="W96" s="12"/>
      <c r="X96" s="17"/>
      <c r="Y96" s="12">
        <f t="shared" si="6"/>
        <v>1</v>
      </c>
    </row>
    <row r="97" spans="2:25" ht="18.95" customHeight="1" thickBot="1" x14ac:dyDescent="0.35">
      <c r="B97" s="49"/>
      <c r="C97" s="49" t="s">
        <v>108</v>
      </c>
      <c r="D97" s="41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49" t="s">
        <v>108</v>
      </c>
      <c r="P97" s="41"/>
      <c r="Q97" s="50"/>
      <c r="R97" s="12"/>
      <c r="S97" s="12"/>
      <c r="T97" s="12"/>
      <c r="U97" s="12"/>
      <c r="V97" s="12"/>
      <c r="W97" s="12"/>
      <c r="X97" s="17"/>
      <c r="Y97" s="12">
        <f t="shared" si="6"/>
        <v>0</v>
      </c>
    </row>
    <row r="98" spans="2:25" ht="18.95" customHeight="1" thickBot="1" x14ac:dyDescent="0.35">
      <c r="B98" s="49"/>
      <c r="C98" s="49" t="s">
        <v>109</v>
      </c>
      <c r="D98" s="41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49" t="s">
        <v>109</v>
      </c>
      <c r="P98" s="41"/>
      <c r="Q98" s="50"/>
      <c r="R98" s="12"/>
      <c r="S98" s="12"/>
      <c r="T98" s="12"/>
      <c r="U98" s="12"/>
      <c r="V98" s="12"/>
      <c r="W98" s="12"/>
      <c r="X98" s="17"/>
      <c r="Y98" s="12">
        <f t="shared" si="6"/>
        <v>0</v>
      </c>
    </row>
    <row r="99" spans="2:25" ht="18.95" customHeight="1" thickBot="1" x14ac:dyDescent="0.35">
      <c r="B99" s="49"/>
      <c r="C99" s="49" t="s">
        <v>123</v>
      </c>
      <c r="D99" s="41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49" t="s">
        <v>123</v>
      </c>
      <c r="P99" s="41"/>
      <c r="Q99" s="50"/>
      <c r="R99" s="12"/>
      <c r="S99" s="12"/>
      <c r="T99" s="12"/>
      <c r="U99" s="12"/>
      <c r="V99" s="12"/>
      <c r="W99" s="12"/>
      <c r="X99" s="17"/>
      <c r="Y99" s="12">
        <f t="shared" si="6"/>
        <v>0</v>
      </c>
    </row>
    <row r="100" spans="2:25" ht="18.95" customHeight="1" thickBot="1" x14ac:dyDescent="0.35">
      <c r="B100" s="49"/>
      <c r="C100" s="49" t="s">
        <v>124</v>
      </c>
      <c r="D100" s="41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49" t="s">
        <v>124</v>
      </c>
      <c r="P100" s="41"/>
      <c r="Q100" s="50"/>
      <c r="R100" s="12"/>
      <c r="S100" s="12"/>
      <c r="T100" s="12"/>
      <c r="U100" s="12"/>
      <c r="V100" s="12"/>
      <c r="W100" s="12"/>
      <c r="X100" s="17"/>
      <c r="Y100" s="12">
        <f t="shared" si="6"/>
        <v>0</v>
      </c>
    </row>
    <row r="101" spans="2:25" ht="18.95" customHeight="1" thickBot="1" x14ac:dyDescent="0.35">
      <c r="B101" s="49"/>
      <c r="C101" s="49" t="s">
        <v>125</v>
      </c>
      <c r="D101" s="41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49" t="s">
        <v>125</v>
      </c>
      <c r="P101" s="41"/>
      <c r="Q101" s="50"/>
      <c r="R101" s="12"/>
      <c r="S101" s="12"/>
      <c r="T101" s="12"/>
      <c r="U101" s="12"/>
      <c r="V101" s="12"/>
      <c r="W101" s="12"/>
      <c r="X101" s="17"/>
      <c r="Y101" s="12">
        <f t="shared" si="6"/>
        <v>0</v>
      </c>
    </row>
    <row r="102" spans="2:25" ht="18.95" customHeight="1" thickBot="1" x14ac:dyDescent="0.35">
      <c r="B102" s="49"/>
      <c r="C102" s="49" t="s">
        <v>126</v>
      </c>
      <c r="D102" s="41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49" t="s">
        <v>126</v>
      </c>
      <c r="P102" s="41"/>
      <c r="Q102" s="50"/>
      <c r="R102" s="12"/>
      <c r="S102" s="12"/>
      <c r="T102" s="12"/>
      <c r="U102" s="12"/>
      <c r="V102" s="12"/>
      <c r="W102" s="12"/>
      <c r="X102" s="17"/>
      <c r="Y102" s="12">
        <f t="shared" si="6"/>
        <v>0</v>
      </c>
    </row>
    <row r="103" spans="2:25" ht="18.95" customHeight="1" thickBot="1" x14ac:dyDescent="0.35">
      <c r="B103" s="49"/>
      <c r="C103" s="49" t="s">
        <v>98</v>
      </c>
      <c r="D103" s="41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60"/>
      <c r="P103" s="41"/>
      <c r="Q103" s="50"/>
      <c r="R103" s="12"/>
      <c r="S103" s="12"/>
      <c r="T103" s="12"/>
      <c r="U103" s="12"/>
      <c r="V103" s="12"/>
      <c r="W103" s="12"/>
      <c r="X103" s="17"/>
      <c r="Y103" s="12">
        <f t="shared" si="6"/>
        <v>0</v>
      </c>
    </row>
    <row r="104" spans="2:25" ht="27" x14ac:dyDescent="0.35">
      <c r="B104" s="22" t="s">
        <v>41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2:25" ht="28.5" thickBot="1" x14ac:dyDescent="0.45">
      <c r="B105" s="1" t="s">
        <v>42</v>
      </c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2"/>
      <c r="S105" s="1"/>
      <c r="T105" s="1"/>
      <c r="U105" s="1"/>
      <c r="V105" s="1"/>
      <c r="W105" s="27"/>
      <c r="X105" s="1"/>
      <c r="Y105" s="1"/>
    </row>
    <row r="106" spans="2:25" ht="13.5" thickBot="1" x14ac:dyDescent="0.25">
      <c r="B106" s="26"/>
      <c r="C106" s="27"/>
      <c r="D106" s="28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9"/>
      <c r="P106" s="28"/>
      <c r="Q106" s="27"/>
      <c r="R106" s="27"/>
      <c r="S106" s="27"/>
      <c r="T106" s="27"/>
      <c r="U106" s="27"/>
      <c r="V106" s="27"/>
      <c r="W106" s="27"/>
      <c r="X106" s="27"/>
      <c r="Y106" s="27"/>
    </row>
    <row r="107" spans="2:25" ht="102.75" thickBot="1" x14ac:dyDescent="0.25">
      <c r="B107" s="8" t="s">
        <v>0</v>
      </c>
      <c r="C107" s="8" t="s">
        <v>1</v>
      </c>
      <c r="D107" s="8" t="s">
        <v>2</v>
      </c>
      <c r="E107" s="9" t="s">
        <v>3</v>
      </c>
      <c r="F107" s="9" t="s">
        <v>4</v>
      </c>
      <c r="G107" s="9" t="s">
        <v>5</v>
      </c>
      <c r="H107" s="9" t="s">
        <v>6</v>
      </c>
      <c r="I107" s="9" t="s">
        <v>7</v>
      </c>
      <c r="J107" s="9" t="s">
        <v>23</v>
      </c>
      <c r="K107" s="9" t="s">
        <v>24</v>
      </c>
      <c r="L107" s="9" t="s">
        <v>25</v>
      </c>
      <c r="M107" s="16" t="s">
        <v>26</v>
      </c>
      <c r="N107" s="9" t="s">
        <v>27</v>
      </c>
      <c r="O107" s="21" t="s">
        <v>1</v>
      </c>
      <c r="P107" s="8" t="s">
        <v>2</v>
      </c>
      <c r="Q107" s="9" t="s">
        <v>28</v>
      </c>
      <c r="R107" s="9" t="s">
        <v>8</v>
      </c>
      <c r="S107" s="9" t="s">
        <v>9</v>
      </c>
      <c r="T107" s="9" t="s">
        <v>10</v>
      </c>
      <c r="U107" s="9" t="s">
        <v>29</v>
      </c>
      <c r="V107" s="9" t="s">
        <v>11</v>
      </c>
      <c r="W107" s="9" t="s">
        <v>12</v>
      </c>
      <c r="X107" s="9" t="s">
        <v>13</v>
      </c>
      <c r="Y107" s="9" t="s">
        <v>14</v>
      </c>
    </row>
    <row r="108" spans="2:25" s="43" customFormat="1" ht="18.95" customHeight="1" thickBot="1" x14ac:dyDescent="0.35">
      <c r="B108" s="44" t="s">
        <v>31</v>
      </c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6"/>
      <c r="O108" s="44" t="s">
        <v>31</v>
      </c>
      <c r="P108" s="45"/>
      <c r="Q108" s="47"/>
      <c r="R108" s="45"/>
      <c r="S108" s="47"/>
      <c r="T108" s="45"/>
      <c r="U108" s="45"/>
      <c r="V108" s="45"/>
      <c r="W108" s="45"/>
      <c r="X108" s="45"/>
      <c r="Y108" s="48"/>
    </row>
    <row r="109" spans="2:25" s="43" customFormat="1" ht="18.95" customHeight="1" thickBot="1" x14ac:dyDescent="0.35">
      <c r="B109" s="44" t="s">
        <v>149</v>
      </c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6"/>
      <c r="O109" s="44" t="s">
        <v>149</v>
      </c>
      <c r="P109" s="45"/>
      <c r="Q109" s="47"/>
      <c r="R109" s="45"/>
      <c r="S109" s="47"/>
      <c r="T109" s="45"/>
      <c r="U109" s="45"/>
      <c r="V109" s="45"/>
      <c r="W109" s="45"/>
      <c r="X109" s="45"/>
      <c r="Y109" s="48"/>
    </row>
    <row r="110" spans="2:25" s="43" customFormat="1" ht="18.95" customHeight="1" thickBot="1" x14ac:dyDescent="0.35">
      <c r="B110" s="49"/>
      <c r="C110" s="49" t="s">
        <v>48</v>
      </c>
      <c r="D110" s="41"/>
      <c r="E110" s="50">
        <v>1</v>
      </c>
      <c r="F110" s="50"/>
      <c r="G110" s="50"/>
      <c r="H110" s="50"/>
      <c r="I110" s="50"/>
      <c r="J110" s="50"/>
      <c r="K110" s="50"/>
      <c r="L110" s="50"/>
      <c r="M110" s="50"/>
      <c r="N110" s="50"/>
      <c r="O110" s="49" t="s">
        <v>48</v>
      </c>
      <c r="P110" s="41"/>
      <c r="Q110" s="50"/>
      <c r="R110" s="50"/>
      <c r="S110" s="50"/>
      <c r="T110" s="50"/>
      <c r="U110" s="50"/>
      <c r="V110" s="50"/>
      <c r="W110" s="50"/>
      <c r="X110" s="49"/>
      <c r="Y110" s="50">
        <f t="shared" si="5"/>
        <v>1</v>
      </c>
    </row>
    <row r="111" spans="2:25" s="43" customFormat="1" ht="18.95" customHeight="1" thickBot="1" x14ac:dyDescent="0.35">
      <c r="B111" s="49"/>
      <c r="C111" s="49"/>
      <c r="D111" s="41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41"/>
      <c r="P111" s="41"/>
      <c r="Q111" s="50"/>
      <c r="R111" s="50"/>
      <c r="S111" s="50"/>
      <c r="T111" s="50"/>
      <c r="U111" s="50"/>
      <c r="V111" s="50"/>
      <c r="W111" s="50"/>
      <c r="X111" s="49"/>
      <c r="Y111" s="50"/>
    </row>
    <row r="112" spans="2:25" s="43" customFormat="1" ht="18.95" customHeight="1" thickBot="1" x14ac:dyDescent="0.35">
      <c r="B112" s="44" t="s">
        <v>150</v>
      </c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6"/>
      <c r="O112" s="44" t="s">
        <v>150</v>
      </c>
      <c r="P112" s="45"/>
      <c r="Q112" s="47"/>
      <c r="R112" s="45"/>
      <c r="S112" s="47"/>
      <c r="T112" s="45"/>
      <c r="U112" s="45"/>
      <c r="V112" s="45"/>
      <c r="W112" s="45"/>
      <c r="X112" s="45"/>
      <c r="Y112" s="48"/>
    </row>
    <row r="113" spans="2:25" s="43" customFormat="1" ht="18.95" customHeight="1" thickBot="1" x14ac:dyDescent="0.35">
      <c r="B113" s="49"/>
      <c r="C113" s="49" t="s">
        <v>51</v>
      </c>
      <c r="D113" s="41"/>
      <c r="E113" s="50"/>
      <c r="F113" s="50">
        <v>4</v>
      </c>
      <c r="G113" s="50"/>
      <c r="H113" s="50"/>
      <c r="I113" s="50"/>
      <c r="J113" s="50"/>
      <c r="K113" s="50"/>
      <c r="L113" s="50"/>
      <c r="M113" s="50"/>
      <c r="N113" s="50"/>
      <c r="O113" s="49" t="s">
        <v>51</v>
      </c>
      <c r="P113" s="41"/>
      <c r="Q113" s="50"/>
      <c r="R113" s="50"/>
      <c r="S113" s="50"/>
      <c r="T113" s="50"/>
      <c r="U113" s="50"/>
      <c r="V113" s="50"/>
      <c r="W113" s="50"/>
      <c r="X113" s="49"/>
      <c r="Y113" s="50">
        <f>SUM(E113:X113)</f>
        <v>4</v>
      </c>
    </row>
    <row r="114" spans="2:25" s="43" customFormat="1" ht="18.95" customHeight="1" thickBot="1" x14ac:dyDescent="0.35">
      <c r="B114" s="44" t="s">
        <v>151</v>
      </c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6"/>
      <c r="O114" s="44" t="s">
        <v>151</v>
      </c>
      <c r="P114" s="45"/>
      <c r="Q114" s="47"/>
      <c r="R114" s="45"/>
      <c r="S114" s="47"/>
      <c r="T114" s="45"/>
      <c r="U114" s="45"/>
      <c r="V114" s="45"/>
      <c r="W114" s="45"/>
      <c r="X114" s="45"/>
      <c r="Y114" s="48"/>
    </row>
    <row r="115" spans="2:25" s="43" customFormat="1" ht="18.95" customHeight="1" thickBot="1" x14ac:dyDescent="0.35">
      <c r="B115" s="49"/>
      <c r="C115" s="49" t="s">
        <v>53</v>
      </c>
      <c r="D115" s="41"/>
      <c r="E115" s="50"/>
      <c r="F115" s="50"/>
      <c r="G115" s="50"/>
      <c r="H115" s="50">
        <v>1</v>
      </c>
      <c r="I115" s="50"/>
      <c r="J115" s="50"/>
      <c r="K115" s="50"/>
      <c r="L115" s="50"/>
      <c r="M115" s="50"/>
      <c r="N115" s="50"/>
      <c r="O115" s="49" t="s">
        <v>53</v>
      </c>
      <c r="P115" s="41"/>
      <c r="Q115" s="50"/>
      <c r="R115" s="50"/>
      <c r="S115" s="50"/>
      <c r="T115" s="50"/>
      <c r="U115" s="50"/>
      <c r="V115" s="50"/>
      <c r="W115" s="50"/>
      <c r="X115" s="49"/>
      <c r="Y115" s="50">
        <f>SUM(E115:X115)</f>
        <v>1</v>
      </c>
    </row>
    <row r="116" spans="2:25" s="43" customFormat="1" ht="18.95" customHeight="1" thickBot="1" x14ac:dyDescent="0.35">
      <c r="B116" s="49"/>
      <c r="C116" s="49" t="s">
        <v>105</v>
      </c>
      <c r="D116" s="41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49" t="s">
        <v>105</v>
      </c>
      <c r="P116" s="41"/>
      <c r="Q116" s="50"/>
      <c r="R116" s="50"/>
      <c r="S116" s="50"/>
      <c r="T116" s="50"/>
      <c r="U116" s="50"/>
      <c r="V116" s="50"/>
      <c r="W116" s="50"/>
      <c r="X116" s="49"/>
      <c r="Y116" s="50">
        <f>SUM(E116:X116)</f>
        <v>0</v>
      </c>
    </row>
    <row r="117" spans="2:25" s="43" customFormat="1" ht="18.95" customHeight="1" thickBot="1" x14ac:dyDescent="0.35">
      <c r="B117" s="49"/>
      <c r="C117" s="49" t="s">
        <v>54</v>
      </c>
      <c r="D117" s="41"/>
      <c r="E117" s="50"/>
      <c r="F117" s="50"/>
      <c r="G117" s="50"/>
      <c r="H117" s="50">
        <v>3</v>
      </c>
      <c r="I117" s="50"/>
      <c r="J117" s="50"/>
      <c r="K117" s="50"/>
      <c r="L117" s="50"/>
      <c r="M117" s="50"/>
      <c r="N117" s="50"/>
      <c r="O117" s="49" t="s">
        <v>54</v>
      </c>
      <c r="P117" s="41"/>
      <c r="Q117" s="50"/>
      <c r="R117" s="50"/>
      <c r="S117" s="50"/>
      <c r="T117" s="50"/>
      <c r="U117" s="50"/>
      <c r="V117" s="50"/>
      <c r="W117" s="50"/>
      <c r="X117" s="49"/>
      <c r="Y117" s="50">
        <f>SUM(E117:X117)</f>
        <v>3</v>
      </c>
    </row>
    <row r="118" spans="2:25" s="43" customFormat="1" ht="18.95" customHeight="1" thickBot="1" x14ac:dyDescent="0.35">
      <c r="B118" s="44" t="s">
        <v>155</v>
      </c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6"/>
      <c r="O118" s="44" t="s">
        <v>155</v>
      </c>
      <c r="P118" s="45"/>
      <c r="Q118" s="47"/>
      <c r="R118" s="45"/>
      <c r="S118" s="47"/>
      <c r="T118" s="45"/>
      <c r="U118" s="45"/>
      <c r="V118" s="45"/>
      <c r="W118" s="45"/>
      <c r="X118" s="45"/>
      <c r="Y118" s="48"/>
    </row>
    <row r="119" spans="2:25" s="43" customFormat="1" ht="18.95" customHeight="1" thickBot="1" x14ac:dyDescent="0.35">
      <c r="B119" s="49"/>
      <c r="C119" s="49" t="s">
        <v>129</v>
      </c>
      <c r="D119" s="41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41"/>
      <c r="P119" s="41"/>
      <c r="Q119" s="50"/>
      <c r="R119" s="50"/>
      <c r="S119" s="50"/>
      <c r="T119" s="50"/>
      <c r="U119" s="50"/>
      <c r="V119" s="50"/>
      <c r="W119" s="50"/>
      <c r="X119" s="49"/>
      <c r="Y119" s="50"/>
    </row>
    <row r="120" spans="2:25" s="43" customFormat="1" ht="18.95" customHeight="1" thickBot="1" x14ac:dyDescent="0.35">
      <c r="B120" s="44" t="s">
        <v>152</v>
      </c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6"/>
      <c r="O120" s="44" t="s">
        <v>152</v>
      </c>
      <c r="P120" s="45"/>
      <c r="Q120" s="47"/>
      <c r="R120" s="45"/>
      <c r="S120" s="47"/>
      <c r="T120" s="45"/>
      <c r="U120" s="45"/>
      <c r="V120" s="45"/>
      <c r="W120" s="45"/>
      <c r="X120" s="45"/>
      <c r="Y120" s="48"/>
    </row>
    <row r="121" spans="2:25" s="43" customFormat="1" ht="18.95" customHeight="1" thickBot="1" x14ac:dyDescent="0.35">
      <c r="B121" s="49"/>
      <c r="C121" s="49" t="s">
        <v>96</v>
      </c>
      <c r="D121" s="41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49" t="s">
        <v>96</v>
      </c>
      <c r="P121" s="41"/>
      <c r="Q121" s="50"/>
      <c r="R121" s="50"/>
      <c r="S121" s="50"/>
      <c r="T121" s="50"/>
      <c r="U121" s="50">
        <v>1</v>
      </c>
      <c r="V121" s="50"/>
      <c r="W121" s="50"/>
      <c r="X121" s="49"/>
      <c r="Y121" s="50">
        <f>SUM(E121:X121)</f>
        <v>1</v>
      </c>
    </row>
    <row r="122" spans="2:25" s="43" customFormat="1" ht="18.95" customHeight="1" thickBot="1" x14ac:dyDescent="0.35">
      <c r="B122" s="49"/>
      <c r="C122" s="49" t="s">
        <v>158</v>
      </c>
      <c r="D122" s="41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49" t="s">
        <v>158</v>
      </c>
      <c r="P122" s="41"/>
      <c r="Q122" s="50"/>
      <c r="R122" s="50"/>
      <c r="S122" s="50"/>
      <c r="T122" s="50"/>
      <c r="U122" s="50"/>
      <c r="V122" s="50"/>
      <c r="W122" s="50"/>
      <c r="X122" s="49"/>
      <c r="Y122" s="50">
        <f>SUM(E122:X122)</f>
        <v>0</v>
      </c>
    </row>
    <row r="123" spans="2:25" s="43" customFormat="1" ht="18.95" customHeight="1" thickBot="1" x14ac:dyDescent="0.35">
      <c r="B123" s="49"/>
      <c r="C123" s="49" t="s">
        <v>95</v>
      </c>
      <c r="D123" s="41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49" t="s">
        <v>95</v>
      </c>
      <c r="P123" s="41"/>
      <c r="Q123" s="50"/>
      <c r="R123" s="50"/>
      <c r="S123" s="50"/>
      <c r="T123" s="50"/>
      <c r="U123" s="50">
        <v>7</v>
      </c>
      <c r="V123" s="50"/>
      <c r="W123" s="50"/>
      <c r="X123" s="49"/>
      <c r="Y123" s="50">
        <f>SUM(E123:X123)</f>
        <v>7</v>
      </c>
    </row>
    <row r="124" spans="2:25" s="43" customFormat="1" ht="18.95" customHeight="1" thickBot="1" x14ac:dyDescent="0.35">
      <c r="B124" s="44" t="s">
        <v>153</v>
      </c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6"/>
      <c r="O124" s="44" t="s">
        <v>153</v>
      </c>
      <c r="P124" s="45"/>
      <c r="Q124" s="47"/>
      <c r="R124" s="45"/>
      <c r="S124" s="47"/>
      <c r="T124" s="45"/>
      <c r="U124" s="45"/>
      <c r="V124" s="45"/>
      <c r="W124" s="45"/>
      <c r="X124" s="45"/>
      <c r="Y124" s="48"/>
    </row>
    <row r="125" spans="2:25" s="43" customFormat="1" ht="18.95" customHeight="1" thickBot="1" x14ac:dyDescent="0.35">
      <c r="B125" s="49"/>
      <c r="C125" s="49" t="s">
        <v>56</v>
      </c>
      <c r="D125" s="41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49" t="s">
        <v>56</v>
      </c>
      <c r="P125" s="41"/>
      <c r="Q125" s="50"/>
      <c r="R125" s="50"/>
      <c r="S125" s="50"/>
      <c r="T125" s="50"/>
      <c r="U125" s="50"/>
      <c r="V125" s="50"/>
      <c r="W125" s="50"/>
      <c r="X125" s="49"/>
      <c r="Y125" s="50">
        <f>SUM(E125:X125)</f>
        <v>0</v>
      </c>
    </row>
    <row r="126" spans="2:25" s="43" customFormat="1" ht="18.95" customHeight="1" thickBot="1" x14ac:dyDescent="0.35">
      <c r="B126" s="49"/>
      <c r="C126" s="49" t="s">
        <v>139</v>
      </c>
      <c r="D126" s="41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49" t="s">
        <v>139</v>
      </c>
      <c r="P126" s="41"/>
      <c r="Q126" s="50"/>
      <c r="R126" s="50"/>
      <c r="S126" s="50"/>
      <c r="T126" s="50"/>
      <c r="U126" s="50"/>
      <c r="V126" s="50"/>
      <c r="W126" s="50"/>
      <c r="X126" s="49"/>
      <c r="Y126" s="50">
        <f>SUM(E126:X126)</f>
        <v>0</v>
      </c>
    </row>
    <row r="127" spans="2:25" s="43" customFormat="1" ht="18.95" customHeight="1" thickBot="1" x14ac:dyDescent="0.35">
      <c r="B127" s="49"/>
      <c r="C127" s="49" t="s">
        <v>38</v>
      </c>
      <c r="D127" s="41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49" t="s">
        <v>38</v>
      </c>
      <c r="P127" s="41"/>
      <c r="Q127" s="50"/>
      <c r="R127" s="50"/>
      <c r="S127" s="50"/>
      <c r="T127" s="50"/>
      <c r="U127" s="50"/>
      <c r="V127" s="50">
        <v>1</v>
      </c>
      <c r="W127" s="50"/>
      <c r="X127" s="49"/>
      <c r="Y127" s="50">
        <f>SUM(E127:X127)</f>
        <v>1</v>
      </c>
    </row>
    <row r="128" spans="2:25" s="43" customFormat="1" ht="18.95" customHeight="1" thickBot="1" x14ac:dyDescent="0.35">
      <c r="B128" s="44" t="s">
        <v>159</v>
      </c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6"/>
      <c r="O128" s="44" t="s">
        <v>159</v>
      </c>
      <c r="P128" s="45"/>
      <c r="Q128" s="47"/>
      <c r="R128" s="45"/>
      <c r="S128" s="47"/>
      <c r="T128" s="45"/>
      <c r="U128" s="45"/>
      <c r="V128" s="45"/>
      <c r="W128" s="45"/>
      <c r="X128" s="45"/>
      <c r="Y128" s="48"/>
    </row>
    <row r="129" spans="2:25" s="43" customFormat="1" ht="18.95" customHeight="1" thickBot="1" x14ac:dyDescent="0.35">
      <c r="B129" s="49"/>
      <c r="C129" s="49" t="s">
        <v>141</v>
      </c>
      <c r="D129" s="41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49" t="s">
        <v>141</v>
      </c>
      <c r="P129" s="41"/>
      <c r="Q129" s="50"/>
      <c r="R129" s="50"/>
      <c r="S129" s="50"/>
      <c r="T129" s="50"/>
      <c r="U129" s="50"/>
      <c r="V129" s="50"/>
      <c r="W129" s="50"/>
      <c r="X129" s="49"/>
      <c r="Y129" s="50">
        <f>SUM(D129:X129)</f>
        <v>0</v>
      </c>
    </row>
    <row r="130" spans="2:25" s="43" customFormat="1" ht="18.95" customHeight="1" thickBot="1" x14ac:dyDescent="0.35">
      <c r="B130" s="49"/>
      <c r="C130" s="49" t="s">
        <v>148</v>
      </c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 t="s">
        <v>148</v>
      </c>
      <c r="P130" s="49"/>
      <c r="Q130" s="49"/>
      <c r="R130" s="49"/>
      <c r="S130" s="49"/>
      <c r="T130" s="49"/>
      <c r="U130" s="49"/>
      <c r="V130" s="49"/>
      <c r="W130" s="49"/>
      <c r="X130" s="49"/>
      <c r="Y130" s="49">
        <f>SUM(D130:X130)</f>
        <v>0</v>
      </c>
    </row>
    <row r="131" spans="2:25" s="43" customFormat="1" ht="18.95" customHeight="1" thickBot="1" x14ac:dyDescent="0.35">
      <c r="B131" s="49"/>
      <c r="C131" s="49" t="s">
        <v>39</v>
      </c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 t="s">
        <v>39</v>
      </c>
      <c r="P131" s="49"/>
      <c r="Q131" s="49"/>
      <c r="R131" s="49"/>
      <c r="S131" s="49"/>
      <c r="T131" s="49"/>
      <c r="U131" s="49"/>
      <c r="V131" s="49"/>
      <c r="W131" s="49"/>
      <c r="X131" s="49"/>
      <c r="Y131" s="49">
        <f>SUM(D131:X131)</f>
        <v>0</v>
      </c>
    </row>
    <row r="132" spans="2:25" s="43" customFormat="1" ht="18.95" customHeight="1" x14ac:dyDescent="0.3">
      <c r="B132" s="51"/>
      <c r="C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Q132" s="51"/>
      <c r="R132" s="51"/>
      <c r="S132" s="51"/>
      <c r="T132" s="51"/>
      <c r="U132" s="51"/>
      <c r="V132" s="51"/>
      <c r="W132" s="51"/>
      <c r="X132" s="51"/>
      <c r="Y132" s="51"/>
    </row>
    <row r="133" spans="2:25" s="43" customFormat="1" ht="18.95" customHeight="1" x14ac:dyDescent="0.3">
      <c r="B133" s="51"/>
      <c r="C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Q133" s="51"/>
      <c r="R133" s="51"/>
      <c r="S133" s="51"/>
      <c r="T133" s="51"/>
      <c r="U133" s="51"/>
      <c r="V133" s="51"/>
      <c r="W133" s="51"/>
      <c r="X133" s="51"/>
      <c r="Y133" s="51"/>
    </row>
    <row r="134" spans="2:25" ht="27" x14ac:dyDescent="0.35">
      <c r="B134" s="22" t="s">
        <v>41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2:25" ht="28.5" thickBot="1" x14ac:dyDescent="0.45">
      <c r="B135" s="1" t="s">
        <v>42</v>
      </c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2"/>
      <c r="S135" s="1"/>
      <c r="T135" s="1"/>
      <c r="U135" s="1"/>
      <c r="V135" s="1"/>
      <c r="W135" s="27"/>
      <c r="X135" s="1"/>
      <c r="Y135" s="1"/>
    </row>
    <row r="136" spans="2:25" ht="102.75" thickBot="1" x14ac:dyDescent="0.25">
      <c r="B136" s="8" t="s">
        <v>0</v>
      </c>
      <c r="C136" s="8" t="s">
        <v>1</v>
      </c>
      <c r="D136" s="8" t="s">
        <v>2</v>
      </c>
      <c r="E136" s="9" t="s">
        <v>3</v>
      </c>
      <c r="F136" s="9" t="s">
        <v>4</v>
      </c>
      <c r="G136" s="9" t="s">
        <v>5</v>
      </c>
      <c r="H136" s="9" t="s">
        <v>6</v>
      </c>
      <c r="I136" s="9" t="s">
        <v>7</v>
      </c>
      <c r="J136" s="9" t="s">
        <v>23</v>
      </c>
      <c r="K136" s="9" t="s">
        <v>24</v>
      </c>
      <c r="L136" s="9" t="s">
        <v>25</v>
      </c>
      <c r="M136" s="16" t="s">
        <v>26</v>
      </c>
      <c r="N136" s="9" t="s">
        <v>27</v>
      </c>
      <c r="O136" s="21" t="s">
        <v>1</v>
      </c>
      <c r="P136" s="8" t="s">
        <v>2</v>
      </c>
      <c r="Q136" s="9" t="s">
        <v>28</v>
      </c>
      <c r="R136" s="9" t="s">
        <v>8</v>
      </c>
      <c r="S136" s="9" t="s">
        <v>9</v>
      </c>
      <c r="T136" s="9" t="s">
        <v>10</v>
      </c>
      <c r="U136" s="9" t="s">
        <v>29</v>
      </c>
      <c r="V136" s="9" t="s">
        <v>11</v>
      </c>
      <c r="W136" s="9" t="s">
        <v>12</v>
      </c>
      <c r="X136" s="9" t="s">
        <v>13</v>
      </c>
      <c r="Y136" s="9" t="s">
        <v>14</v>
      </c>
    </row>
    <row r="137" spans="2:25" s="43" customFormat="1" ht="18.95" customHeight="1" thickBot="1" x14ac:dyDescent="0.35">
      <c r="B137" s="44" t="s">
        <v>32</v>
      </c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6"/>
      <c r="O137" s="44" t="s">
        <v>32</v>
      </c>
      <c r="P137" s="45"/>
      <c r="Q137" s="47"/>
      <c r="R137" s="45"/>
      <c r="S137" s="47"/>
      <c r="T137" s="45"/>
      <c r="U137" s="45"/>
      <c r="V137" s="45"/>
      <c r="W137" s="45"/>
      <c r="X137" s="45"/>
      <c r="Y137" s="52"/>
    </row>
    <row r="138" spans="2:25" s="43" customFormat="1" ht="18.95" customHeight="1" thickBot="1" x14ac:dyDescent="0.35">
      <c r="B138" s="44" t="s">
        <v>149</v>
      </c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6"/>
      <c r="O138" s="44" t="s">
        <v>149</v>
      </c>
      <c r="P138" s="45"/>
      <c r="Q138" s="47"/>
      <c r="R138" s="45"/>
      <c r="S138" s="47"/>
      <c r="T138" s="45"/>
      <c r="U138" s="45"/>
      <c r="V138" s="45"/>
      <c r="W138" s="45"/>
      <c r="X138" s="45"/>
      <c r="Y138" s="48">
        <f t="shared" si="5"/>
        <v>0</v>
      </c>
    </row>
    <row r="139" spans="2:25" s="43" customFormat="1" ht="18.95" customHeight="1" thickBot="1" x14ac:dyDescent="0.35">
      <c r="B139" s="49"/>
      <c r="C139" s="49" t="s">
        <v>48</v>
      </c>
      <c r="D139" s="41"/>
      <c r="E139" s="50">
        <v>1</v>
      </c>
      <c r="F139" s="50"/>
      <c r="G139" s="50"/>
      <c r="H139" s="50"/>
      <c r="I139" s="50"/>
      <c r="J139" s="50"/>
      <c r="K139" s="50"/>
      <c r="L139" s="50"/>
      <c r="M139" s="50"/>
      <c r="N139" s="50"/>
      <c r="O139" s="49" t="s">
        <v>48</v>
      </c>
      <c r="P139" s="41"/>
      <c r="Q139" s="50"/>
      <c r="R139" s="50"/>
      <c r="S139" s="50"/>
      <c r="T139" s="50"/>
      <c r="U139" s="50"/>
      <c r="V139" s="50"/>
      <c r="W139" s="50"/>
      <c r="X139" s="49"/>
      <c r="Y139" s="50">
        <f>SUM(E139:X139)</f>
        <v>1</v>
      </c>
    </row>
    <row r="140" spans="2:25" s="43" customFormat="1" ht="18.95" customHeight="1" thickBot="1" x14ac:dyDescent="0.35">
      <c r="B140" s="44" t="s">
        <v>150</v>
      </c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6"/>
      <c r="O140" s="44" t="s">
        <v>150</v>
      </c>
      <c r="P140" s="45"/>
      <c r="Q140" s="47"/>
      <c r="R140" s="45"/>
      <c r="S140" s="47"/>
      <c r="T140" s="45"/>
      <c r="U140" s="45"/>
      <c r="V140" s="45"/>
      <c r="W140" s="45"/>
      <c r="X140" s="45"/>
      <c r="Y140" s="48">
        <f t="shared" si="5"/>
        <v>0</v>
      </c>
    </row>
    <row r="141" spans="2:25" s="43" customFormat="1" ht="18.95" customHeight="1" thickBot="1" x14ac:dyDescent="0.35">
      <c r="B141" s="49"/>
      <c r="C141" s="49" t="s">
        <v>52</v>
      </c>
      <c r="D141" s="41"/>
      <c r="E141" s="49"/>
      <c r="F141" s="49">
        <v>3</v>
      </c>
      <c r="G141" s="49"/>
      <c r="H141" s="49"/>
      <c r="I141" s="49"/>
      <c r="J141" s="49"/>
      <c r="K141" s="49"/>
      <c r="L141" s="49"/>
      <c r="M141" s="49"/>
      <c r="N141" s="49"/>
      <c r="O141" s="49" t="s">
        <v>52</v>
      </c>
      <c r="P141" s="41"/>
      <c r="Q141" s="49"/>
      <c r="R141" s="49"/>
      <c r="S141" s="49"/>
      <c r="T141" s="49"/>
      <c r="U141" s="49"/>
      <c r="V141" s="49"/>
      <c r="W141" s="49"/>
      <c r="X141" s="49"/>
      <c r="Y141" s="50">
        <f>SUM(E141:X141)</f>
        <v>3</v>
      </c>
    </row>
    <row r="142" spans="2:25" s="43" customFormat="1" ht="18.95" customHeight="1" thickBot="1" x14ac:dyDescent="0.35">
      <c r="B142" s="44" t="s">
        <v>155</v>
      </c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6"/>
      <c r="O142" s="44" t="s">
        <v>155</v>
      </c>
      <c r="P142" s="45"/>
      <c r="Q142" s="47"/>
      <c r="R142" s="45"/>
      <c r="S142" s="47"/>
      <c r="T142" s="45"/>
      <c r="U142" s="45"/>
      <c r="V142" s="45"/>
      <c r="W142" s="45"/>
      <c r="X142" s="45"/>
      <c r="Y142" s="48"/>
    </row>
    <row r="143" spans="2:25" s="43" customFormat="1" ht="18.95" customHeight="1" thickBot="1" x14ac:dyDescent="0.35">
      <c r="B143" s="49"/>
      <c r="C143" s="49" t="s">
        <v>131</v>
      </c>
      <c r="D143" s="41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 t="s">
        <v>131</v>
      </c>
      <c r="P143" s="41"/>
      <c r="Q143" s="49"/>
      <c r="R143" s="49"/>
      <c r="S143" s="49"/>
      <c r="T143" s="49"/>
      <c r="U143" s="49"/>
      <c r="V143" s="49"/>
      <c r="W143" s="49"/>
      <c r="X143" s="49"/>
      <c r="Y143" s="50">
        <f>SUM(E143:X143)</f>
        <v>0</v>
      </c>
    </row>
    <row r="144" spans="2:25" s="43" customFormat="1" ht="18.95" customHeight="1" thickBot="1" x14ac:dyDescent="0.35">
      <c r="B144" s="49"/>
      <c r="C144" s="49" t="s">
        <v>129</v>
      </c>
      <c r="D144" s="41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 t="s">
        <v>129</v>
      </c>
      <c r="P144" s="41"/>
      <c r="Q144" s="49"/>
      <c r="R144" s="49"/>
      <c r="S144" s="49"/>
      <c r="T144" s="49"/>
      <c r="U144" s="49"/>
      <c r="V144" s="49"/>
      <c r="W144" s="49"/>
      <c r="X144" s="49"/>
      <c r="Y144" s="50">
        <f>SUM(E144:X144)</f>
        <v>0</v>
      </c>
    </row>
    <row r="145" spans="1:25" s="43" customFormat="1" ht="18.95" customHeight="1" thickBot="1" x14ac:dyDescent="0.35">
      <c r="B145" s="49"/>
      <c r="C145" s="49" t="s">
        <v>130</v>
      </c>
      <c r="D145" s="41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 t="s">
        <v>130</v>
      </c>
      <c r="P145" s="41"/>
      <c r="Q145" s="49"/>
      <c r="R145" s="49"/>
      <c r="S145" s="49"/>
      <c r="T145" s="49"/>
      <c r="U145" s="49"/>
      <c r="V145" s="49"/>
      <c r="W145" s="49"/>
      <c r="X145" s="49"/>
      <c r="Y145" s="50">
        <f>SUM(E145:X145)</f>
        <v>0</v>
      </c>
    </row>
    <row r="146" spans="1:25" s="43" customFormat="1" ht="18.95" customHeight="1" thickBot="1" x14ac:dyDescent="0.35">
      <c r="B146" s="44" t="s">
        <v>156</v>
      </c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6"/>
      <c r="O146" s="44" t="s">
        <v>156</v>
      </c>
      <c r="P146" s="45"/>
      <c r="Q146" s="47"/>
      <c r="R146" s="45"/>
      <c r="S146" s="47"/>
      <c r="T146" s="45"/>
      <c r="U146" s="45"/>
      <c r="V146" s="45"/>
      <c r="W146" s="45"/>
      <c r="X146" s="45"/>
      <c r="Y146" s="48"/>
    </row>
    <row r="147" spans="1:25" s="43" customFormat="1" ht="18.95" customHeight="1" thickBot="1" x14ac:dyDescent="0.35">
      <c r="B147" s="49"/>
      <c r="C147" s="49" t="s">
        <v>135</v>
      </c>
      <c r="D147" s="41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 t="s">
        <v>135</v>
      </c>
      <c r="P147" s="41"/>
      <c r="Q147" s="49"/>
      <c r="R147" s="49"/>
      <c r="S147" s="49"/>
      <c r="T147" s="49"/>
      <c r="U147" s="49"/>
      <c r="V147" s="49"/>
      <c r="W147" s="49"/>
      <c r="X147" s="49"/>
      <c r="Y147" s="50">
        <f>SUM(E147:X147)</f>
        <v>0</v>
      </c>
    </row>
    <row r="148" spans="1:25" s="43" customFormat="1" ht="18.95" customHeight="1" thickBot="1" x14ac:dyDescent="0.35">
      <c r="B148" s="44" t="s">
        <v>157</v>
      </c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6"/>
      <c r="O148" s="44" t="s">
        <v>157</v>
      </c>
      <c r="P148" s="45"/>
      <c r="Q148" s="47"/>
      <c r="R148" s="45"/>
      <c r="S148" s="47"/>
      <c r="T148" s="45"/>
      <c r="U148" s="45"/>
      <c r="V148" s="45"/>
      <c r="W148" s="45"/>
      <c r="X148" s="45"/>
      <c r="Y148" s="48"/>
    </row>
    <row r="149" spans="1:25" s="43" customFormat="1" ht="18.95" customHeight="1" thickBot="1" x14ac:dyDescent="0.35">
      <c r="B149" s="49"/>
      <c r="C149" s="49" t="s">
        <v>137</v>
      </c>
      <c r="D149" s="41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 t="s">
        <v>137</v>
      </c>
      <c r="P149" s="41"/>
      <c r="Q149" s="49"/>
      <c r="R149" s="49"/>
      <c r="S149" s="49"/>
      <c r="T149" s="49"/>
      <c r="U149" s="49"/>
      <c r="V149" s="49"/>
      <c r="W149" s="49"/>
      <c r="X149" s="49"/>
      <c r="Y149" s="50">
        <f>SUM(E149:X149)</f>
        <v>0</v>
      </c>
    </row>
    <row r="150" spans="1:25" s="43" customFormat="1" ht="18.95" customHeight="1" thickBot="1" x14ac:dyDescent="0.35">
      <c r="B150" s="49"/>
      <c r="C150" s="49" t="s">
        <v>136</v>
      </c>
      <c r="D150" s="41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 t="s">
        <v>136</v>
      </c>
      <c r="P150" s="41"/>
      <c r="Q150" s="49"/>
      <c r="R150" s="49"/>
      <c r="S150" s="49"/>
      <c r="T150" s="49"/>
      <c r="U150" s="49"/>
      <c r="V150" s="49"/>
      <c r="W150" s="49"/>
      <c r="X150" s="49"/>
      <c r="Y150" s="50">
        <f>SUM(E150:X150)</f>
        <v>0</v>
      </c>
    </row>
    <row r="151" spans="1:25" s="43" customFormat="1" ht="18.95" customHeight="1" thickBot="1" x14ac:dyDescent="0.35">
      <c r="B151" s="44" t="s">
        <v>152</v>
      </c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6"/>
      <c r="O151" s="44" t="s">
        <v>152</v>
      </c>
      <c r="P151" s="45"/>
      <c r="Q151" s="47"/>
      <c r="R151" s="45"/>
      <c r="S151" s="47"/>
      <c r="T151" s="45"/>
      <c r="U151" s="45"/>
      <c r="V151" s="45"/>
      <c r="W151" s="45"/>
      <c r="X151" s="45"/>
      <c r="Y151" s="48"/>
    </row>
    <row r="152" spans="1:25" s="43" customFormat="1" ht="18.95" customHeight="1" thickBot="1" x14ac:dyDescent="0.35">
      <c r="B152" s="49"/>
      <c r="C152" s="49" t="s">
        <v>96</v>
      </c>
      <c r="D152" s="53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49" t="s">
        <v>96</v>
      </c>
      <c r="P152" s="64"/>
      <c r="Q152" s="64"/>
      <c r="R152" s="64"/>
      <c r="S152" s="64"/>
      <c r="T152" s="64"/>
      <c r="U152" s="64">
        <v>2</v>
      </c>
      <c r="V152" s="64"/>
      <c r="W152" s="64"/>
      <c r="X152" s="64"/>
      <c r="Y152" s="50">
        <f>SUM(E152:X152)</f>
        <v>2</v>
      </c>
    </row>
    <row r="153" spans="1:25" s="43" customFormat="1" ht="18.95" customHeight="1" thickBot="1" x14ac:dyDescent="0.35">
      <c r="B153" s="44" t="s">
        <v>154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6"/>
      <c r="O153" s="44" t="s">
        <v>154</v>
      </c>
      <c r="P153" s="45"/>
      <c r="Q153" s="47"/>
      <c r="R153" s="45"/>
      <c r="S153" s="47"/>
      <c r="T153" s="45"/>
      <c r="U153" s="45"/>
      <c r="V153" s="45"/>
      <c r="W153" s="45"/>
      <c r="X153" s="45"/>
      <c r="Y153" s="48"/>
    </row>
    <row r="154" spans="1:25" s="43" customFormat="1" ht="18.95" customHeight="1" thickBot="1" x14ac:dyDescent="0.35">
      <c r="B154" s="49"/>
      <c r="C154" s="49" t="s">
        <v>100</v>
      </c>
      <c r="D154" s="53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49" t="s">
        <v>100</v>
      </c>
      <c r="P154" s="64"/>
      <c r="Q154" s="64"/>
      <c r="R154" s="64"/>
      <c r="S154" s="64"/>
      <c r="T154" s="64"/>
      <c r="U154" s="64"/>
      <c r="V154" s="64"/>
      <c r="W154" s="64">
        <v>1</v>
      </c>
      <c r="X154" s="64"/>
      <c r="Y154" s="50">
        <f>SUM(E154:X154)</f>
        <v>1</v>
      </c>
    </row>
    <row r="155" spans="1:25" s="43" customFormat="1" ht="18.95" customHeight="1" thickBot="1" x14ac:dyDescent="0.35">
      <c r="B155" s="49"/>
      <c r="C155" s="49" t="s">
        <v>140</v>
      </c>
      <c r="D155" s="53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49" t="s">
        <v>140</v>
      </c>
      <c r="P155" s="64"/>
      <c r="Q155" s="64"/>
      <c r="R155" s="64"/>
      <c r="S155" s="64"/>
      <c r="T155" s="64"/>
      <c r="U155" s="64"/>
      <c r="V155" s="64"/>
      <c r="W155" s="64"/>
      <c r="X155" s="64"/>
      <c r="Y155" s="50">
        <f>SUM(E155:X155)</f>
        <v>0</v>
      </c>
    </row>
    <row r="156" spans="1:25" s="43" customFormat="1" ht="18.75" customHeight="1" thickBot="1" x14ac:dyDescent="0.35">
      <c r="B156" s="49"/>
      <c r="C156" s="49" t="s">
        <v>162</v>
      </c>
      <c r="D156" s="53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49" t="s">
        <v>99</v>
      </c>
      <c r="P156" s="64"/>
      <c r="Q156" s="64"/>
      <c r="R156" s="64"/>
      <c r="S156" s="64"/>
      <c r="T156" s="64"/>
      <c r="U156" s="64"/>
      <c r="V156" s="64"/>
      <c r="W156" s="64">
        <v>12</v>
      </c>
      <c r="X156" s="64"/>
      <c r="Y156" s="50">
        <f>SUM(E156:X156)</f>
        <v>12</v>
      </c>
    </row>
    <row r="157" spans="1:25" s="43" customFormat="1" ht="18.95" customHeight="1" thickBot="1" x14ac:dyDescent="0.35">
      <c r="B157" s="44" t="s">
        <v>159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6"/>
      <c r="O157" s="44" t="s">
        <v>159</v>
      </c>
      <c r="P157" s="45"/>
      <c r="Q157" s="47"/>
      <c r="R157" s="45"/>
      <c r="S157" s="47"/>
      <c r="T157" s="45"/>
      <c r="U157" s="45"/>
      <c r="V157" s="45"/>
      <c r="W157" s="45"/>
      <c r="X157" s="45"/>
      <c r="Y157" s="48"/>
    </row>
    <row r="158" spans="1:25" s="43" customFormat="1" ht="18.95" customHeight="1" thickBot="1" x14ac:dyDescent="0.35">
      <c r="B158" s="49"/>
      <c r="C158" s="49" t="s">
        <v>161</v>
      </c>
      <c r="D158" s="53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49" t="s">
        <v>161</v>
      </c>
      <c r="P158" s="64"/>
      <c r="Q158" s="64"/>
      <c r="R158" s="64"/>
      <c r="S158" s="64"/>
      <c r="T158" s="64"/>
      <c r="U158" s="64"/>
      <c r="V158" s="64"/>
      <c r="W158" s="64">
        <v>1</v>
      </c>
      <c r="X158" s="64"/>
      <c r="Y158" s="50">
        <f>SUM(E158:X158)</f>
        <v>1</v>
      </c>
    </row>
    <row r="159" spans="1:25" ht="15.75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19"/>
      <c r="Q159" s="4"/>
      <c r="R159" s="4"/>
      <c r="S159" s="19"/>
      <c r="T159" s="4"/>
      <c r="U159" s="4"/>
      <c r="V159" s="4"/>
      <c r="W159" s="4"/>
      <c r="X159" s="4"/>
      <c r="Y159" s="5"/>
    </row>
    <row r="160" spans="1:25" ht="15" customHeight="1" x14ac:dyDescent="0.25">
      <c r="A160" s="6"/>
      <c r="Y160" s="7"/>
    </row>
  </sheetData>
  <pageMargins left="0" right="0" top="0" bottom="0" header="0" footer="0"/>
  <pageSetup paperSize="5" scale="66" fitToHeight="0" orientation="landscape" r:id="rId1"/>
  <headerFooter alignWithMargins="0"/>
  <rowBreaks count="5" manualBreakCount="5">
    <brk id="40" max="16383" man="1"/>
    <brk id="61" max="16383" man="1"/>
    <brk id="103" max="16383" man="1"/>
    <brk id="133" max="16383" man="1"/>
    <brk id="17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4"/>
  <sheetViews>
    <sheetView view="pageBreakPreview" topLeftCell="B136" zoomScale="60" zoomScaleNormal="70" workbookViewId="0">
      <selection activeCell="F20" sqref="F20"/>
    </sheetView>
  </sheetViews>
  <sheetFormatPr defaultRowHeight="12.75" x14ac:dyDescent="0.2"/>
  <cols>
    <col min="1" max="1" width="3.28515625" hidden="1" customWidth="1"/>
    <col min="2" max="2" width="26.7109375" customWidth="1"/>
    <col min="3" max="3" width="30.85546875" customWidth="1"/>
    <col min="5" max="14" width="8.7109375" customWidth="1"/>
    <col min="15" max="15" width="29.5703125" customWidth="1"/>
    <col min="16" max="16" width="7.42578125" style="20" customWidth="1"/>
    <col min="17" max="17" width="7.42578125" customWidth="1"/>
    <col min="18" max="18" width="8.7109375" customWidth="1"/>
    <col min="19" max="19" width="8.7109375" style="20" customWidth="1"/>
    <col min="20" max="25" width="8.7109375" customWidth="1"/>
  </cols>
  <sheetData>
    <row r="1" spans="2:25" ht="27" x14ac:dyDescent="0.35">
      <c r="B1" s="22" t="s">
        <v>41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2:25" ht="28.5" thickBot="1" x14ac:dyDescent="0.45">
      <c r="B2" s="1" t="s">
        <v>33</v>
      </c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1"/>
      <c r="T2" s="1"/>
      <c r="U2" s="1"/>
      <c r="V2" s="1"/>
      <c r="W2" s="1"/>
      <c r="X2" s="1"/>
      <c r="Y2" s="1"/>
    </row>
    <row r="3" spans="2:25" ht="102.75" thickBot="1" x14ac:dyDescent="0.25">
      <c r="B3" s="8" t="s">
        <v>0</v>
      </c>
      <c r="C3" s="8" t="s">
        <v>1</v>
      </c>
      <c r="D3" s="8" t="s">
        <v>2</v>
      </c>
      <c r="E3" s="9" t="s">
        <v>3</v>
      </c>
      <c r="F3" s="9" t="s">
        <v>4</v>
      </c>
      <c r="G3" s="9" t="s">
        <v>5</v>
      </c>
      <c r="H3" s="9" t="s">
        <v>6</v>
      </c>
      <c r="I3" s="9" t="s">
        <v>7</v>
      </c>
      <c r="J3" s="9" t="s">
        <v>23</v>
      </c>
      <c r="K3" s="9" t="s">
        <v>24</v>
      </c>
      <c r="L3" s="9" t="s">
        <v>25</v>
      </c>
      <c r="M3" s="16" t="s">
        <v>26</v>
      </c>
      <c r="N3" s="9" t="s">
        <v>27</v>
      </c>
      <c r="O3" s="69" t="s">
        <v>1</v>
      </c>
      <c r="P3" s="8" t="s">
        <v>2</v>
      </c>
      <c r="Q3" s="9" t="s">
        <v>28</v>
      </c>
      <c r="R3" s="9" t="s">
        <v>8</v>
      </c>
      <c r="S3" s="9" t="s">
        <v>9</v>
      </c>
      <c r="T3" s="9" t="s">
        <v>10</v>
      </c>
      <c r="U3" s="9" t="s">
        <v>29</v>
      </c>
      <c r="V3" s="9" t="s">
        <v>11</v>
      </c>
      <c r="W3" s="9" t="s">
        <v>12</v>
      </c>
      <c r="X3" s="9" t="s">
        <v>13</v>
      </c>
      <c r="Y3" s="9" t="s">
        <v>14</v>
      </c>
    </row>
    <row r="4" spans="2:25" s="6" customFormat="1" ht="15" customHeight="1" thickBot="1" x14ac:dyDescent="0.3">
      <c r="B4" s="30" t="s">
        <v>160</v>
      </c>
      <c r="C4" s="31"/>
      <c r="D4" s="31"/>
      <c r="E4" s="32"/>
      <c r="F4" s="32"/>
      <c r="G4" s="31"/>
      <c r="H4" s="31"/>
      <c r="I4" s="31"/>
      <c r="J4" s="31"/>
      <c r="K4" s="31"/>
      <c r="L4" s="31"/>
      <c r="M4" s="31"/>
      <c r="N4" s="33"/>
      <c r="O4" s="30" t="s">
        <v>45</v>
      </c>
      <c r="P4" s="34"/>
      <c r="Q4" s="31"/>
      <c r="R4" s="31"/>
      <c r="S4" s="32"/>
      <c r="T4" s="31"/>
      <c r="U4" s="31"/>
      <c r="V4" s="31"/>
      <c r="W4" s="31"/>
      <c r="X4" s="31"/>
      <c r="Y4" s="35"/>
    </row>
    <row r="5" spans="2:25" s="6" customFormat="1" ht="18.95" customHeight="1" thickBot="1" x14ac:dyDescent="0.35">
      <c r="B5" s="36"/>
      <c r="C5" s="60" t="s">
        <v>46</v>
      </c>
      <c r="D5" s="42"/>
      <c r="E5" s="42"/>
      <c r="F5" s="42"/>
      <c r="G5" s="42">
        <v>3</v>
      </c>
      <c r="H5" s="42">
        <v>3</v>
      </c>
      <c r="I5" s="42"/>
      <c r="J5" s="42">
        <v>4</v>
      </c>
      <c r="K5" s="42">
        <v>27</v>
      </c>
      <c r="L5" s="42">
        <v>2</v>
      </c>
      <c r="M5" s="42"/>
      <c r="N5" s="42">
        <v>5</v>
      </c>
      <c r="O5" s="41" t="s">
        <v>46</v>
      </c>
      <c r="P5" s="54"/>
      <c r="Q5" s="50">
        <v>3</v>
      </c>
      <c r="R5" s="50">
        <v>1</v>
      </c>
      <c r="S5" s="50">
        <v>2</v>
      </c>
      <c r="T5" s="50"/>
      <c r="U5" s="50">
        <v>1</v>
      </c>
      <c r="V5" s="50">
        <v>3</v>
      </c>
      <c r="W5" s="50"/>
      <c r="X5" s="49">
        <v>4</v>
      </c>
      <c r="Y5" s="50">
        <f t="shared" ref="Y5:Y30" si="0">SUM(D5:X5)</f>
        <v>58</v>
      </c>
    </row>
    <row r="6" spans="2:25" s="6" customFormat="1" ht="18.95" customHeight="1" thickBot="1" x14ac:dyDescent="0.35">
      <c r="B6" s="36"/>
      <c r="C6" s="60" t="s">
        <v>47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1" t="s">
        <v>47</v>
      </c>
      <c r="P6" s="54"/>
      <c r="Q6" s="50"/>
      <c r="R6" s="50"/>
      <c r="S6" s="50"/>
      <c r="T6" s="50"/>
      <c r="U6" s="50"/>
      <c r="V6" s="50"/>
      <c r="W6" s="50"/>
      <c r="X6" s="49"/>
      <c r="Y6" s="50">
        <f t="shared" si="0"/>
        <v>0</v>
      </c>
    </row>
    <row r="7" spans="2:25" s="6" customFormat="1" ht="18.95" customHeight="1" thickBot="1" x14ac:dyDescent="0.35">
      <c r="B7" s="36"/>
      <c r="C7" s="60" t="s">
        <v>49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1" t="s">
        <v>49</v>
      </c>
      <c r="P7" s="54"/>
      <c r="Q7" s="50"/>
      <c r="R7" s="50"/>
      <c r="S7" s="50"/>
      <c r="T7" s="50"/>
      <c r="U7" s="50"/>
      <c r="V7" s="50"/>
      <c r="W7" s="50"/>
      <c r="X7" s="49"/>
      <c r="Y7" s="50">
        <f t="shared" si="0"/>
        <v>0</v>
      </c>
    </row>
    <row r="8" spans="2:25" s="6" customFormat="1" ht="18.95" customHeight="1" thickBot="1" x14ac:dyDescent="0.35">
      <c r="B8" s="36"/>
      <c r="C8" s="60" t="s">
        <v>50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1" t="s">
        <v>50</v>
      </c>
      <c r="P8" s="54"/>
      <c r="Q8" s="50"/>
      <c r="R8" s="50"/>
      <c r="S8" s="50"/>
      <c r="T8" s="50"/>
      <c r="U8" s="50"/>
      <c r="V8" s="50"/>
      <c r="W8" s="50"/>
      <c r="X8" s="49"/>
      <c r="Y8" s="50">
        <f t="shared" si="0"/>
        <v>0</v>
      </c>
    </row>
    <row r="9" spans="2:25" s="6" customFormat="1" ht="18.95" customHeight="1" thickBot="1" x14ac:dyDescent="0.35">
      <c r="B9" s="36"/>
      <c r="C9" s="60" t="s">
        <v>53</v>
      </c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1" t="s">
        <v>53</v>
      </c>
      <c r="P9" s="54"/>
      <c r="Q9" s="50"/>
      <c r="R9" s="50"/>
      <c r="S9" s="50"/>
      <c r="T9" s="50"/>
      <c r="U9" s="50"/>
      <c r="V9" s="50"/>
      <c r="W9" s="50"/>
      <c r="X9" s="49"/>
      <c r="Y9" s="50">
        <f t="shared" si="0"/>
        <v>0</v>
      </c>
    </row>
    <row r="10" spans="2:25" s="6" customFormat="1" ht="18.95" customHeight="1" thickBot="1" x14ac:dyDescent="0.35">
      <c r="B10" s="36"/>
      <c r="C10" s="60" t="s">
        <v>55</v>
      </c>
      <c r="D10" s="42"/>
      <c r="E10" s="42"/>
      <c r="F10" s="42"/>
      <c r="G10" s="42"/>
      <c r="H10" s="42"/>
      <c r="I10" s="42"/>
      <c r="J10" s="42"/>
      <c r="K10" s="42"/>
      <c r="L10" s="42">
        <v>1</v>
      </c>
      <c r="M10" s="42"/>
      <c r="N10" s="42"/>
      <c r="O10" s="41" t="s">
        <v>55</v>
      </c>
      <c r="P10" s="54"/>
      <c r="Q10" s="50"/>
      <c r="R10" s="50"/>
      <c r="S10" s="50"/>
      <c r="T10" s="50"/>
      <c r="U10" s="50"/>
      <c r="V10" s="50"/>
      <c r="W10" s="50"/>
      <c r="X10" s="49"/>
      <c r="Y10" s="50">
        <f t="shared" si="0"/>
        <v>1</v>
      </c>
    </row>
    <row r="11" spans="2:25" s="6" customFormat="1" ht="18.95" customHeight="1" thickBot="1" x14ac:dyDescent="0.35">
      <c r="B11" s="36"/>
      <c r="C11" s="60" t="s">
        <v>56</v>
      </c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1" t="s">
        <v>56</v>
      </c>
      <c r="P11" s="54"/>
      <c r="Q11" s="50"/>
      <c r="R11" s="50"/>
      <c r="S11" s="50"/>
      <c r="T11" s="50"/>
      <c r="U11" s="50"/>
      <c r="V11" s="50"/>
      <c r="W11" s="50"/>
      <c r="X11" s="49"/>
      <c r="Y11" s="50">
        <f t="shared" si="0"/>
        <v>0</v>
      </c>
    </row>
    <row r="12" spans="2:25" s="6" customFormat="1" ht="18.95" customHeight="1" thickBot="1" x14ac:dyDescent="0.35">
      <c r="B12" s="36"/>
      <c r="C12" s="60" t="s">
        <v>57</v>
      </c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1" t="s">
        <v>57</v>
      </c>
      <c r="P12" s="54"/>
      <c r="Q12" s="50"/>
      <c r="R12" s="50"/>
      <c r="S12" s="50"/>
      <c r="T12" s="50"/>
      <c r="U12" s="50"/>
      <c r="V12" s="50"/>
      <c r="W12" s="50"/>
      <c r="X12" s="49"/>
      <c r="Y12" s="50">
        <f t="shared" si="0"/>
        <v>0</v>
      </c>
    </row>
    <row r="13" spans="2:25" s="6" customFormat="1" ht="18.95" customHeight="1" thickBot="1" x14ac:dyDescent="0.35">
      <c r="B13" s="36"/>
      <c r="C13" s="60" t="s">
        <v>58</v>
      </c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1" t="s">
        <v>58</v>
      </c>
      <c r="P13" s="54"/>
      <c r="Q13" s="50"/>
      <c r="R13" s="50"/>
      <c r="S13" s="50"/>
      <c r="T13" s="50"/>
      <c r="U13" s="50"/>
      <c r="V13" s="50"/>
      <c r="W13" s="50"/>
      <c r="X13" s="49"/>
      <c r="Y13" s="50">
        <f t="shared" si="0"/>
        <v>0</v>
      </c>
    </row>
    <row r="14" spans="2:25" s="6" customFormat="1" ht="18.95" customHeight="1" thickBot="1" x14ac:dyDescent="0.35">
      <c r="B14" s="36"/>
      <c r="C14" s="60" t="s">
        <v>30</v>
      </c>
      <c r="D14" s="42"/>
      <c r="E14" s="42">
        <v>2</v>
      </c>
      <c r="F14" s="42"/>
      <c r="G14" s="42"/>
      <c r="H14" s="42"/>
      <c r="I14" s="42"/>
      <c r="J14" s="42">
        <v>1</v>
      </c>
      <c r="K14" s="42">
        <v>1</v>
      </c>
      <c r="L14" s="42"/>
      <c r="M14" s="42"/>
      <c r="N14" s="42"/>
      <c r="O14" s="41" t="s">
        <v>30</v>
      </c>
      <c r="P14" s="54"/>
      <c r="Q14" s="50"/>
      <c r="R14" s="50"/>
      <c r="S14" s="50"/>
      <c r="T14" s="50"/>
      <c r="U14" s="50"/>
      <c r="V14" s="50"/>
      <c r="W14" s="50"/>
      <c r="X14" s="49"/>
      <c r="Y14" s="50">
        <f t="shared" si="0"/>
        <v>4</v>
      </c>
    </row>
    <row r="15" spans="2:25" s="6" customFormat="1" ht="18.95" customHeight="1" thickBot="1" x14ac:dyDescent="0.35">
      <c r="B15" s="36"/>
      <c r="C15" s="60" t="s">
        <v>59</v>
      </c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1" t="s">
        <v>59</v>
      </c>
      <c r="P15" s="54"/>
      <c r="Q15" s="50"/>
      <c r="R15" s="50"/>
      <c r="S15" s="50"/>
      <c r="T15" s="50"/>
      <c r="U15" s="50"/>
      <c r="V15" s="50"/>
      <c r="W15" s="50"/>
      <c r="X15" s="49"/>
      <c r="Y15" s="50">
        <f t="shared" si="0"/>
        <v>0</v>
      </c>
    </row>
    <row r="16" spans="2:25" s="6" customFormat="1" ht="18.95" customHeight="1" thickBot="1" x14ac:dyDescent="0.35">
      <c r="B16" s="36"/>
      <c r="C16" s="60" t="s">
        <v>60</v>
      </c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1" t="s">
        <v>60</v>
      </c>
      <c r="P16" s="54"/>
      <c r="Q16" s="50"/>
      <c r="R16" s="50"/>
      <c r="S16" s="50"/>
      <c r="T16" s="50"/>
      <c r="U16" s="50"/>
      <c r="V16" s="50"/>
      <c r="W16" s="50">
        <v>1</v>
      </c>
      <c r="X16" s="49"/>
      <c r="Y16" s="50">
        <f t="shared" si="0"/>
        <v>1</v>
      </c>
    </row>
    <row r="17" spans="2:25" s="6" customFormat="1" ht="18.95" customHeight="1" thickBot="1" x14ac:dyDescent="0.35">
      <c r="B17" s="36"/>
      <c r="C17" s="60" t="s">
        <v>61</v>
      </c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1" t="s">
        <v>61</v>
      </c>
      <c r="P17" s="54"/>
      <c r="Q17" s="50"/>
      <c r="R17" s="50"/>
      <c r="S17" s="50"/>
      <c r="T17" s="50"/>
      <c r="U17" s="50"/>
      <c r="V17" s="50"/>
      <c r="W17" s="50"/>
      <c r="X17" s="49"/>
      <c r="Y17" s="50">
        <f t="shared" si="0"/>
        <v>0</v>
      </c>
    </row>
    <row r="18" spans="2:25" s="6" customFormat="1" ht="18.95" customHeight="1" thickBot="1" x14ac:dyDescent="0.35">
      <c r="B18" s="36"/>
      <c r="C18" s="60" t="s">
        <v>62</v>
      </c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1" t="s">
        <v>62</v>
      </c>
      <c r="P18" s="54"/>
      <c r="Q18" s="50"/>
      <c r="R18" s="50"/>
      <c r="S18" s="50"/>
      <c r="T18" s="50"/>
      <c r="U18" s="50"/>
      <c r="V18" s="50"/>
      <c r="W18" s="50"/>
      <c r="X18" s="49"/>
      <c r="Y18" s="50">
        <f t="shared" si="0"/>
        <v>0</v>
      </c>
    </row>
    <row r="19" spans="2:25" s="6" customFormat="1" ht="18.95" customHeight="1" thickBot="1" x14ac:dyDescent="0.35">
      <c r="B19" s="36"/>
      <c r="C19" s="60" t="s">
        <v>63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1" t="s">
        <v>63</v>
      </c>
      <c r="P19" s="54"/>
      <c r="Q19" s="50"/>
      <c r="R19" s="50"/>
      <c r="S19" s="50"/>
      <c r="T19" s="50"/>
      <c r="U19" s="50"/>
      <c r="V19" s="50"/>
      <c r="W19" s="50"/>
      <c r="X19" s="49"/>
      <c r="Y19" s="50">
        <f t="shared" si="0"/>
        <v>0</v>
      </c>
    </row>
    <row r="20" spans="2:25" s="6" customFormat="1" ht="18.95" customHeight="1" thickBot="1" x14ac:dyDescent="0.35">
      <c r="B20" s="36"/>
      <c r="C20" s="60" t="s">
        <v>64</v>
      </c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1" t="s">
        <v>64</v>
      </c>
      <c r="P20" s="54"/>
      <c r="Q20" s="50"/>
      <c r="R20" s="50"/>
      <c r="S20" s="50"/>
      <c r="T20" s="50"/>
      <c r="U20" s="50"/>
      <c r="V20" s="50"/>
      <c r="W20" s="50"/>
      <c r="X20" s="49"/>
      <c r="Y20" s="50">
        <f t="shared" si="0"/>
        <v>0</v>
      </c>
    </row>
    <row r="21" spans="2:25" s="6" customFormat="1" ht="18.95" customHeight="1" thickBot="1" x14ac:dyDescent="0.35">
      <c r="B21" s="36"/>
      <c r="C21" s="60" t="s">
        <v>65</v>
      </c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1" t="s">
        <v>65</v>
      </c>
      <c r="P21" s="54"/>
      <c r="Q21" s="50"/>
      <c r="R21" s="50"/>
      <c r="S21" s="50"/>
      <c r="T21" s="50"/>
      <c r="U21" s="50"/>
      <c r="V21" s="50"/>
      <c r="W21" s="50"/>
      <c r="X21" s="49"/>
      <c r="Y21" s="50">
        <f t="shared" si="0"/>
        <v>0</v>
      </c>
    </row>
    <row r="22" spans="2:25" s="6" customFormat="1" ht="18.95" customHeight="1" thickBot="1" x14ac:dyDescent="0.35">
      <c r="B22" s="36"/>
      <c r="C22" s="60" t="s">
        <v>66</v>
      </c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1" t="s">
        <v>66</v>
      </c>
      <c r="P22" s="54"/>
      <c r="Q22" s="50"/>
      <c r="R22" s="50"/>
      <c r="S22" s="50"/>
      <c r="T22" s="50"/>
      <c r="U22" s="50"/>
      <c r="V22" s="50"/>
      <c r="W22" s="50"/>
      <c r="X22" s="49"/>
      <c r="Y22" s="50">
        <f t="shared" si="0"/>
        <v>0</v>
      </c>
    </row>
    <row r="23" spans="2:25" s="6" customFormat="1" ht="18.95" customHeight="1" thickBot="1" x14ac:dyDescent="0.35">
      <c r="B23" s="36"/>
      <c r="C23" s="60" t="s">
        <v>67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1" t="s">
        <v>67</v>
      </c>
      <c r="P23" s="54"/>
      <c r="Q23" s="50"/>
      <c r="R23" s="50"/>
      <c r="S23" s="50"/>
      <c r="T23" s="50"/>
      <c r="U23" s="50"/>
      <c r="V23" s="50"/>
      <c r="W23" s="50"/>
      <c r="X23" s="49"/>
      <c r="Y23" s="50">
        <f t="shared" si="0"/>
        <v>0</v>
      </c>
    </row>
    <row r="24" spans="2:25" s="6" customFormat="1" ht="18.95" customHeight="1" thickBot="1" x14ac:dyDescent="0.35">
      <c r="B24" s="36"/>
      <c r="C24" s="60" t="s">
        <v>68</v>
      </c>
      <c r="D24" s="42"/>
      <c r="E24" s="42"/>
      <c r="F24" s="42"/>
      <c r="G24" s="42"/>
      <c r="H24" s="42"/>
      <c r="I24" s="42"/>
      <c r="J24" s="42"/>
      <c r="K24" s="42"/>
      <c r="L24" s="42">
        <v>1</v>
      </c>
      <c r="M24" s="42"/>
      <c r="N24" s="42"/>
      <c r="O24" s="41" t="s">
        <v>68</v>
      </c>
      <c r="P24" s="54"/>
      <c r="Q24" s="50"/>
      <c r="R24" s="50"/>
      <c r="S24" s="50"/>
      <c r="T24" s="50"/>
      <c r="U24" s="50"/>
      <c r="V24" s="50"/>
      <c r="W24" s="50"/>
      <c r="X24" s="49"/>
      <c r="Y24" s="50">
        <f t="shared" si="0"/>
        <v>1</v>
      </c>
    </row>
    <row r="25" spans="2:25" s="6" customFormat="1" ht="18.95" customHeight="1" thickBot="1" x14ac:dyDescent="0.35">
      <c r="B25" s="36"/>
      <c r="C25" s="60" t="s">
        <v>69</v>
      </c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1" t="s">
        <v>69</v>
      </c>
      <c r="P25" s="54"/>
      <c r="Q25" s="50"/>
      <c r="R25" s="50"/>
      <c r="S25" s="50"/>
      <c r="T25" s="50"/>
      <c r="U25" s="50"/>
      <c r="V25" s="50"/>
      <c r="W25" s="50"/>
      <c r="X25" s="49"/>
      <c r="Y25" s="50">
        <f t="shared" si="0"/>
        <v>0</v>
      </c>
    </row>
    <row r="26" spans="2:25" s="6" customFormat="1" ht="18.95" customHeight="1" thickBot="1" x14ac:dyDescent="0.35">
      <c r="B26" s="36"/>
      <c r="C26" s="60" t="s">
        <v>70</v>
      </c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1" t="s">
        <v>70</v>
      </c>
      <c r="P26" s="54"/>
      <c r="Q26" s="50"/>
      <c r="R26" s="50"/>
      <c r="S26" s="50"/>
      <c r="T26" s="50"/>
      <c r="U26" s="50"/>
      <c r="V26" s="50"/>
      <c r="W26" s="50"/>
      <c r="X26" s="49"/>
      <c r="Y26" s="50">
        <f t="shared" si="0"/>
        <v>0</v>
      </c>
    </row>
    <row r="27" spans="2:25" s="6" customFormat="1" ht="18.95" customHeight="1" thickBot="1" x14ac:dyDescent="0.35">
      <c r="B27" s="36"/>
      <c r="C27" s="60" t="s">
        <v>71</v>
      </c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1" t="s">
        <v>71</v>
      </c>
      <c r="P27" s="54"/>
      <c r="Q27" s="50"/>
      <c r="R27" s="50"/>
      <c r="S27" s="50"/>
      <c r="T27" s="50"/>
      <c r="U27" s="50"/>
      <c r="V27" s="50"/>
      <c r="W27" s="50"/>
      <c r="X27" s="49"/>
      <c r="Y27" s="50">
        <f t="shared" si="0"/>
        <v>0</v>
      </c>
    </row>
    <row r="28" spans="2:25" s="6" customFormat="1" ht="18.95" customHeight="1" thickBot="1" x14ac:dyDescent="0.35">
      <c r="B28" s="36"/>
      <c r="C28" s="60" t="s">
        <v>72</v>
      </c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1" t="s">
        <v>72</v>
      </c>
      <c r="P28" s="54"/>
      <c r="Q28" s="50"/>
      <c r="R28" s="50"/>
      <c r="S28" s="50"/>
      <c r="T28" s="50"/>
      <c r="U28" s="50"/>
      <c r="V28" s="50"/>
      <c r="W28" s="50"/>
      <c r="X28" s="49"/>
      <c r="Y28" s="50">
        <f t="shared" si="0"/>
        <v>0</v>
      </c>
    </row>
    <row r="29" spans="2:25" s="6" customFormat="1" ht="18.95" customHeight="1" thickBot="1" x14ac:dyDescent="0.35">
      <c r="B29" s="36"/>
      <c r="C29" s="60" t="s">
        <v>73</v>
      </c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1" t="s">
        <v>73</v>
      </c>
      <c r="P29" s="54"/>
      <c r="Q29" s="50"/>
      <c r="R29" s="50"/>
      <c r="S29" s="50"/>
      <c r="T29" s="50"/>
      <c r="U29" s="50"/>
      <c r="V29" s="50"/>
      <c r="W29" s="50"/>
      <c r="X29" s="49"/>
      <c r="Y29" s="50">
        <f t="shared" si="0"/>
        <v>0</v>
      </c>
    </row>
    <row r="30" spans="2:25" s="6" customFormat="1" ht="18.95" customHeight="1" thickBot="1" x14ac:dyDescent="0.35">
      <c r="B30" s="36"/>
      <c r="C30" s="60" t="s">
        <v>74</v>
      </c>
      <c r="D30" s="42"/>
      <c r="E30" s="42"/>
      <c r="F30" s="42"/>
      <c r="G30" s="42"/>
      <c r="H30" s="42"/>
      <c r="I30" s="42"/>
      <c r="J30" s="42"/>
      <c r="K30" s="42">
        <v>1</v>
      </c>
      <c r="L30" s="42">
        <v>1</v>
      </c>
      <c r="M30" s="42"/>
      <c r="N30" s="42"/>
      <c r="O30" s="41" t="s">
        <v>74</v>
      </c>
      <c r="P30" s="54"/>
      <c r="Q30" s="50"/>
      <c r="R30" s="50"/>
      <c r="S30" s="50"/>
      <c r="T30" s="50"/>
      <c r="U30" s="50"/>
      <c r="V30" s="50"/>
      <c r="W30" s="50"/>
      <c r="X30" s="49"/>
      <c r="Y30" s="50">
        <f t="shared" si="0"/>
        <v>2</v>
      </c>
    </row>
    <row r="31" spans="2:25" s="6" customFormat="1" ht="18.95" customHeight="1" thickBot="1" x14ac:dyDescent="0.35">
      <c r="B31" s="36"/>
      <c r="C31" s="60" t="s">
        <v>77</v>
      </c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1" t="s">
        <v>77</v>
      </c>
      <c r="P31" s="54"/>
      <c r="Q31" s="50"/>
      <c r="R31" s="50"/>
      <c r="S31" s="50"/>
      <c r="T31" s="50"/>
      <c r="U31" s="50"/>
      <c r="V31" s="50"/>
      <c r="W31" s="50"/>
      <c r="X31" s="49"/>
      <c r="Y31" s="50">
        <f>SUM(L31:X31)</f>
        <v>0</v>
      </c>
    </row>
    <row r="32" spans="2:25" s="6" customFormat="1" ht="18.95" customHeight="1" thickBot="1" x14ac:dyDescent="0.35">
      <c r="B32" s="36"/>
      <c r="C32" s="60" t="s">
        <v>78</v>
      </c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1" t="s">
        <v>78</v>
      </c>
      <c r="P32" s="54"/>
      <c r="Q32" s="50"/>
      <c r="R32" s="50"/>
      <c r="S32" s="50"/>
      <c r="T32" s="50"/>
      <c r="U32" s="50"/>
      <c r="V32" s="50"/>
      <c r="W32" s="50"/>
      <c r="X32" s="49"/>
      <c r="Y32" s="50">
        <f>SUM(L32:X32)</f>
        <v>0</v>
      </c>
    </row>
    <row r="33" spans="2:25" s="6" customFormat="1" ht="18.95" customHeight="1" thickBot="1" x14ac:dyDescent="0.35">
      <c r="B33" s="36"/>
      <c r="C33" s="60" t="s">
        <v>79</v>
      </c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1" t="s">
        <v>79</v>
      </c>
      <c r="P33" s="54"/>
      <c r="Q33" s="50"/>
      <c r="R33" s="50"/>
      <c r="S33" s="50"/>
      <c r="T33" s="50"/>
      <c r="U33" s="50"/>
      <c r="V33" s="50"/>
      <c r="W33" s="50"/>
      <c r="X33" s="49"/>
      <c r="Y33" s="50">
        <f t="shared" ref="Y33:Y40" si="1">SUM(D33:X33)</f>
        <v>0</v>
      </c>
    </row>
    <row r="34" spans="2:25" s="6" customFormat="1" ht="18.95" customHeight="1" thickBot="1" x14ac:dyDescent="0.35">
      <c r="B34" s="36"/>
      <c r="C34" s="60" t="s">
        <v>80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1" t="s">
        <v>80</v>
      </c>
      <c r="P34" s="54"/>
      <c r="Q34" s="50"/>
      <c r="R34" s="50"/>
      <c r="S34" s="50"/>
      <c r="T34" s="50"/>
      <c r="U34" s="50"/>
      <c r="V34" s="50"/>
      <c r="W34" s="50"/>
      <c r="X34" s="49"/>
      <c r="Y34" s="50">
        <f t="shared" si="1"/>
        <v>0</v>
      </c>
    </row>
    <row r="35" spans="2:25" s="6" customFormat="1" ht="18.95" customHeight="1" thickBot="1" x14ac:dyDescent="0.35">
      <c r="B35" s="36"/>
      <c r="C35" s="60" t="s">
        <v>81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1" t="s">
        <v>81</v>
      </c>
      <c r="P35" s="54"/>
      <c r="Q35" s="50"/>
      <c r="R35" s="50"/>
      <c r="S35" s="50"/>
      <c r="T35" s="50"/>
      <c r="U35" s="50"/>
      <c r="V35" s="50"/>
      <c r="W35" s="50"/>
      <c r="X35" s="49"/>
      <c r="Y35" s="50">
        <f t="shared" si="1"/>
        <v>0</v>
      </c>
    </row>
    <row r="36" spans="2:25" s="6" customFormat="1" ht="18.95" customHeight="1" thickBot="1" x14ac:dyDescent="0.35">
      <c r="B36" s="36"/>
      <c r="C36" s="60" t="s">
        <v>82</v>
      </c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1" t="s">
        <v>82</v>
      </c>
      <c r="P36" s="54"/>
      <c r="Q36" s="50"/>
      <c r="R36" s="50"/>
      <c r="S36" s="50"/>
      <c r="T36" s="50"/>
      <c r="U36" s="50"/>
      <c r="V36" s="50"/>
      <c r="W36" s="50"/>
      <c r="X36" s="49"/>
      <c r="Y36" s="50">
        <f t="shared" si="1"/>
        <v>0</v>
      </c>
    </row>
    <row r="37" spans="2:25" s="6" customFormat="1" ht="18.95" customHeight="1" thickBot="1" x14ac:dyDescent="0.35">
      <c r="B37" s="36"/>
      <c r="C37" s="60" t="s">
        <v>84</v>
      </c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1" t="s">
        <v>84</v>
      </c>
      <c r="P37" s="54"/>
      <c r="Q37" s="50"/>
      <c r="R37" s="50"/>
      <c r="S37" s="50"/>
      <c r="T37" s="50"/>
      <c r="U37" s="50"/>
      <c r="V37" s="50"/>
      <c r="W37" s="50"/>
      <c r="X37" s="49"/>
      <c r="Y37" s="50">
        <f t="shared" si="1"/>
        <v>0</v>
      </c>
    </row>
    <row r="38" spans="2:25" s="6" customFormat="1" ht="18.95" customHeight="1" thickBot="1" x14ac:dyDescent="0.35">
      <c r="B38" s="36"/>
      <c r="C38" s="60" t="s">
        <v>85</v>
      </c>
      <c r="D38" s="42"/>
      <c r="E38" s="42"/>
      <c r="F38" s="42"/>
      <c r="G38" s="42"/>
      <c r="H38" s="42"/>
      <c r="I38" s="42"/>
      <c r="J38" s="42">
        <v>1</v>
      </c>
      <c r="K38" s="42"/>
      <c r="L38" s="42"/>
      <c r="M38" s="42"/>
      <c r="N38" s="42"/>
      <c r="O38" s="41" t="s">
        <v>85</v>
      </c>
      <c r="P38" s="54"/>
      <c r="Q38" s="50"/>
      <c r="R38" s="50"/>
      <c r="S38" s="50"/>
      <c r="T38" s="50"/>
      <c r="U38" s="50"/>
      <c r="V38" s="50"/>
      <c r="W38" s="50"/>
      <c r="X38" s="49"/>
      <c r="Y38" s="50">
        <f t="shared" si="1"/>
        <v>1</v>
      </c>
    </row>
    <row r="39" spans="2:25" s="6" customFormat="1" ht="18.95" customHeight="1" thickBot="1" x14ac:dyDescent="0.35">
      <c r="B39" s="36"/>
      <c r="C39" s="60" t="s">
        <v>86</v>
      </c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1" t="s">
        <v>86</v>
      </c>
      <c r="P39" s="54"/>
      <c r="Q39" s="50"/>
      <c r="R39" s="50"/>
      <c r="S39" s="50"/>
      <c r="T39" s="50"/>
      <c r="U39" s="50"/>
      <c r="V39" s="50"/>
      <c r="W39" s="50"/>
      <c r="X39" s="49"/>
      <c r="Y39" s="50">
        <f t="shared" si="1"/>
        <v>0</v>
      </c>
    </row>
    <row r="40" spans="2:25" s="6" customFormat="1" ht="18.95" customHeight="1" thickBot="1" x14ac:dyDescent="0.35">
      <c r="B40" s="36"/>
      <c r="C40" s="60" t="s">
        <v>87</v>
      </c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1" t="s">
        <v>87</v>
      </c>
      <c r="P40" s="54"/>
      <c r="Q40" s="50"/>
      <c r="R40" s="50"/>
      <c r="S40" s="50"/>
      <c r="T40" s="50"/>
      <c r="U40" s="50"/>
      <c r="V40" s="50"/>
      <c r="W40" s="50"/>
      <c r="X40" s="49"/>
      <c r="Y40" s="50">
        <f t="shared" si="1"/>
        <v>0</v>
      </c>
    </row>
    <row r="41" spans="2:25" ht="27" x14ac:dyDescent="0.35">
      <c r="B41" s="22" t="s">
        <v>41</v>
      </c>
      <c r="C41" s="6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2:25" ht="28.5" thickBot="1" x14ac:dyDescent="0.45">
      <c r="B42" s="1" t="s">
        <v>33</v>
      </c>
      <c r="C42" s="65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2"/>
      <c r="S42" s="1"/>
      <c r="T42" s="1"/>
      <c r="U42" s="1"/>
      <c r="V42" s="1"/>
      <c r="W42" s="1"/>
      <c r="X42" s="1"/>
      <c r="Y42" s="1"/>
    </row>
    <row r="43" spans="2:25" ht="102.75" thickBot="1" x14ac:dyDescent="0.25">
      <c r="B43" s="8" t="s">
        <v>0</v>
      </c>
      <c r="C43" s="66" t="s">
        <v>1</v>
      </c>
      <c r="D43" s="8" t="s">
        <v>2</v>
      </c>
      <c r="E43" s="9" t="s">
        <v>3</v>
      </c>
      <c r="F43" s="9" t="s">
        <v>4</v>
      </c>
      <c r="G43" s="9" t="s">
        <v>5</v>
      </c>
      <c r="H43" s="9" t="s">
        <v>6</v>
      </c>
      <c r="I43" s="9" t="s">
        <v>7</v>
      </c>
      <c r="J43" s="9" t="s">
        <v>23</v>
      </c>
      <c r="K43" s="9" t="s">
        <v>24</v>
      </c>
      <c r="L43" s="9" t="s">
        <v>25</v>
      </c>
      <c r="M43" s="16" t="s">
        <v>26</v>
      </c>
      <c r="N43" s="9" t="s">
        <v>27</v>
      </c>
      <c r="O43" s="69" t="s">
        <v>1</v>
      </c>
      <c r="P43" s="8" t="s">
        <v>2</v>
      </c>
      <c r="Q43" s="9" t="s">
        <v>28</v>
      </c>
      <c r="R43" s="9" t="s">
        <v>8</v>
      </c>
      <c r="S43" s="9" t="s">
        <v>9</v>
      </c>
      <c r="T43" s="9" t="s">
        <v>10</v>
      </c>
      <c r="U43" s="9" t="s">
        <v>29</v>
      </c>
      <c r="V43" s="9" t="s">
        <v>11</v>
      </c>
      <c r="W43" s="9" t="s">
        <v>12</v>
      </c>
      <c r="X43" s="9" t="s">
        <v>13</v>
      </c>
      <c r="Y43" s="9" t="s">
        <v>14</v>
      </c>
    </row>
    <row r="44" spans="2:25" s="6" customFormat="1" ht="18.95" customHeight="1" thickBot="1" x14ac:dyDescent="0.35">
      <c r="B44" s="30" t="s">
        <v>160</v>
      </c>
      <c r="C44" s="67"/>
      <c r="D44" s="61"/>
      <c r="E44" s="62"/>
      <c r="F44" s="62"/>
      <c r="G44" s="61"/>
      <c r="H44" s="61"/>
      <c r="I44" s="61"/>
      <c r="J44" s="61"/>
      <c r="K44" s="61"/>
      <c r="L44" s="61"/>
      <c r="M44" s="61"/>
      <c r="N44" s="63"/>
      <c r="O44" s="30" t="s">
        <v>45</v>
      </c>
      <c r="P44" s="34"/>
      <c r="Q44" s="31"/>
      <c r="R44" s="31"/>
      <c r="S44" s="32"/>
      <c r="T44" s="31"/>
      <c r="U44" s="31"/>
      <c r="V44" s="31"/>
      <c r="W44" s="31"/>
      <c r="X44" s="31"/>
      <c r="Y44" s="35"/>
    </row>
    <row r="45" spans="2:25" s="6" customFormat="1" ht="18.95" customHeight="1" thickBot="1" x14ac:dyDescent="0.35">
      <c r="B45" s="36"/>
      <c r="C45" s="68" t="s">
        <v>106</v>
      </c>
      <c r="D45" s="40"/>
      <c r="E45" s="40"/>
      <c r="F45" s="40"/>
      <c r="G45" s="40"/>
      <c r="H45" s="40"/>
      <c r="I45" s="40">
        <v>1</v>
      </c>
      <c r="J45" s="40"/>
      <c r="K45" s="40"/>
      <c r="L45" s="40"/>
      <c r="M45" s="40"/>
      <c r="N45" s="40"/>
      <c r="O45" s="68" t="s">
        <v>106</v>
      </c>
      <c r="P45" s="54"/>
      <c r="Q45" s="50"/>
      <c r="R45" s="50"/>
      <c r="S45" s="50"/>
      <c r="T45" s="50"/>
      <c r="U45" s="50"/>
      <c r="V45" s="50"/>
      <c r="W45" s="50"/>
      <c r="X45" s="49"/>
      <c r="Y45" s="50">
        <f t="shared" ref="Y45:Y50" si="2">SUM(E45:X45)</f>
        <v>1</v>
      </c>
    </row>
    <row r="46" spans="2:25" s="6" customFormat="1" ht="18.95" customHeight="1" thickBot="1" x14ac:dyDescent="0.35">
      <c r="B46" s="36"/>
      <c r="C46" s="68" t="s">
        <v>88</v>
      </c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39" t="s">
        <v>88</v>
      </c>
      <c r="P46" s="54"/>
      <c r="Q46" s="50"/>
      <c r="R46" s="50"/>
      <c r="S46" s="50"/>
      <c r="T46" s="50"/>
      <c r="U46" s="50"/>
      <c r="V46" s="50"/>
      <c r="W46" s="50"/>
      <c r="X46" s="49"/>
      <c r="Y46" s="50">
        <f t="shared" si="2"/>
        <v>0</v>
      </c>
    </row>
    <row r="47" spans="2:25" s="6" customFormat="1" ht="18.95" customHeight="1" thickBot="1" x14ac:dyDescent="0.35">
      <c r="B47" s="36"/>
      <c r="C47" s="68" t="s">
        <v>89</v>
      </c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39" t="s">
        <v>89</v>
      </c>
      <c r="P47" s="54"/>
      <c r="Q47" s="50"/>
      <c r="R47" s="50"/>
      <c r="S47" s="50"/>
      <c r="T47" s="50"/>
      <c r="U47" s="50"/>
      <c r="V47" s="50"/>
      <c r="W47" s="50"/>
      <c r="X47" s="49"/>
      <c r="Y47" s="50">
        <f t="shared" si="2"/>
        <v>0</v>
      </c>
    </row>
    <row r="48" spans="2:25" s="6" customFormat="1" ht="18.95" customHeight="1" thickBot="1" x14ac:dyDescent="0.35">
      <c r="B48" s="36"/>
      <c r="C48" s="68" t="s">
        <v>90</v>
      </c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39" t="s">
        <v>90</v>
      </c>
      <c r="P48" s="54"/>
      <c r="Q48" s="50"/>
      <c r="R48" s="50"/>
      <c r="S48" s="50"/>
      <c r="T48" s="50"/>
      <c r="U48" s="50"/>
      <c r="V48" s="50"/>
      <c r="W48" s="50"/>
      <c r="X48" s="49"/>
      <c r="Y48" s="50">
        <f t="shared" si="2"/>
        <v>0</v>
      </c>
    </row>
    <row r="49" spans="2:25" s="6" customFormat="1" ht="18.95" customHeight="1" thickBot="1" x14ac:dyDescent="0.35">
      <c r="B49" s="36"/>
      <c r="C49" s="68" t="s">
        <v>91</v>
      </c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39" t="s">
        <v>91</v>
      </c>
      <c r="P49" s="54"/>
      <c r="Q49" s="50"/>
      <c r="R49" s="50"/>
      <c r="S49" s="50"/>
      <c r="T49" s="50"/>
      <c r="U49" s="50"/>
      <c r="V49" s="50"/>
      <c r="W49" s="50"/>
      <c r="X49" s="49"/>
      <c r="Y49" s="50">
        <f t="shared" si="2"/>
        <v>0</v>
      </c>
    </row>
    <row r="50" spans="2:25" s="6" customFormat="1" ht="18.95" customHeight="1" thickBot="1" x14ac:dyDescent="0.35">
      <c r="B50" s="36"/>
      <c r="C50" s="68" t="s">
        <v>92</v>
      </c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39" t="s">
        <v>92</v>
      </c>
      <c r="P50" s="54"/>
      <c r="Q50" s="50"/>
      <c r="R50" s="50"/>
      <c r="S50" s="50"/>
      <c r="T50" s="50"/>
      <c r="U50" s="50"/>
      <c r="V50" s="50"/>
      <c r="W50" s="50"/>
      <c r="X50" s="49"/>
      <c r="Y50" s="50">
        <f t="shared" si="2"/>
        <v>0</v>
      </c>
    </row>
    <row r="51" spans="2:25" s="6" customFormat="1" ht="18.95" customHeight="1" thickBot="1" x14ac:dyDescent="0.35">
      <c r="B51" s="36"/>
      <c r="C51" s="68" t="s">
        <v>93</v>
      </c>
      <c r="D51" s="40"/>
      <c r="E51" s="40"/>
      <c r="F51" s="40"/>
      <c r="G51" s="40"/>
      <c r="H51" s="40"/>
      <c r="I51" s="40"/>
      <c r="J51" s="40"/>
      <c r="K51" s="40">
        <v>1</v>
      </c>
      <c r="L51" s="40">
        <v>1</v>
      </c>
      <c r="M51" s="40"/>
      <c r="N51" s="40"/>
      <c r="O51" s="39" t="s">
        <v>93</v>
      </c>
      <c r="P51" s="54"/>
      <c r="Q51" s="50"/>
      <c r="R51" s="50"/>
      <c r="S51" s="50"/>
      <c r="T51" s="50"/>
      <c r="U51" s="50"/>
      <c r="V51" s="50"/>
      <c r="W51" s="50"/>
      <c r="X51" s="49"/>
      <c r="Y51" s="50">
        <f>SUM(U51:X51)</f>
        <v>0</v>
      </c>
    </row>
    <row r="52" spans="2:25" s="6" customFormat="1" ht="18.95" customHeight="1" thickBot="1" x14ac:dyDescent="0.35">
      <c r="B52" s="36"/>
      <c r="C52" s="68" t="s">
        <v>94</v>
      </c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39" t="s">
        <v>94</v>
      </c>
      <c r="P52" s="54"/>
      <c r="Q52" s="50"/>
      <c r="R52" s="50"/>
      <c r="S52" s="50"/>
      <c r="T52" s="50"/>
      <c r="U52" s="50"/>
      <c r="V52" s="50"/>
      <c r="W52" s="50"/>
      <c r="X52" s="49"/>
      <c r="Y52" s="50">
        <f>SUM(U52:X52)</f>
        <v>0</v>
      </c>
    </row>
    <row r="53" spans="2:25" s="6" customFormat="1" ht="18.95" customHeight="1" thickBot="1" x14ac:dyDescent="0.35">
      <c r="B53" s="36"/>
      <c r="C53" s="68" t="s">
        <v>97</v>
      </c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39" t="s">
        <v>97</v>
      </c>
      <c r="P53" s="54"/>
      <c r="Q53" s="50"/>
      <c r="R53" s="50"/>
      <c r="S53" s="50"/>
      <c r="T53" s="50"/>
      <c r="U53" s="50"/>
      <c r="V53" s="50"/>
      <c r="W53" s="50"/>
      <c r="X53" s="49"/>
      <c r="Y53" s="50">
        <f t="shared" ref="Y53:Y61" si="3">SUM(E53:X53)</f>
        <v>0</v>
      </c>
    </row>
    <row r="54" spans="2:25" s="6" customFormat="1" ht="18.95" customHeight="1" thickBot="1" x14ac:dyDescent="0.35">
      <c r="B54" s="36"/>
      <c r="C54" s="68" t="s">
        <v>98</v>
      </c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39" t="s">
        <v>98</v>
      </c>
      <c r="P54" s="54"/>
      <c r="Q54" s="50"/>
      <c r="R54" s="50"/>
      <c r="S54" s="50"/>
      <c r="T54" s="50"/>
      <c r="U54" s="50"/>
      <c r="V54" s="50"/>
      <c r="W54" s="50"/>
      <c r="X54" s="49"/>
      <c r="Y54" s="50">
        <f t="shared" si="3"/>
        <v>0</v>
      </c>
    </row>
    <row r="55" spans="2:25" s="6" customFormat="1" ht="18.95" customHeight="1" thickBot="1" x14ac:dyDescent="0.35">
      <c r="B55" s="36"/>
      <c r="C55" s="68" t="s">
        <v>101</v>
      </c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39" t="s">
        <v>101</v>
      </c>
      <c r="P55" s="54"/>
      <c r="Q55" s="50"/>
      <c r="R55" s="50"/>
      <c r="S55" s="50"/>
      <c r="T55" s="50"/>
      <c r="U55" s="50"/>
      <c r="V55" s="50"/>
      <c r="W55" s="50"/>
      <c r="X55" s="49"/>
      <c r="Y55" s="50">
        <f t="shared" si="3"/>
        <v>0</v>
      </c>
    </row>
    <row r="56" spans="2:25" s="6" customFormat="1" ht="18.95" customHeight="1" thickBot="1" x14ac:dyDescent="0.35">
      <c r="B56" s="36"/>
      <c r="C56" s="68" t="s">
        <v>102</v>
      </c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39" t="s">
        <v>102</v>
      </c>
      <c r="P56" s="54"/>
      <c r="Q56" s="50"/>
      <c r="R56" s="50"/>
      <c r="S56" s="50"/>
      <c r="T56" s="50">
        <v>1</v>
      </c>
      <c r="U56" s="50"/>
      <c r="V56" s="50"/>
      <c r="W56" s="50"/>
      <c r="X56" s="49"/>
      <c r="Y56" s="50">
        <f t="shared" si="3"/>
        <v>1</v>
      </c>
    </row>
    <row r="57" spans="2:25" s="6" customFormat="1" ht="18.95" customHeight="1" thickBot="1" x14ac:dyDescent="0.35">
      <c r="B57" s="36"/>
      <c r="C57" s="68" t="s">
        <v>103</v>
      </c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39" t="s">
        <v>103</v>
      </c>
      <c r="P57" s="54"/>
      <c r="Q57" s="50"/>
      <c r="R57" s="50"/>
      <c r="S57" s="50"/>
      <c r="T57" s="50"/>
      <c r="U57" s="50"/>
      <c r="V57" s="50"/>
      <c r="W57" s="50"/>
      <c r="X57" s="49">
        <v>1</v>
      </c>
      <c r="Y57" s="50">
        <f t="shared" si="3"/>
        <v>1</v>
      </c>
    </row>
    <row r="58" spans="2:25" s="6" customFormat="1" ht="18.95" customHeight="1" thickBot="1" x14ac:dyDescent="0.35">
      <c r="B58" s="36"/>
      <c r="C58" s="68" t="s">
        <v>104</v>
      </c>
      <c r="D58" s="40"/>
      <c r="E58" s="40"/>
      <c r="F58" s="40">
        <v>1</v>
      </c>
      <c r="G58" s="40"/>
      <c r="H58" s="40"/>
      <c r="I58" s="40"/>
      <c r="J58" s="40"/>
      <c r="K58" s="40"/>
      <c r="L58" s="40"/>
      <c r="M58" s="40"/>
      <c r="N58" s="40"/>
      <c r="O58" s="39" t="s">
        <v>104</v>
      </c>
      <c r="P58" s="54"/>
      <c r="Q58" s="50"/>
      <c r="R58" s="50"/>
      <c r="S58" s="50"/>
      <c r="T58" s="50"/>
      <c r="U58" s="50"/>
      <c r="V58" s="50"/>
      <c r="W58" s="50"/>
      <c r="X58" s="49"/>
      <c r="Y58" s="50">
        <f t="shared" si="3"/>
        <v>1</v>
      </c>
    </row>
    <row r="59" spans="2:25" s="6" customFormat="1" ht="18.95" customHeight="1" thickBot="1" x14ac:dyDescent="0.35">
      <c r="B59" s="36"/>
      <c r="C59" s="68" t="s">
        <v>107</v>
      </c>
      <c r="D59" s="40"/>
      <c r="E59" s="40"/>
      <c r="F59" s="40"/>
      <c r="G59" s="40"/>
      <c r="H59" s="40"/>
      <c r="I59" s="40"/>
      <c r="J59" s="40">
        <v>1</v>
      </c>
      <c r="K59" s="40">
        <v>1</v>
      </c>
      <c r="L59" s="40"/>
      <c r="M59" s="40"/>
      <c r="N59" s="40"/>
      <c r="O59" s="39" t="s">
        <v>107</v>
      </c>
      <c r="P59" s="54"/>
      <c r="Q59" s="50"/>
      <c r="R59" s="50"/>
      <c r="S59" s="50"/>
      <c r="T59" s="50"/>
      <c r="U59" s="50"/>
      <c r="V59" s="50"/>
      <c r="W59" s="50"/>
      <c r="X59" s="49"/>
      <c r="Y59" s="50">
        <f t="shared" si="3"/>
        <v>2</v>
      </c>
    </row>
    <row r="60" spans="2:25" s="6" customFormat="1" ht="18.95" customHeight="1" thickBot="1" x14ac:dyDescent="0.35">
      <c r="B60" s="36"/>
      <c r="C60" s="68" t="s">
        <v>110</v>
      </c>
      <c r="D60" s="40"/>
      <c r="E60" s="40"/>
      <c r="F60" s="40"/>
      <c r="G60" s="40"/>
      <c r="H60" s="40"/>
      <c r="I60" s="40"/>
      <c r="J60" s="40"/>
      <c r="K60" s="40">
        <v>1</v>
      </c>
      <c r="L60" s="40"/>
      <c r="M60" s="40"/>
      <c r="N60" s="40"/>
      <c r="O60" s="39" t="s">
        <v>110</v>
      </c>
      <c r="P60" s="54"/>
      <c r="Q60" s="50"/>
      <c r="R60" s="50"/>
      <c r="S60" s="50"/>
      <c r="T60" s="50"/>
      <c r="U60" s="50"/>
      <c r="V60" s="50"/>
      <c r="W60" s="50"/>
      <c r="X60" s="49"/>
      <c r="Y60" s="50">
        <f t="shared" si="3"/>
        <v>1</v>
      </c>
    </row>
    <row r="61" spans="2:25" s="6" customFormat="1" ht="18.95" customHeight="1" thickBot="1" x14ac:dyDescent="0.35">
      <c r="B61" s="36"/>
      <c r="C61" s="68" t="s">
        <v>111</v>
      </c>
      <c r="D61" s="40"/>
      <c r="E61" s="40"/>
      <c r="F61" s="40"/>
      <c r="G61" s="40"/>
      <c r="H61" s="40"/>
      <c r="I61" s="40"/>
      <c r="J61" s="40"/>
      <c r="K61" s="40">
        <v>1</v>
      </c>
      <c r="L61" s="40"/>
      <c r="M61" s="40"/>
      <c r="N61" s="40"/>
      <c r="O61" s="39" t="s">
        <v>111</v>
      </c>
      <c r="P61" s="54"/>
      <c r="Q61" s="50"/>
      <c r="R61" s="50"/>
      <c r="S61" s="50"/>
      <c r="T61" s="50"/>
      <c r="U61" s="50"/>
      <c r="V61" s="50"/>
      <c r="W61" s="50"/>
      <c r="X61" s="49"/>
      <c r="Y61" s="50">
        <f t="shared" si="3"/>
        <v>1</v>
      </c>
    </row>
    <row r="62" spans="2:25" ht="27" x14ac:dyDescent="0.35">
      <c r="B62" s="22" t="s">
        <v>41</v>
      </c>
      <c r="C62" s="6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2:25" ht="28.5" thickBot="1" x14ac:dyDescent="0.45">
      <c r="B63" s="1" t="s">
        <v>33</v>
      </c>
      <c r="C63" s="65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2"/>
      <c r="S63" s="1"/>
      <c r="T63" s="1"/>
      <c r="U63" s="1"/>
      <c r="V63" s="1"/>
      <c r="W63" s="1"/>
      <c r="X63" s="1"/>
      <c r="Y63" s="1"/>
    </row>
    <row r="64" spans="2:25" ht="102.75" thickBot="1" x14ac:dyDescent="0.25">
      <c r="B64" s="8" t="s">
        <v>0</v>
      </c>
      <c r="C64" s="66" t="s">
        <v>1</v>
      </c>
      <c r="D64" s="8" t="s">
        <v>2</v>
      </c>
      <c r="E64" s="9" t="s">
        <v>3</v>
      </c>
      <c r="F64" s="9" t="s">
        <v>4</v>
      </c>
      <c r="G64" s="9" t="s">
        <v>5</v>
      </c>
      <c r="H64" s="9" t="s">
        <v>6</v>
      </c>
      <c r="I64" s="9" t="s">
        <v>7</v>
      </c>
      <c r="J64" s="9" t="s">
        <v>23</v>
      </c>
      <c r="K64" s="9" t="s">
        <v>24</v>
      </c>
      <c r="L64" s="9" t="s">
        <v>25</v>
      </c>
      <c r="M64" s="16" t="s">
        <v>26</v>
      </c>
      <c r="N64" s="9" t="s">
        <v>27</v>
      </c>
      <c r="O64" s="69" t="s">
        <v>1</v>
      </c>
      <c r="P64" s="8" t="s">
        <v>2</v>
      </c>
      <c r="Q64" s="9" t="s">
        <v>28</v>
      </c>
      <c r="R64" s="9" t="s">
        <v>8</v>
      </c>
      <c r="S64" s="9" t="s">
        <v>9</v>
      </c>
      <c r="T64" s="9" t="s">
        <v>10</v>
      </c>
      <c r="U64" s="9" t="s">
        <v>29</v>
      </c>
      <c r="V64" s="9" t="s">
        <v>11</v>
      </c>
      <c r="W64" s="9" t="s">
        <v>12</v>
      </c>
      <c r="X64" s="9" t="s">
        <v>13</v>
      </c>
      <c r="Y64" s="9" t="s">
        <v>14</v>
      </c>
    </row>
    <row r="65" spans="2:25" s="6" customFormat="1" ht="18.95" customHeight="1" thickBot="1" x14ac:dyDescent="0.35">
      <c r="B65" s="30" t="s">
        <v>160</v>
      </c>
      <c r="C65" s="67"/>
      <c r="D65" s="61"/>
      <c r="E65" s="62"/>
      <c r="F65" s="62"/>
      <c r="G65" s="61"/>
      <c r="H65" s="61"/>
      <c r="I65" s="61"/>
      <c r="J65" s="61"/>
      <c r="K65" s="61"/>
      <c r="L65" s="61"/>
      <c r="M65" s="61"/>
      <c r="N65" s="63"/>
      <c r="O65" s="30" t="s">
        <v>45</v>
      </c>
      <c r="P65" s="34"/>
      <c r="Q65" s="31"/>
      <c r="R65" s="31"/>
      <c r="S65" s="32"/>
      <c r="T65" s="31"/>
      <c r="U65" s="31"/>
      <c r="V65" s="31"/>
      <c r="W65" s="31"/>
      <c r="X65" s="31"/>
      <c r="Y65" s="35"/>
    </row>
    <row r="66" spans="2:25" ht="18.95" customHeight="1" thickBot="1" x14ac:dyDescent="0.35">
      <c r="B66" s="49"/>
      <c r="C66" s="60" t="s">
        <v>112</v>
      </c>
      <c r="D66" s="54"/>
      <c r="E66" s="50"/>
      <c r="F66" s="50"/>
      <c r="G66" s="50"/>
      <c r="H66" s="50"/>
      <c r="I66" s="50"/>
      <c r="J66" s="50"/>
      <c r="K66" s="50">
        <v>1</v>
      </c>
      <c r="L66" s="50"/>
      <c r="M66" s="50"/>
      <c r="N66" s="50"/>
      <c r="O66" s="41" t="s">
        <v>112</v>
      </c>
      <c r="P66" s="54"/>
      <c r="Q66" s="50"/>
      <c r="R66" s="50"/>
      <c r="S66" s="50"/>
      <c r="T66" s="50"/>
      <c r="U66" s="50"/>
      <c r="V66" s="50"/>
      <c r="W66" s="50"/>
      <c r="X66" s="49"/>
      <c r="Y66" s="50">
        <f t="shared" ref="Y66:Y91" si="4">SUM(E66:X66)</f>
        <v>1</v>
      </c>
    </row>
    <row r="67" spans="2:25" ht="18.95" customHeight="1" thickBot="1" x14ac:dyDescent="0.35">
      <c r="B67" s="49"/>
      <c r="C67" s="60" t="s">
        <v>113</v>
      </c>
      <c r="D67" s="54"/>
      <c r="E67" s="50"/>
      <c r="F67" s="50"/>
      <c r="G67" s="50"/>
      <c r="H67" s="50"/>
      <c r="I67" s="50"/>
      <c r="J67" s="50"/>
      <c r="K67" s="50">
        <v>1</v>
      </c>
      <c r="L67" s="50"/>
      <c r="M67" s="50"/>
      <c r="N67" s="50"/>
      <c r="O67" s="41" t="s">
        <v>113</v>
      </c>
      <c r="P67" s="54"/>
      <c r="Q67" s="50"/>
      <c r="R67" s="50"/>
      <c r="S67" s="50"/>
      <c r="T67" s="50"/>
      <c r="U67" s="50"/>
      <c r="V67" s="50"/>
      <c r="W67" s="50"/>
      <c r="X67" s="49"/>
      <c r="Y67" s="50">
        <f t="shared" si="4"/>
        <v>1</v>
      </c>
    </row>
    <row r="68" spans="2:25" ht="18.95" customHeight="1" thickBot="1" x14ac:dyDescent="0.35">
      <c r="B68" s="49"/>
      <c r="C68" s="60" t="s">
        <v>114</v>
      </c>
      <c r="D68" s="54"/>
      <c r="E68" s="50"/>
      <c r="F68" s="50"/>
      <c r="G68" s="50"/>
      <c r="H68" s="50"/>
      <c r="I68" s="50"/>
      <c r="J68" s="50"/>
      <c r="K68" s="50">
        <v>1</v>
      </c>
      <c r="L68" s="50"/>
      <c r="M68" s="50"/>
      <c r="N68" s="50"/>
      <c r="O68" s="41" t="s">
        <v>114</v>
      </c>
      <c r="P68" s="54"/>
      <c r="Q68" s="50"/>
      <c r="R68" s="50"/>
      <c r="S68" s="50"/>
      <c r="T68" s="50"/>
      <c r="U68" s="50"/>
      <c r="V68" s="50"/>
      <c r="W68" s="50"/>
      <c r="X68" s="49"/>
      <c r="Y68" s="50">
        <f t="shared" si="4"/>
        <v>1</v>
      </c>
    </row>
    <row r="69" spans="2:25" ht="18.95" customHeight="1" thickBot="1" x14ac:dyDescent="0.35">
      <c r="B69" s="49"/>
      <c r="C69" s="60" t="s">
        <v>115</v>
      </c>
      <c r="D69" s="54"/>
      <c r="E69" s="50"/>
      <c r="F69" s="50"/>
      <c r="G69" s="50"/>
      <c r="H69" s="50"/>
      <c r="I69" s="50"/>
      <c r="J69" s="50"/>
      <c r="K69" s="50">
        <v>1</v>
      </c>
      <c r="L69" s="50"/>
      <c r="M69" s="50"/>
      <c r="N69" s="50"/>
      <c r="O69" s="41" t="s">
        <v>115</v>
      </c>
      <c r="P69" s="54"/>
      <c r="Q69" s="50"/>
      <c r="R69" s="50"/>
      <c r="S69" s="50"/>
      <c r="T69" s="50"/>
      <c r="U69" s="50"/>
      <c r="V69" s="50"/>
      <c r="W69" s="50"/>
      <c r="X69" s="49"/>
      <c r="Y69" s="50">
        <f t="shared" si="4"/>
        <v>1</v>
      </c>
    </row>
    <row r="70" spans="2:25" ht="18.95" customHeight="1" thickBot="1" x14ac:dyDescent="0.35">
      <c r="B70" s="49"/>
      <c r="C70" s="60" t="s">
        <v>116</v>
      </c>
      <c r="D70" s="54"/>
      <c r="E70" s="50"/>
      <c r="F70" s="50"/>
      <c r="G70" s="50"/>
      <c r="H70" s="50"/>
      <c r="I70" s="50"/>
      <c r="J70" s="50"/>
      <c r="K70" s="50">
        <v>1</v>
      </c>
      <c r="L70" s="50"/>
      <c r="M70" s="50"/>
      <c r="N70" s="50"/>
      <c r="O70" s="41" t="s">
        <v>116</v>
      </c>
      <c r="P70" s="54"/>
      <c r="Q70" s="50"/>
      <c r="R70" s="50"/>
      <c r="S70" s="50"/>
      <c r="T70" s="50"/>
      <c r="U70" s="50"/>
      <c r="V70" s="50"/>
      <c r="W70" s="50"/>
      <c r="X70" s="49"/>
      <c r="Y70" s="50">
        <f t="shared" si="4"/>
        <v>1</v>
      </c>
    </row>
    <row r="71" spans="2:25" ht="18.95" customHeight="1" thickBot="1" x14ac:dyDescent="0.35">
      <c r="B71" s="49"/>
      <c r="C71" s="60" t="s">
        <v>117</v>
      </c>
      <c r="D71" s="54"/>
      <c r="E71" s="50"/>
      <c r="F71" s="50"/>
      <c r="G71" s="50"/>
      <c r="H71" s="50"/>
      <c r="I71" s="50"/>
      <c r="J71" s="50"/>
      <c r="K71" s="50">
        <v>1</v>
      </c>
      <c r="L71" s="50"/>
      <c r="M71" s="50"/>
      <c r="N71" s="50"/>
      <c r="O71" s="41" t="s">
        <v>117</v>
      </c>
      <c r="P71" s="54"/>
      <c r="Q71" s="50"/>
      <c r="R71" s="50"/>
      <c r="S71" s="50"/>
      <c r="T71" s="50"/>
      <c r="U71" s="50"/>
      <c r="V71" s="50"/>
      <c r="W71" s="50"/>
      <c r="X71" s="49"/>
      <c r="Y71" s="50">
        <f t="shared" si="4"/>
        <v>1</v>
      </c>
    </row>
    <row r="72" spans="2:25" ht="18.95" customHeight="1" thickBot="1" x14ac:dyDescent="0.35">
      <c r="B72" s="49"/>
      <c r="C72" s="60" t="s">
        <v>118</v>
      </c>
      <c r="D72" s="54"/>
      <c r="E72" s="50"/>
      <c r="F72" s="50"/>
      <c r="G72" s="50"/>
      <c r="H72" s="50"/>
      <c r="I72" s="50"/>
      <c r="J72" s="50"/>
      <c r="K72" s="50">
        <v>1</v>
      </c>
      <c r="L72" s="50"/>
      <c r="M72" s="50"/>
      <c r="N72" s="50"/>
      <c r="O72" s="41" t="s">
        <v>118</v>
      </c>
      <c r="P72" s="54"/>
      <c r="Q72" s="50"/>
      <c r="R72" s="50"/>
      <c r="S72" s="50"/>
      <c r="T72" s="50"/>
      <c r="U72" s="50"/>
      <c r="V72" s="50"/>
      <c r="W72" s="50"/>
      <c r="X72" s="49"/>
      <c r="Y72" s="50">
        <f t="shared" si="4"/>
        <v>1</v>
      </c>
    </row>
    <row r="73" spans="2:25" ht="18.95" customHeight="1" thickBot="1" x14ac:dyDescent="0.35">
      <c r="B73" s="49"/>
      <c r="C73" s="60" t="s">
        <v>119</v>
      </c>
      <c r="D73" s="54"/>
      <c r="E73" s="50"/>
      <c r="F73" s="50"/>
      <c r="G73" s="50"/>
      <c r="H73" s="50"/>
      <c r="I73" s="50"/>
      <c r="J73" s="50"/>
      <c r="K73" s="50">
        <v>1</v>
      </c>
      <c r="L73" s="50"/>
      <c r="M73" s="50"/>
      <c r="N73" s="50"/>
      <c r="O73" s="41" t="s">
        <v>119</v>
      </c>
      <c r="P73" s="54"/>
      <c r="Q73" s="50"/>
      <c r="R73" s="50"/>
      <c r="S73" s="50"/>
      <c r="T73" s="50"/>
      <c r="U73" s="50"/>
      <c r="V73" s="50"/>
      <c r="W73" s="50"/>
      <c r="X73" s="49"/>
      <c r="Y73" s="50">
        <f t="shared" si="4"/>
        <v>1</v>
      </c>
    </row>
    <row r="74" spans="2:25" ht="18.95" customHeight="1" thickBot="1" x14ac:dyDescent="0.35">
      <c r="B74" s="49"/>
      <c r="C74" s="60" t="s">
        <v>109</v>
      </c>
      <c r="D74" s="54"/>
      <c r="E74" s="50"/>
      <c r="F74" s="50"/>
      <c r="G74" s="50"/>
      <c r="H74" s="50"/>
      <c r="I74" s="50"/>
      <c r="J74" s="50"/>
      <c r="K74" s="50">
        <v>2</v>
      </c>
      <c r="L74" s="50"/>
      <c r="M74" s="50"/>
      <c r="N74" s="50"/>
      <c r="O74" s="41" t="s">
        <v>109</v>
      </c>
      <c r="P74" s="54"/>
      <c r="Q74" s="50"/>
      <c r="R74" s="50"/>
      <c r="S74" s="50"/>
      <c r="T74" s="50"/>
      <c r="U74" s="50"/>
      <c r="V74" s="50">
        <v>1</v>
      </c>
      <c r="W74" s="50"/>
      <c r="X74" s="49"/>
      <c r="Y74" s="50">
        <f t="shared" si="4"/>
        <v>3</v>
      </c>
    </row>
    <row r="75" spans="2:25" ht="18.95" customHeight="1" thickBot="1" x14ac:dyDescent="0.35">
      <c r="B75" s="49"/>
      <c r="C75" s="60" t="s">
        <v>120</v>
      </c>
      <c r="D75" s="54"/>
      <c r="E75" s="50"/>
      <c r="F75" s="50"/>
      <c r="G75" s="50"/>
      <c r="H75" s="50"/>
      <c r="I75" s="50"/>
      <c r="J75" s="50"/>
      <c r="K75" s="50"/>
      <c r="L75" s="50">
        <v>1</v>
      </c>
      <c r="M75" s="50"/>
      <c r="N75" s="50"/>
      <c r="O75" s="41" t="s">
        <v>120</v>
      </c>
      <c r="P75" s="54"/>
      <c r="Q75" s="50"/>
      <c r="R75" s="50"/>
      <c r="S75" s="50"/>
      <c r="T75" s="50"/>
      <c r="U75" s="50"/>
      <c r="V75" s="50"/>
      <c r="W75" s="50"/>
      <c r="X75" s="49"/>
      <c r="Y75" s="50">
        <f t="shared" si="4"/>
        <v>1</v>
      </c>
    </row>
    <row r="76" spans="2:25" ht="18.95" customHeight="1" thickBot="1" x14ac:dyDescent="0.35">
      <c r="B76" s="49"/>
      <c r="C76" s="60" t="s">
        <v>121</v>
      </c>
      <c r="D76" s="54"/>
      <c r="E76" s="50"/>
      <c r="F76" s="50"/>
      <c r="G76" s="50"/>
      <c r="H76" s="50"/>
      <c r="I76" s="50"/>
      <c r="J76" s="50"/>
      <c r="K76" s="50"/>
      <c r="L76" s="50">
        <v>1</v>
      </c>
      <c r="M76" s="50"/>
      <c r="N76" s="50"/>
      <c r="O76" s="41" t="s">
        <v>121</v>
      </c>
      <c r="P76" s="54"/>
      <c r="Q76" s="50"/>
      <c r="R76" s="50"/>
      <c r="S76" s="50"/>
      <c r="T76" s="50"/>
      <c r="U76" s="50"/>
      <c r="V76" s="50"/>
      <c r="W76" s="50"/>
      <c r="X76" s="49"/>
      <c r="Y76" s="50">
        <f t="shared" si="4"/>
        <v>1</v>
      </c>
    </row>
    <row r="77" spans="2:25" ht="18.95" customHeight="1" thickBot="1" x14ac:dyDescent="0.35">
      <c r="B77" s="49"/>
      <c r="C77" s="60" t="s">
        <v>122</v>
      </c>
      <c r="D77" s="54"/>
      <c r="E77" s="50"/>
      <c r="F77" s="50"/>
      <c r="G77" s="50"/>
      <c r="H77" s="50"/>
      <c r="I77" s="50"/>
      <c r="J77" s="50"/>
      <c r="K77" s="50"/>
      <c r="L77" s="50">
        <v>1</v>
      </c>
      <c r="M77" s="50"/>
      <c r="N77" s="50"/>
      <c r="O77" s="41" t="s">
        <v>122</v>
      </c>
      <c r="P77" s="54"/>
      <c r="Q77" s="50"/>
      <c r="R77" s="50"/>
      <c r="S77" s="50"/>
      <c r="T77" s="50"/>
      <c r="U77" s="50"/>
      <c r="V77" s="50"/>
      <c r="W77" s="50"/>
      <c r="X77" s="49"/>
      <c r="Y77" s="50">
        <f t="shared" si="4"/>
        <v>1</v>
      </c>
    </row>
    <row r="78" spans="2:25" ht="18.95" customHeight="1" thickBot="1" x14ac:dyDescent="0.35">
      <c r="B78" s="49"/>
      <c r="C78" s="60" t="s">
        <v>127</v>
      </c>
      <c r="D78" s="54"/>
      <c r="E78" s="50"/>
      <c r="F78" s="50"/>
      <c r="G78" s="50"/>
      <c r="H78" s="50"/>
      <c r="I78" s="50"/>
      <c r="J78" s="50"/>
      <c r="K78" s="50"/>
      <c r="L78" s="50"/>
      <c r="M78" s="50"/>
      <c r="N78" s="50">
        <v>1</v>
      </c>
      <c r="O78" s="41" t="s">
        <v>127</v>
      </c>
      <c r="P78" s="54"/>
      <c r="Q78" s="50"/>
      <c r="R78" s="50"/>
      <c r="S78" s="50"/>
      <c r="T78" s="50"/>
      <c r="U78" s="50"/>
      <c r="V78" s="50"/>
      <c r="W78" s="50"/>
      <c r="X78" s="49"/>
      <c r="Y78" s="50">
        <f t="shared" si="4"/>
        <v>1</v>
      </c>
    </row>
    <row r="79" spans="2:25" ht="18.95" customHeight="1" thickBot="1" x14ac:dyDescent="0.35">
      <c r="B79" s="49"/>
      <c r="C79" s="60" t="s">
        <v>128</v>
      </c>
      <c r="D79" s="54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41" t="s">
        <v>128</v>
      </c>
      <c r="P79" s="54"/>
      <c r="Q79" s="50">
        <v>1</v>
      </c>
      <c r="R79" s="50"/>
      <c r="S79" s="50"/>
      <c r="T79" s="50"/>
      <c r="U79" s="50"/>
      <c r="V79" s="50"/>
      <c r="W79" s="50"/>
      <c r="X79" s="49"/>
      <c r="Y79" s="50">
        <f t="shared" si="4"/>
        <v>1</v>
      </c>
    </row>
    <row r="80" spans="2:25" ht="18.95" customHeight="1" thickBot="1" x14ac:dyDescent="0.35">
      <c r="B80" s="49"/>
      <c r="C80" s="60" t="s">
        <v>132</v>
      </c>
      <c r="D80" s="54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41" t="s">
        <v>132</v>
      </c>
      <c r="P80" s="54"/>
      <c r="Q80" s="50"/>
      <c r="R80" s="50"/>
      <c r="S80" s="50">
        <v>1</v>
      </c>
      <c r="T80" s="50"/>
      <c r="U80" s="50"/>
      <c r="V80" s="50"/>
      <c r="W80" s="50"/>
      <c r="X80" s="49"/>
      <c r="Y80" s="50">
        <f t="shared" si="4"/>
        <v>1</v>
      </c>
    </row>
    <row r="81" spans="2:25" ht="18.95" customHeight="1" thickBot="1" x14ac:dyDescent="0.35">
      <c r="B81" s="49"/>
      <c r="C81" s="60" t="s">
        <v>133</v>
      </c>
      <c r="D81" s="54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41" t="s">
        <v>133</v>
      </c>
      <c r="P81" s="54"/>
      <c r="Q81" s="50"/>
      <c r="R81" s="50"/>
      <c r="S81" s="50">
        <v>1</v>
      </c>
      <c r="T81" s="50"/>
      <c r="U81" s="50"/>
      <c r="V81" s="50"/>
      <c r="W81" s="50"/>
      <c r="X81" s="49"/>
      <c r="Y81" s="50">
        <f t="shared" si="4"/>
        <v>1</v>
      </c>
    </row>
    <row r="82" spans="2:25" ht="18.95" customHeight="1" thickBot="1" x14ac:dyDescent="0.35">
      <c r="B82" s="49"/>
      <c r="C82" s="60" t="s">
        <v>134</v>
      </c>
      <c r="D82" s="54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41" t="s">
        <v>134</v>
      </c>
      <c r="P82" s="54"/>
      <c r="Q82" s="50"/>
      <c r="R82" s="50"/>
      <c r="S82" s="50">
        <v>1</v>
      </c>
      <c r="T82" s="50"/>
      <c r="U82" s="50"/>
      <c r="V82" s="50"/>
      <c r="W82" s="50"/>
      <c r="X82" s="49"/>
      <c r="Y82" s="50">
        <f t="shared" si="4"/>
        <v>1</v>
      </c>
    </row>
    <row r="83" spans="2:25" ht="18.95" customHeight="1" thickBot="1" x14ac:dyDescent="0.35">
      <c r="B83" s="49"/>
      <c r="C83" s="60" t="s">
        <v>138</v>
      </c>
      <c r="D83" s="54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41" t="s">
        <v>138</v>
      </c>
      <c r="P83" s="54"/>
      <c r="Q83" s="50"/>
      <c r="R83" s="50"/>
      <c r="S83" s="50"/>
      <c r="T83" s="50"/>
      <c r="U83" s="50">
        <v>1</v>
      </c>
      <c r="V83" s="50"/>
      <c r="W83" s="50"/>
      <c r="X83" s="49"/>
      <c r="Y83" s="50">
        <f t="shared" si="4"/>
        <v>1</v>
      </c>
    </row>
    <row r="84" spans="2:25" ht="18.95" customHeight="1" thickBot="1" x14ac:dyDescent="0.35">
      <c r="B84" s="49"/>
      <c r="C84" s="60" t="s">
        <v>141</v>
      </c>
      <c r="D84" s="54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41" t="s">
        <v>141</v>
      </c>
      <c r="P84" s="54"/>
      <c r="Q84" s="50"/>
      <c r="R84" s="50"/>
      <c r="S84" s="50"/>
      <c r="T84" s="50"/>
      <c r="U84" s="50"/>
      <c r="V84" s="50"/>
      <c r="W84" s="50"/>
      <c r="X84" s="49">
        <v>1</v>
      </c>
      <c r="Y84" s="50">
        <f t="shared" si="4"/>
        <v>1</v>
      </c>
    </row>
    <row r="85" spans="2:25" ht="18.95" customHeight="1" thickBot="1" x14ac:dyDescent="0.35">
      <c r="B85" s="49"/>
      <c r="C85" s="60" t="s">
        <v>142</v>
      </c>
      <c r="D85" s="54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41" t="s">
        <v>142</v>
      </c>
      <c r="P85" s="54"/>
      <c r="Q85" s="50"/>
      <c r="R85" s="50"/>
      <c r="S85" s="50"/>
      <c r="T85" s="50"/>
      <c r="U85" s="50"/>
      <c r="V85" s="50"/>
      <c r="W85" s="50"/>
      <c r="X85" s="49">
        <v>1</v>
      </c>
      <c r="Y85" s="50">
        <f t="shared" si="4"/>
        <v>1</v>
      </c>
    </row>
    <row r="86" spans="2:25" ht="18.95" customHeight="1" thickBot="1" x14ac:dyDescent="0.35">
      <c r="B86" s="49"/>
      <c r="C86" s="60" t="s">
        <v>143</v>
      </c>
      <c r="D86" s="54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41" t="s">
        <v>143</v>
      </c>
      <c r="P86" s="54"/>
      <c r="Q86" s="50"/>
      <c r="R86" s="50"/>
      <c r="S86" s="50"/>
      <c r="T86" s="50"/>
      <c r="U86" s="50"/>
      <c r="V86" s="50"/>
      <c r="W86" s="50"/>
      <c r="X86" s="49">
        <v>1</v>
      </c>
      <c r="Y86" s="50">
        <f t="shared" si="4"/>
        <v>1</v>
      </c>
    </row>
    <row r="87" spans="2:25" ht="18.95" customHeight="1" thickBot="1" x14ac:dyDescent="0.35">
      <c r="B87" s="49"/>
      <c r="C87" s="60" t="s">
        <v>144</v>
      </c>
      <c r="D87" s="54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41" t="s">
        <v>144</v>
      </c>
      <c r="P87" s="54"/>
      <c r="Q87" s="50"/>
      <c r="R87" s="50"/>
      <c r="S87" s="50"/>
      <c r="T87" s="50"/>
      <c r="U87" s="50"/>
      <c r="V87" s="50"/>
      <c r="W87" s="50"/>
      <c r="X87" s="49">
        <v>1</v>
      </c>
      <c r="Y87" s="50">
        <f t="shared" si="4"/>
        <v>1</v>
      </c>
    </row>
    <row r="88" spans="2:25" ht="18.95" customHeight="1" thickBot="1" x14ac:dyDescent="0.35">
      <c r="B88" s="49"/>
      <c r="C88" s="60" t="s">
        <v>145</v>
      </c>
      <c r="D88" s="54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41" t="s">
        <v>145</v>
      </c>
      <c r="P88" s="54"/>
      <c r="Q88" s="50"/>
      <c r="R88" s="50"/>
      <c r="S88" s="50"/>
      <c r="T88" s="50"/>
      <c r="U88" s="50"/>
      <c r="V88" s="50"/>
      <c r="W88" s="50"/>
      <c r="X88" s="49">
        <v>1</v>
      </c>
      <c r="Y88" s="50">
        <f t="shared" si="4"/>
        <v>1</v>
      </c>
    </row>
    <row r="89" spans="2:25" ht="18.95" customHeight="1" thickBot="1" x14ac:dyDescent="0.35">
      <c r="B89" s="49"/>
      <c r="C89" s="60" t="s">
        <v>146</v>
      </c>
      <c r="D89" s="54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41" t="s">
        <v>146</v>
      </c>
      <c r="P89" s="54"/>
      <c r="Q89" s="50"/>
      <c r="R89" s="50"/>
      <c r="S89" s="50"/>
      <c r="T89" s="50"/>
      <c r="U89" s="50"/>
      <c r="V89" s="50"/>
      <c r="W89" s="50"/>
      <c r="X89" s="49">
        <v>1</v>
      </c>
      <c r="Y89" s="50">
        <f t="shared" si="4"/>
        <v>1</v>
      </c>
    </row>
    <row r="90" spans="2:25" ht="18.95" customHeight="1" thickBot="1" x14ac:dyDescent="0.35">
      <c r="B90" s="49"/>
      <c r="C90" s="60" t="s">
        <v>147</v>
      </c>
      <c r="D90" s="54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41" t="s">
        <v>147</v>
      </c>
      <c r="P90" s="54"/>
      <c r="Q90" s="50"/>
      <c r="R90" s="50"/>
      <c r="S90" s="50"/>
      <c r="T90" s="50"/>
      <c r="U90" s="50"/>
      <c r="V90" s="50"/>
      <c r="W90" s="50"/>
      <c r="X90" s="49">
        <v>1</v>
      </c>
      <c r="Y90" s="50">
        <f t="shared" si="4"/>
        <v>1</v>
      </c>
    </row>
    <row r="91" spans="2:25" ht="18.95" customHeight="1" thickBot="1" x14ac:dyDescent="0.35">
      <c r="B91" s="49"/>
      <c r="C91" s="49"/>
      <c r="D91" s="54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41"/>
      <c r="P91" s="54"/>
      <c r="Q91" s="50"/>
      <c r="R91" s="50"/>
      <c r="S91" s="50"/>
      <c r="T91" s="50"/>
      <c r="U91" s="50"/>
      <c r="V91" s="50"/>
      <c r="W91" s="50"/>
      <c r="X91" s="49"/>
      <c r="Y91" s="50">
        <f t="shared" si="4"/>
        <v>0</v>
      </c>
    </row>
    <row r="92" spans="2:25" ht="18.95" customHeight="1" thickBot="1" x14ac:dyDescent="0.35">
      <c r="B92" s="55" t="s">
        <v>40</v>
      </c>
      <c r="C92" s="56"/>
      <c r="D92" s="56"/>
      <c r="E92" s="57"/>
      <c r="F92" s="57"/>
      <c r="G92" s="56"/>
      <c r="H92" s="56"/>
      <c r="I92" s="56"/>
      <c r="J92" s="56"/>
      <c r="K92" s="56"/>
      <c r="L92" s="56"/>
      <c r="M92" s="56"/>
      <c r="N92" s="58"/>
      <c r="O92" s="55" t="s">
        <v>40</v>
      </c>
      <c r="P92" s="59"/>
      <c r="Q92" s="56"/>
      <c r="R92" s="56"/>
      <c r="S92" s="57"/>
      <c r="T92" s="56"/>
      <c r="U92" s="56"/>
      <c r="V92" s="56"/>
      <c r="W92" s="56"/>
      <c r="X92" s="56"/>
      <c r="Y92" s="48"/>
    </row>
    <row r="93" spans="2:25" ht="18.95" customHeight="1" thickBot="1" x14ac:dyDescent="0.35">
      <c r="B93" s="49"/>
      <c r="C93" s="60" t="s">
        <v>61</v>
      </c>
      <c r="D93" s="41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41" t="s">
        <v>61</v>
      </c>
      <c r="P93" s="41"/>
      <c r="Q93" s="50"/>
      <c r="R93" s="50"/>
      <c r="S93" s="50"/>
      <c r="T93" s="50"/>
      <c r="U93" s="50"/>
      <c r="V93" s="50"/>
      <c r="W93" s="50"/>
      <c r="X93" s="49"/>
      <c r="Y93" s="50">
        <f t="shared" ref="Y93:Y110" si="5">SUM(E93:X93)</f>
        <v>0</v>
      </c>
    </row>
    <row r="94" spans="2:25" ht="18.95" customHeight="1" thickBot="1" x14ac:dyDescent="0.35">
      <c r="B94" s="49"/>
      <c r="C94" s="60" t="s">
        <v>75</v>
      </c>
      <c r="D94" s="41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41" t="s">
        <v>75</v>
      </c>
      <c r="P94" s="41"/>
      <c r="Q94" s="50"/>
      <c r="R94" s="50"/>
      <c r="S94" s="50"/>
      <c r="T94" s="50"/>
      <c r="U94" s="50"/>
      <c r="V94" s="50"/>
      <c r="W94" s="50"/>
      <c r="X94" s="49"/>
      <c r="Y94" s="50">
        <f t="shared" si="5"/>
        <v>0</v>
      </c>
    </row>
    <row r="95" spans="2:25" ht="18.95" customHeight="1" thickBot="1" x14ac:dyDescent="0.35">
      <c r="B95" s="49"/>
      <c r="C95" s="60" t="s">
        <v>76</v>
      </c>
      <c r="D95" s="41"/>
      <c r="E95" s="50"/>
      <c r="F95" s="50"/>
      <c r="G95" s="50"/>
      <c r="H95" s="50"/>
      <c r="I95" s="50"/>
      <c r="J95" s="50">
        <v>1</v>
      </c>
      <c r="K95" s="50"/>
      <c r="L95" s="50"/>
      <c r="M95" s="50"/>
      <c r="N95" s="50"/>
      <c r="O95" s="41" t="s">
        <v>76</v>
      </c>
      <c r="P95" s="41"/>
      <c r="Q95" s="50"/>
      <c r="R95" s="50"/>
      <c r="S95" s="50"/>
      <c r="T95" s="50"/>
      <c r="U95" s="50"/>
      <c r="V95" s="50"/>
      <c r="W95" s="50"/>
      <c r="X95" s="49"/>
      <c r="Y95" s="50">
        <f t="shared" ref="Y95:Y103" si="6">SUM(E95:X95)</f>
        <v>1</v>
      </c>
    </row>
    <row r="96" spans="2:25" ht="18.95" customHeight="1" thickBot="1" x14ac:dyDescent="0.35">
      <c r="B96" s="49"/>
      <c r="C96" s="60" t="s">
        <v>83</v>
      </c>
      <c r="D96" s="41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41" t="s">
        <v>83</v>
      </c>
      <c r="P96" s="41"/>
      <c r="Q96" s="50"/>
      <c r="R96" s="50"/>
      <c r="S96" s="50"/>
      <c r="T96" s="50"/>
      <c r="U96" s="50"/>
      <c r="V96" s="50"/>
      <c r="W96" s="50"/>
      <c r="X96" s="49"/>
      <c r="Y96" s="50">
        <f t="shared" si="6"/>
        <v>0</v>
      </c>
    </row>
    <row r="97" spans="2:25" ht="18.95" customHeight="1" thickBot="1" x14ac:dyDescent="0.35">
      <c r="B97" s="49"/>
      <c r="C97" s="60" t="s">
        <v>108</v>
      </c>
      <c r="D97" s="41"/>
      <c r="E97" s="50"/>
      <c r="F97" s="50"/>
      <c r="G97" s="50"/>
      <c r="H97" s="50"/>
      <c r="I97" s="50"/>
      <c r="J97" s="50">
        <v>1</v>
      </c>
      <c r="K97" s="50">
        <v>1</v>
      </c>
      <c r="L97" s="50"/>
      <c r="M97" s="50"/>
      <c r="N97" s="50"/>
      <c r="O97" s="41" t="s">
        <v>108</v>
      </c>
      <c r="P97" s="41"/>
      <c r="Q97" s="50"/>
      <c r="R97" s="50"/>
      <c r="S97" s="50"/>
      <c r="T97" s="50"/>
      <c r="U97" s="50"/>
      <c r="V97" s="50"/>
      <c r="W97" s="50"/>
      <c r="X97" s="49"/>
      <c r="Y97" s="50">
        <f t="shared" si="6"/>
        <v>2</v>
      </c>
    </row>
    <row r="98" spans="2:25" ht="18.95" customHeight="1" thickBot="1" x14ac:dyDescent="0.35">
      <c r="B98" s="49"/>
      <c r="C98" s="60" t="s">
        <v>109</v>
      </c>
      <c r="D98" s="41"/>
      <c r="E98" s="50"/>
      <c r="F98" s="50"/>
      <c r="G98" s="50"/>
      <c r="H98" s="50"/>
      <c r="I98" s="50"/>
      <c r="J98" s="50"/>
      <c r="K98" s="50">
        <v>1</v>
      </c>
      <c r="L98" s="50"/>
      <c r="M98" s="50"/>
      <c r="N98" s="50"/>
      <c r="O98" s="41" t="s">
        <v>109</v>
      </c>
      <c r="P98" s="41"/>
      <c r="Q98" s="50"/>
      <c r="R98" s="50"/>
      <c r="S98" s="50"/>
      <c r="T98" s="50"/>
      <c r="U98" s="50"/>
      <c r="V98" s="50"/>
      <c r="W98" s="50"/>
      <c r="X98" s="49"/>
      <c r="Y98" s="50">
        <f t="shared" si="6"/>
        <v>1</v>
      </c>
    </row>
    <row r="99" spans="2:25" ht="18.95" customHeight="1" thickBot="1" x14ac:dyDescent="0.35">
      <c r="B99" s="49"/>
      <c r="C99" s="60" t="s">
        <v>123</v>
      </c>
      <c r="D99" s="41"/>
      <c r="E99" s="50"/>
      <c r="F99" s="50"/>
      <c r="G99" s="50"/>
      <c r="H99" s="50"/>
      <c r="I99" s="50"/>
      <c r="J99" s="50"/>
      <c r="K99" s="50"/>
      <c r="L99" s="50">
        <v>1</v>
      </c>
      <c r="M99" s="50"/>
      <c r="N99" s="50"/>
      <c r="O99" s="41" t="s">
        <v>123</v>
      </c>
      <c r="P99" s="41"/>
      <c r="Q99" s="50"/>
      <c r="R99" s="50"/>
      <c r="S99" s="50"/>
      <c r="T99" s="50"/>
      <c r="U99" s="50"/>
      <c r="V99" s="50"/>
      <c r="W99" s="50"/>
      <c r="X99" s="49"/>
      <c r="Y99" s="50">
        <f t="shared" si="6"/>
        <v>1</v>
      </c>
    </row>
    <row r="100" spans="2:25" ht="18.95" customHeight="1" thickBot="1" x14ac:dyDescent="0.35">
      <c r="B100" s="49"/>
      <c r="C100" s="60" t="s">
        <v>124</v>
      </c>
      <c r="D100" s="41"/>
      <c r="E100" s="50"/>
      <c r="F100" s="50"/>
      <c r="G100" s="50"/>
      <c r="H100" s="50"/>
      <c r="I100" s="50"/>
      <c r="J100" s="50"/>
      <c r="K100" s="50"/>
      <c r="L100" s="50">
        <v>1</v>
      </c>
      <c r="M100" s="50"/>
      <c r="N100" s="50"/>
      <c r="O100" s="41" t="s">
        <v>124</v>
      </c>
      <c r="P100" s="41"/>
      <c r="Q100" s="50"/>
      <c r="R100" s="50"/>
      <c r="S100" s="50"/>
      <c r="T100" s="50"/>
      <c r="U100" s="50"/>
      <c r="V100" s="50"/>
      <c r="W100" s="50"/>
      <c r="X100" s="49"/>
      <c r="Y100" s="50">
        <f t="shared" si="6"/>
        <v>1</v>
      </c>
    </row>
    <row r="101" spans="2:25" ht="18.95" customHeight="1" thickBot="1" x14ac:dyDescent="0.35">
      <c r="B101" s="49"/>
      <c r="C101" s="60" t="s">
        <v>125</v>
      </c>
      <c r="D101" s="41"/>
      <c r="E101" s="50"/>
      <c r="F101" s="50"/>
      <c r="G101" s="50"/>
      <c r="H101" s="50"/>
      <c r="I101" s="50"/>
      <c r="J101" s="50"/>
      <c r="K101" s="50"/>
      <c r="L101" s="50">
        <v>1</v>
      </c>
      <c r="M101" s="50"/>
      <c r="N101" s="50"/>
      <c r="O101" s="41" t="s">
        <v>125</v>
      </c>
      <c r="P101" s="41"/>
      <c r="Q101" s="50"/>
      <c r="R101" s="50"/>
      <c r="S101" s="50"/>
      <c r="T101" s="50"/>
      <c r="U101" s="50"/>
      <c r="V101" s="50"/>
      <c r="W101" s="50"/>
      <c r="X101" s="49"/>
      <c r="Y101" s="50">
        <f t="shared" si="6"/>
        <v>1</v>
      </c>
    </row>
    <row r="102" spans="2:25" ht="18.95" customHeight="1" thickBot="1" x14ac:dyDescent="0.35">
      <c r="B102" s="49"/>
      <c r="C102" s="60" t="s">
        <v>126</v>
      </c>
      <c r="D102" s="41"/>
      <c r="E102" s="50"/>
      <c r="F102" s="50"/>
      <c r="G102" s="50"/>
      <c r="H102" s="50"/>
      <c r="I102" s="50"/>
      <c r="J102" s="50"/>
      <c r="K102" s="50"/>
      <c r="L102" s="50">
        <v>1</v>
      </c>
      <c r="M102" s="50"/>
      <c r="N102" s="50"/>
      <c r="O102" s="41" t="s">
        <v>126</v>
      </c>
      <c r="P102" s="41"/>
      <c r="Q102" s="50"/>
      <c r="R102" s="50"/>
      <c r="S102" s="50"/>
      <c r="T102" s="50"/>
      <c r="U102" s="50"/>
      <c r="V102" s="50"/>
      <c r="W102" s="50"/>
      <c r="X102" s="49"/>
      <c r="Y102" s="50">
        <f t="shared" si="6"/>
        <v>1</v>
      </c>
    </row>
    <row r="103" spans="2:25" ht="18.95" customHeight="1" thickBot="1" x14ac:dyDescent="0.35">
      <c r="B103" s="49"/>
      <c r="C103" s="60" t="s">
        <v>98</v>
      </c>
      <c r="D103" s="41"/>
      <c r="E103" s="50"/>
      <c r="F103" s="50"/>
      <c r="G103" s="50"/>
      <c r="H103" s="50"/>
      <c r="I103" s="50"/>
      <c r="J103" s="50"/>
      <c r="K103" s="50">
        <v>1</v>
      </c>
      <c r="L103" s="50"/>
      <c r="M103" s="50"/>
      <c r="N103" s="50"/>
      <c r="O103" s="41"/>
      <c r="P103" s="41"/>
      <c r="Q103" s="50"/>
      <c r="R103" s="50"/>
      <c r="S103" s="50"/>
      <c r="T103" s="50"/>
      <c r="U103" s="50"/>
      <c r="V103" s="50"/>
      <c r="W103" s="50"/>
      <c r="X103" s="49"/>
      <c r="Y103" s="50">
        <f t="shared" si="6"/>
        <v>1</v>
      </c>
    </row>
    <row r="104" spans="2:25" ht="27" x14ac:dyDescent="0.35">
      <c r="B104" s="22" t="s">
        <v>41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2:25" ht="28.5" thickBot="1" x14ac:dyDescent="0.45">
      <c r="B105" s="1" t="s">
        <v>33</v>
      </c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2"/>
      <c r="S105" s="1"/>
      <c r="T105" s="1"/>
      <c r="U105" s="1"/>
      <c r="V105" s="1"/>
      <c r="W105" s="27"/>
      <c r="X105" s="1"/>
      <c r="Y105" s="1"/>
    </row>
    <row r="106" spans="2:25" ht="13.5" thickBot="1" x14ac:dyDescent="0.25">
      <c r="B106" s="26"/>
      <c r="C106" s="27"/>
      <c r="D106" s="28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9"/>
      <c r="P106" s="28"/>
      <c r="Q106" s="27"/>
      <c r="R106" s="27"/>
      <c r="S106" s="27"/>
      <c r="T106" s="27"/>
      <c r="U106" s="27"/>
      <c r="V106" s="27"/>
      <c r="W106" s="27"/>
      <c r="X106" s="27"/>
      <c r="Y106" s="27"/>
    </row>
    <row r="107" spans="2:25" ht="102.75" thickBot="1" x14ac:dyDescent="0.25">
      <c r="B107" s="8" t="s">
        <v>0</v>
      </c>
      <c r="C107" s="8" t="s">
        <v>1</v>
      </c>
      <c r="D107" s="8" t="s">
        <v>2</v>
      </c>
      <c r="E107" s="9" t="s">
        <v>3</v>
      </c>
      <c r="F107" s="9" t="s">
        <v>4</v>
      </c>
      <c r="G107" s="9" t="s">
        <v>5</v>
      </c>
      <c r="H107" s="9" t="s">
        <v>6</v>
      </c>
      <c r="I107" s="9" t="s">
        <v>7</v>
      </c>
      <c r="J107" s="9" t="s">
        <v>23</v>
      </c>
      <c r="K107" s="9" t="s">
        <v>24</v>
      </c>
      <c r="L107" s="9" t="s">
        <v>25</v>
      </c>
      <c r="M107" s="16" t="s">
        <v>26</v>
      </c>
      <c r="N107" s="9" t="s">
        <v>27</v>
      </c>
      <c r="O107" s="21" t="s">
        <v>1</v>
      </c>
      <c r="P107" s="8" t="s">
        <v>2</v>
      </c>
      <c r="Q107" s="9" t="s">
        <v>28</v>
      </c>
      <c r="R107" s="9" t="s">
        <v>8</v>
      </c>
      <c r="S107" s="9" t="s">
        <v>9</v>
      </c>
      <c r="T107" s="9" t="s">
        <v>10</v>
      </c>
      <c r="U107" s="9" t="s">
        <v>29</v>
      </c>
      <c r="V107" s="9" t="s">
        <v>11</v>
      </c>
      <c r="W107" s="9" t="s">
        <v>12</v>
      </c>
      <c r="X107" s="9" t="s">
        <v>13</v>
      </c>
      <c r="Y107" s="9" t="s">
        <v>14</v>
      </c>
    </row>
    <row r="108" spans="2:25" s="43" customFormat="1" ht="18.95" customHeight="1" thickBot="1" x14ac:dyDescent="0.35">
      <c r="B108" s="44" t="s">
        <v>31</v>
      </c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6"/>
      <c r="O108" s="44" t="s">
        <v>31</v>
      </c>
      <c r="P108" s="45"/>
      <c r="Q108" s="47"/>
      <c r="R108" s="45"/>
      <c r="S108" s="47"/>
      <c r="T108" s="45"/>
      <c r="U108" s="45"/>
      <c r="V108" s="45"/>
      <c r="W108" s="45"/>
      <c r="X108" s="45"/>
      <c r="Y108" s="48"/>
    </row>
    <row r="109" spans="2:25" s="43" customFormat="1" ht="18.95" customHeight="1" thickBot="1" x14ac:dyDescent="0.35">
      <c r="B109" s="44" t="s">
        <v>149</v>
      </c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6"/>
      <c r="O109" s="44" t="s">
        <v>149</v>
      </c>
      <c r="P109" s="45"/>
      <c r="Q109" s="47"/>
      <c r="R109" s="45"/>
      <c r="S109" s="47"/>
      <c r="T109" s="45"/>
      <c r="U109" s="45"/>
      <c r="V109" s="45"/>
      <c r="W109" s="45"/>
      <c r="X109" s="45"/>
      <c r="Y109" s="48"/>
    </row>
    <row r="110" spans="2:25" s="43" customFormat="1" ht="18.95" customHeight="1" thickBot="1" x14ac:dyDescent="0.35">
      <c r="B110" s="49"/>
      <c r="C110" s="49" t="s">
        <v>48</v>
      </c>
      <c r="D110" s="41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49" t="s">
        <v>48</v>
      </c>
      <c r="P110" s="41"/>
      <c r="Q110" s="50"/>
      <c r="R110" s="50"/>
      <c r="S110" s="50"/>
      <c r="T110" s="50"/>
      <c r="U110" s="50"/>
      <c r="V110" s="50"/>
      <c r="W110" s="50"/>
      <c r="X110" s="49"/>
      <c r="Y110" s="50">
        <f t="shared" si="5"/>
        <v>0</v>
      </c>
    </row>
    <row r="111" spans="2:25" s="43" customFormat="1" ht="18.95" customHeight="1" thickBot="1" x14ac:dyDescent="0.35">
      <c r="B111" s="49"/>
      <c r="C111" s="49"/>
      <c r="D111" s="41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41"/>
      <c r="P111" s="41"/>
      <c r="Q111" s="50"/>
      <c r="R111" s="50"/>
      <c r="S111" s="50"/>
      <c r="T111" s="50"/>
      <c r="U111" s="50"/>
      <c r="V111" s="50"/>
      <c r="W111" s="50"/>
      <c r="X111" s="49"/>
      <c r="Y111" s="50"/>
    </row>
    <row r="112" spans="2:25" s="43" customFormat="1" ht="18.95" customHeight="1" thickBot="1" x14ac:dyDescent="0.35">
      <c r="B112" s="44" t="s">
        <v>150</v>
      </c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6"/>
      <c r="O112" s="44" t="s">
        <v>150</v>
      </c>
      <c r="P112" s="45"/>
      <c r="Q112" s="47"/>
      <c r="R112" s="45"/>
      <c r="S112" s="47"/>
      <c r="T112" s="45"/>
      <c r="U112" s="45"/>
      <c r="V112" s="45"/>
      <c r="W112" s="45"/>
      <c r="X112" s="45"/>
      <c r="Y112" s="48"/>
    </row>
    <row r="113" spans="2:25" s="43" customFormat="1" ht="18.95" customHeight="1" thickBot="1" x14ac:dyDescent="0.35">
      <c r="B113" s="49"/>
      <c r="C113" s="49" t="s">
        <v>51</v>
      </c>
      <c r="D113" s="41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49" t="s">
        <v>51</v>
      </c>
      <c r="P113" s="41"/>
      <c r="Q113" s="50"/>
      <c r="R113" s="50"/>
      <c r="S113" s="50"/>
      <c r="T113" s="50"/>
      <c r="U113" s="50"/>
      <c r="V113" s="50"/>
      <c r="W113" s="50"/>
      <c r="X113" s="49"/>
      <c r="Y113" s="50">
        <f>SUM(E113:X113)</f>
        <v>0</v>
      </c>
    </row>
    <row r="114" spans="2:25" s="43" customFormat="1" ht="18.95" customHeight="1" thickBot="1" x14ac:dyDescent="0.35">
      <c r="B114" s="44" t="s">
        <v>151</v>
      </c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6"/>
      <c r="O114" s="44" t="s">
        <v>151</v>
      </c>
      <c r="P114" s="45"/>
      <c r="Q114" s="47"/>
      <c r="R114" s="45"/>
      <c r="S114" s="47"/>
      <c r="T114" s="45"/>
      <c r="U114" s="45"/>
      <c r="V114" s="45"/>
      <c r="W114" s="45"/>
      <c r="X114" s="45"/>
      <c r="Y114" s="48"/>
    </row>
    <row r="115" spans="2:25" s="43" customFormat="1" ht="18.95" customHeight="1" thickBot="1" x14ac:dyDescent="0.35">
      <c r="B115" s="49"/>
      <c r="C115" s="49" t="s">
        <v>53</v>
      </c>
      <c r="D115" s="41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49" t="s">
        <v>53</v>
      </c>
      <c r="P115" s="41"/>
      <c r="Q115" s="50"/>
      <c r="R115" s="50"/>
      <c r="S115" s="50"/>
      <c r="T115" s="50"/>
      <c r="U115" s="50"/>
      <c r="V115" s="50"/>
      <c r="W115" s="50"/>
      <c r="X115" s="49"/>
      <c r="Y115" s="50">
        <f>SUM(E115:X115)</f>
        <v>0</v>
      </c>
    </row>
    <row r="116" spans="2:25" s="43" customFormat="1" ht="18.95" customHeight="1" thickBot="1" x14ac:dyDescent="0.35">
      <c r="B116" s="49"/>
      <c r="C116" s="49" t="s">
        <v>105</v>
      </c>
      <c r="D116" s="41"/>
      <c r="E116" s="50"/>
      <c r="F116" s="50"/>
      <c r="G116" s="50"/>
      <c r="H116" s="50">
        <v>3</v>
      </c>
      <c r="I116" s="50"/>
      <c r="J116" s="50"/>
      <c r="K116" s="50"/>
      <c r="L116" s="50"/>
      <c r="M116" s="50"/>
      <c r="N116" s="50"/>
      <c r="O116" s="49" t="s">
        <v>105</v>
      </c>
      <c r="P116" s="41"/>
      <c r="Q116" s="50"/>
      <c r="R116" s="50"/>
      <c r="S116" s="50"/>
      <c r="T116" s="50"/>
      <c r="U116" s="50"/>
      <c r="V116" s="50"/>
      <c r="W116" s="50"/>
      <c r="X116" s="49"/>
      <c r="Y116" s="50">
        <f>SUM(E116:X116)</f>
        <v>3</v>
      </c>
    </row>
    <row r="117" spans="2:25" s="43" customFormat="1" ht="18.95" customHeight="1" thickBot="1" x14ac:dyDescent="0.35">
      <c r="B117" s="49"/>
      <c r="C117" s="49" t="s">
        <v>54</v>
      </c>
      <c r="D117" s="41"/>
      <c r="E117" s="50"/>
      <c r="F117" s="50"/>
      <c r="G117" s="50"/>
      <c r="H117" s="50">
        <v>5</v>
      </c>
      <c r="I117" s="50"/>
      <c r="J117" s="50"/>
      <c r="K117" s="50"/>
      <c r="L117" s="50"/>
      <c r="M117" s="50"/>
      <c r="N117" s="50"/>
      <c r="O117" s="49" t="s">
        <v>54</v>
      </c>
      <c r="P117" s="41"/>
      <c r="Q117" s="50"/>
      <c r="R117" s="50"/>
      <c r="S117" s="50"/>
      <c r="T117" s="50"/>
      <c r="U117" s="50"/>
      <c r="V117" s="50"/>
      <c r="W117" s="50"/>
      <c r="X117" s="49"/>
      <c r="Y117" s="50">
        <f>SUM(E117:X117)</f>
        <v>5</v>
      </c>
    </row>
    <row r="118" spans="2:25" s="43" customFormat="1" ht="18.95" customHeight="1" thickBot="1" x14ac:dyDescent="0.35">
      <c r="B118" s="44" t="s">
        <v>155</v>
      </c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6"/>
      <c r="O118" s="44" t="s">
        <v>155</v>
      </c>
      <c r="P118" s="45"/>
      <c r="Q118" s="47"/>
      <c r="R118" s="45"/>
      <c r="S118" s="47"/>
      <c r="T118" s="45"/>
      <c r="U118" s="45"/>
      <c r="V118" s="45"/>
      <c r="W118" s="45"/>
      <c r="X118" s="45"/>
      <c r="Y118" s="48"/>
    </row>
    <row r="119" spans="2:25" s="43" customFormat="1" ht="18.95" customHeight="1" thickBot="1" x14ac:dyDescent="0.35">
      <c r="B119" s="49"/>
      <c r="C119" s="49" t="s">
        <v>129</v>
      </c>
      <c r="D119" s="41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41"/>
      <c r="P119" s="41"/>
      <c r="Q119" s="50"/>
      <c r="R119" s="50">
        <v>1</v>
      </c>
      <c r="S119" s="50"/>
      <c r="T119" s="50"/>
      <c r="U119" s="50"/>
      <c r="V119" s="50"/>
      <c r="W119" s="50"/>
      <c r="X119" s="49"/>
      <c r="Y119" s="50"/>
    </row>
    <row r="120" spans="2:25" s="43" customFormat="1" ht="18.95" customHeight="1" thickBot="1" x14ac:dyDescent="0.35">
      <c r="B120" s="44" t="s">
        <v>152</v>
      </c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6"/>
      <c r="O120" s="44" t="s">
        <v>152</v>
      </c>
      <c r="P120" s="45"/>
      <c r="Q120" s="47"/>
      <c r="R120" s="45"/>
      <c r="S120" s="47"/>
      <c r="T120" s="45"/>
      <c r="U120" s="45"/>
      <c r="V120" s="45"/>
      <c r="W120" s="45"/>
      <c r="X120" s="45"/>
      <c r="Y120" s="48"/>
    </row>
    <row r="121" spans="2:25" s="43" customFormat="1" ht="18.95" customHeight="1" thickBot="1" x14ac:dyDescent="0.35">
      <c r="B121" s="49"/>
      <c r="C121" s="49" t="s">
        <v>96</v>
      </c>
      <c r="D121" s="41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49" t="s">
        <v>96</v>
      </c>
      <c r="P121" s="41"/>
      <c r="Q121" s="50"/>
      <c r="R121" s="50"/>
      <c r="S121" s="50"/>
      <c r="T121" s="50"/>
      <c r="U121" s="50">
        <v>1</v>
      </c>
      <c r="V121" s="50"/>
      <c r="W121" s="50"/>
      <c r="X121" s="49"/>
      <c r="Y121" s="50">
        <f>SUM(E121:X121)</f>
        <v>1</v>
      </c>
    </row>
    <row r="122" spans="2:25" s="43" customFormat="1" ht="18.95" customHeight="1" thickBot="1" x14ac:dyDescent="0.35">
      <c r="B122" s="49"/>
      <c r="C122" s="49" t="s">
        <v>158</v>
      </c>
      <c r="D122" s="41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49" t="s">
        <v>158</v>
      </c>
      <c r="P122" s="41"/>
      <c r="Q122" s="50"/>
      <c r="R122" s="50"/>
      <c r="S122" s="50"/>
      <c r="T122" s="50"/>
      <c r="U122" s="50">
        <v>1</v>
      </c>
      <c r="V122" s="50"/>
      <c r="W122" s="50"/>
      <c r="X122" s="49"/>
      <c r="Y122" s="50">
        <f>SUM(E122:X122)</f>
        <v>1</v>
      </c>
    </row>
    <row r="123" spans="2:25" s="43" customFormat="1" ht="18.95" customHeight="1" thickBot="1" x14ac:dyDescent="0.35">
      <c r="B123" s="49"/>
      <c r="C123" s="49" t="s">
        <v>95</v>
      </c>
      <c r="D123" s="41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49" t="s">
        <v>95</v>
      </c>
      <c r="P123" s="41"/>
      <c r="Q123" s="50"/>
      <c r="R123" s="50"/>
      <c r="S123" s="50"/>
      <c r="T123" s="50"/>
      <c r="U123" s="50">
        <v>3</v>
      </c>
      <c r="V123" s="50"/>
      <c r="W123" s="50"/>
      <c r="X123" s="49"/>
      <c r="Y123" s="50">
        <f>SUM(E123:X123)</f>
        <v>3</v>
      </c>
    </row>
    <row r="124" spans="2:25" s="43" customFormat="1" ht="18.95" customHeight="1" thickBot="1" x14ac:dyDescent="0.35">
      <c r="B124" s="44" t="s">
        <v>153</v>
      </c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6"/>
      <c r="O124" s="44" t="s">
        <v>153</v>
      </c>
      <c r="P124" s="45"/>
      <c r="Q124" s="47"/>
      <c r="R124" s="45"/>
      <c r="S124" s="47"/>
      <c r="T124" s="45"/>
      <c r="U124" s="45"/>
      <c r="V124" s="45"/>
      <c r="W124" s="45"/>
      <c r="X124" s="45"/>
      <c r="Y124" s="48"/>
    </row>
    <row r="125" spans="2:25" s="43" customFormat="1" ht="18.95" customHeight="1" thickBot="1" x14ac:dyDescent="0.35">
      <c r="B125" s="49"/>
      <c r="C125" s="49" t="s">
        <v>56</v>
      </c>
      <c r="D125" s="41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49" t="s">
        <v>56</v>
      </c>
      <c r="P125" s="41"/>
      <c r="Q125" s="50"/>
      <c r="R125" s="50"/>
      <c r="S125" s="50"/>
      <c r="T125" s="50"/>
      <c r="U125" s="50"/>
      <c r="V125" s="50">
        <v>1</v>
      </c>
      <c r="W125" s="50"/>
      <c r="X125" s="49"/>
      <c r="Y125" s="50">
        <f>SUM(E125:X125)</f>
        <v>1</v>
      </c>
    </row>
    <row r="126" spans="2:25" s="43" customFormat="1" ht="18.95" customHeight="1" thickBot="1" x14ac:dyDescent="0.35">
      <c r="B126" s="49"/>
      <c r="C126" s="49" t="s">
        <v>139</v>
      </c>
      <c r="D126" s="41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49" t="s">
        <v>139</v>
      </c>
      <c r="P126" s="41"/>
      <c r="Q126" s="50"/>
      <c r="R126" s="50"/>
      <c r="S126" s="50"/>
      <c r="T126" s="50"/>
      <c r="U126" s="50"/>
      <c r="V126" s="50">
        <v>1</v>
      </c>
      <c r="W126" s="50"/>
      <c r="X126" s="49"/>
      <c r="Y126" s="50">
        <f>SUM(E126:X126)</f>
        <v>1</v>
      </c>
    </row>
    <row r="127" spans="2:25" s="43" customFormat="1" ht="18.95" customHeight="1" thickBot="1" x14ac:dyDescent="0.35">
      <c r="B127" s="49"/>
      <c r="C127" s="49" t="s">
        <v>38</v>
      </c>
      <c r="D127" s="41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49" t="s">
        <v>38</v>
      </c>
      <c r="P127" s="41"/>
      <c r="Q127" s="50"/>
      <c r="R127" s="50"/>
      <c r="S127" s="50"/>
      <c r="T127" s="50"/>
      <c r="U127" s="50"/>
      <c r="V127" s="50">
        <v>2</v>
      </c>
      <c r="W127" s="50"/>
      <c r="X127" s="49"/>
      <c r="Y127" s="50">
        <f>SUM(E127:X127)</f>
        <v>2</v>
      </c>
    </row>
    <row r="128" spans="2:25" s="43" customFormat="1" ht="18.95" customHeight="1" thickBot="1" x14ac:dyDescent="0.35">
      <c r="B128" s="44" t="s">
        <v>159</v>
      </c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6"/>
      <c r="O128" s="44" t="s">
        <v>159</v>
      </c>
      <c r="P128" s="45"/>
      <c r="Q128" s="47"/>
      <c r="R128" s="45"/>
      <c r="S128" s="47"/>
      <c r="T128" s="45"/>
      <c r="U128" s="45"/>
      <c r="V128" s="45"/>
      <c r="W128" s="45"/>
      <c r="X128" s="45"/>
      <c r="Y128" s="48"/>
    </row>
    <row r="129" spans="2:25" s="43" customFormat="1" ht="18.95" customHeight="1" thickBot="1" x14ac:dyDescent="0.35">
      <c r="B129" s="49"/>
      <c r="C129" s="49" t="s">
        <v>141</v>
      </c>
      <c r="D129" s="41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49" t="s">
        <v>141</v>
      </c>
      <c r="P129" s="41"/>
      <c r="Q129" s="50"/>
      <c r="R129" s="50"/>
      <c r="S129" s="50"/>
      <c r="T129" s="50"/>
      <c r="U129" s="50"/>
      <c r="V129" s="50"/>
      <c r="W129" s="50"/>
      <c r="X129" s="49">
        <v>1</v>
      </c>
      <c r="Y129" s="50">
        <f>SUM(D129:X129)</f>
        <v>1</v>
      </c>
    </row>
    <row r="130" spans="2:25" s="43" customFormat="1" ht="18.95" customHeight="1" thickBot="1" x14ac:dyDescent="0.35">
      <c r="B130" s="49"/>
      <c r="C130" s="49" t="s">
        <v>148</v>
      </c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 t="s">
        <v>148</v>
      </c>
      <c r="P130" s="49"/>
      <c r="Q130" s="49"/>
      <c r="R130" s="49"/>
      <c r="S130" s="49"/>
      <c r="T130" s="49"/>
      <c r="U130" s="49"/>
      <c r="V130" s="49"/>
      <c r="W130" s="49"/>
      <c r="X130" s="49">
        <v>1</v>
      </c>
      <c r="Y130" s="49">
        <f>SUM(D130:X130)</f>
        <v>1</v>
      </c>
    </row>
    <row r="131" spans="2:25" s="43" customFormat="1" ht="18.95" customHeight="1" thickBot="1" x14ac:dyDescent="0.35">
      <c r="B131" s="49"/>
      <c r="C131" s="49" t="s">
        <v>39</v>
      </c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 t="s">
        <v>39</v>
      </c>
      <c r="P131" s="49"/>
      <c r="Q131" s="49"/>
      <c r="R131" s="49"/>
      <c r="S131" s="49"/>
      <c r="T131" s="49"/>
      <c r="U131" s="49"/>
      <c r="V131" s="49"/>
      <c r="W131" s="49"/>
      <c r="X131" s="49">
        <v>1</v>
      </c>
      <c r="Y131" s="49">
        <f>SUM(D131:X131)</f>
        <v>1</v>
      </c>
    </row>
    <row r="132" spans="2:25" s="43" customFormat="1" ht="18.95" customHeight="1" x14ac:dyDescent="0.3">
      <c r="B132" s="51"/>
      <c r="C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Q132" s="51"/>
      <c r="R132" s="51"/>
      <c r="S132" s="51"/>
      <c r="T132" s="51"/>
      <c r="U132" s="51"/>
      <c r="V132" s="51"/>
      <c r="W132" s="51"/>
      <c r="X132" s="51"/>
      <c r="Y132" s="51"/>
    </row>
    <row r="133" spans="2:25" s="43" customFormat="1" ht="18.95" customHeight="1" x14ac:dyDescent="0.3">
      <c r="B133" s="51"/>
      <c r="C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Q133" s="51"/>
      <c r="R133" s="51"/>
      <c r="S133" s="51"/>
      <c r="T133" s="51"/>
      <c r="U133" s="51"/>
      <c r="V133" s="51"/>
      <c r="W133" s="51"/>
      <c r="X133" s="51"/>
      <c r="Y133" s="51"/>
    </row>
    <row r="134" spans="2:25" ht="27" x14ac:dyDescent="0.35">
      <c r="B134" s="22" t="s">
        <v>41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2:25" ht="28.5" thickBot="1" x14ac:dyDescent="0.45">
      <c r="B135" s="1" t="s">
        <v>33</v>
      </c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2"/>
      <c r="S135" s="1"/>
      <c r="T135" s="1"/>
      <c r="U135" s="1"/>
      <c r="V135" s="1"/>
      <c r="W135" s="27"/>
      <c r="X135" s="1"/>
      <c r="Y135" s="1"/>
    </row>
    <row r="136" spans="2:25" ht="102.75" thickBot="1" x14ac:dyDescent="0.25">
      <c r="B136" s="8" t="s">
        <v>0</v>
      </c>
      <c r="C136" s="8" t="s">
        <v>1</v>
      </c>
      <c r="D136" s="8" t="s">
        <v>2</v>
      </c>
      <c r="E136" s="9" t="s">
        <v>3</v>
      </c>
      <c r="F136" s="9" t="s">
        <v>4</v>
      </c>
      <c r="G136" s="9" t="s">
        <v>5</v>
      </c>
      <c r="H136" s="9" t="s">
        <v>6</v>
      </c>
      <c r="I136" s="9" t="s">
        <v>7</v>
      </c>
      <c r="J136" s="9" t="s">
        <v>23</v>
      </c>
      <c r="K136" s="9" t="s">
        <v>24</v>
      </c>
      <c r="L136" s="9" t="s">
        <v>25</v>
      </c>
      <c r="M136" s="16" t="s">
        <v>26</v>
      </c>
      <c r="N136" s="9" t="s">
        <v>27</v>
      </c>
      <c r="O136" s="21" t="s">
        <v>1</v>
      </c>
      <c r="P136" s="8" t="s">
        <v>2</v>
      </c>
      <c r="Q136" s="9" t="s">
        <v>28</v>
      </c>
      <c r="R136" s="9" t="s">
        <v>8</v>
      </c>
      <c r="S136" s="9" t="s">
        <v>9</v>
      </c>
      <c r="T136" s="9" t="s">
        <v>10</v>
      </c>
      <c r="U136" s="9" t="s">
        <v>29</v>
      </c>
      <c r="V136" s="9" t="s">
        <v>11</v>
      </c>
      <c r="W136" s="9" t="s">
        <v>12</v>
      </c>
      <c r="X136" s="9" t="s">
        <v>13</v>
      </c>
      <c r="Y136" s="9" t="s">
        <v>14</v>
      </c>
    </row>
    <row r="137" spans="2:25" s="43" customFormat="1" ht="18.95" customHeight="1" thickBot="1" x14ac:dyDescent="0.35">
      <c r="B137" s="44" t="s">
        <v>32</v>
      </c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6"/>
      <c r="O137" s="44" t="s">
        <v>32</v>
      </c>
      <c r="P137" s="45"/>
      <c r="Q137" s="47"/>
      <c r="R137" s="45"/>
      <c r="S137" s="47"/>
      <c r="T137" s="45"/>
      <c r="U137" s="45"/>
      <c r="V137" s="45"/>
      <c r="W137" s="45"/>
      <c r="X137" s="45"/>
      <c r="Y137" s="52"/>
    </row>
    <row r="138" spans="2:25" s="43" customFormat="1" ht="18.95" customHeight="1" thickBot="1" x14ac:dyDescent="0.35">
      <c r="B138" s="44" t="s">
        <v>149</v>
      </c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6"/>
      <c r="O138" s="44" t="s">
        <v>149</v>
      </c>
      <c r="P138" s="45"/>
      <c r="Q138" s="47"/>
      <c r="R138" s="45"/>
      <c r="S138" s="47"/>
      <c r="T138" s="45"/>
      <c r="U138" s="45"/>
      <c r="V138" s="45"/>
      <c r="W138" s="45"/>
      <c r="X138" s="45"/>
      <c r="Y138" s="48"/>
    </row>
    <row r="139" spans="2:25" s="43" customFormat="1" ht="18.95" customHeight="1" thickBot="1" x14ac:dyDescent="0.35">
      <c r="B139" s="49"/>
      <c r="C139" s="49" t="s">
        <v>48</v>
      </c>
      <c r="D139" s="41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49" t="s">
        <v>48</v>
      </c>
      <c r="P139" s="41"/>
      <c r="Q139" s="50"/>
      <c r="R139" s="50"/>
      <c r="S139" s="50"/>
      <c r="T139" s="50"/>
      <c r="U139" s="50"/>
      <c r="V139" s="50"/>
      <c r="W139" s="50"/>
      <c r="X139" s="49"/>
      <c r="Y139" s="50">
        <f>SUM(E139:X139)</f>
        <v>0</v>
      </c>
    </row>
    <row r="140" spans="2:25" s="43" customFormat="1" ht="18.95" customHeight="1" thickBot="1" x14ac:dyDescent="0.35">
      <c r="B140" s="44" t="s">
        <v>150</v>
      </c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6"/>
      <c r="O140" s="44" t="s">
        <v>150</v>
      </c>
      <c r="P140" s="45"/>
      <c r="Q140" s="47"/>
      <c r="R140" s="45"/>
      <c r="S140" s="47"/>
      <c r="T140" s="45"/>
      <c r="U140" s="45"/>
      <c r="V140" s="45"/>
      <c r="W140" s="45"/>
      <c r="X140" s="45"/>
      <c r="Y140" s="48"/>
    </row>
    <row r="141" spans="2:25" s="43" customFormat="1" ht="18.95" customHeight="1" thickBot="1" x14ac:dyDescent="0.35">
      <c r="B141" s="49"/>
      <c r="C141" s="49" t="s">
        <v>52</v>
      </c>
      <c r="D141" s="41"/>
      <c r="E141" s="49"/>
      <c r="F141" s="49">
        <v>1</v>
      </c>
      <c r="G141" s="49"/>
      <c r="H141" s="49"/>
      <c r="I141" s="49"/>
      <c r="J141" s="49"/>
      <c r="K141" s="49"/>
      <c r="L141" s="49"/>
      <c r="M141" s="49"/>
      <c r="N141" s="49"/>
      <c r="O141" s="49" t="s">
        <v>52</v>
      </c>
      <c r="P141" s="41"/>
      <c r="Q141" s="49"/>
      <c r="R141" s="49"/>
      <c r="S141" s="49"/>
      <c r="T141" s="49"/>
      <c r="U141" s="49"/>
      <c r="V141" s="49"/>
      <c r="W141" s="49"/>
      <c r="X141" s="49"/>
      <c r="Y141" s="50">
        <f>SUM(E141:X141)</f>
        <v>1</v>
      </c>
    </row>
    <row r="142" spans="2:25" s="43" customFormat="1" ht="18.95" customHeight="1" thickBot="1" x14ac:dyDescent="0.35">
      <c r="B142" s="44" t="s">
        <v>155</v>
      </c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6"/>
      <c r="O142" s="44" t="s">
        <v>155</v>
      </c>
      <c r="P142" s="45"/>
      <c r="Q142" s="47"/>
      <c r="R142" s="45"/>
      <c r="S142" s="47"/>
      <c r="T142" s="45"/>
      <c r="U142" s="45"/>
      <c r="V142" s="45"/>
      <c r="W142" s="45"/>
      <c r="X142" s="45"/>
      <c r="Y142" s="48"/>
    </row>
    <row r="143" spans="2:25" s="43" customFormat="1" ht="18.95" customHeight="1" thickBot="1" x14ac:dyDescent="0.35">
      <c r="B143" s="49"/>
      <c r="C143" s="49" t="s">
        <v>131</v>
      </c>
      <c r="D143" s="41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 t="s">
        <v>131</v>
      </c>
      <c r="P143" s="41"/>
      <c r="Q143" s="49"/>
      <c r="R143" s="49">
        <v>2</v>
      </c>
      <c r="S143" s="49"/>
      <c r="T143" s="49"/>
      <c r="U143" s="49"/>
      <c r="V143" s="49"/>
      <c r="W143" s="49"/>
      <c r="X143" s="49"/>
      <c r="Y143" s="50">
        <f>SUM(E143:X143)</f>
        <v>2</v>
      </c>
    </row>
    <row r="144" spans="2:25" s="43" customFormat="1" ht="18.95" customHeight="1" thickBot="1" x14ac:dyDescent="0.35">
      <c r="B144" s="49"/>
      <c r="C144" s="49" t="s">
        <v>129</v>
      </c>
      <c r="D144" s="41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 t="s">
        <v>129</v>
      </c>
      <c r="P144" s="41"/>
      <c r="Q144" s="49"/>
      <c r="R144" s="49">
        <v>1</v>
      </c>
      <c r="S144" s="49"/>
      <c r="T144" s="49"/>
      <c r="U144" s="49"/>
      <c r="V144" s="49"/>
      <c r="W144" s="49"/>
      <c r="X144" s="49"/>
      <c r="Y144" s="50">
        <f>SUM(E144:X144)</f>
        <v>1</v>
      </c>
    </row>
    <row r="145" spans="2:25" s="43" customFormat="1" ht="18.95" customHeight="1" thickBot="1" x14ac:dyDescent="0.35">
      <c r="B145" s="49"/>
      <c r="C145" s="49" t="s">
        <v>130</v>
      </c>
      <c r="D145" s="41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 t="s">
        <v>130</v>
      </c>
      <c r="P145" s="41"/>
      <c r="Q145" s="49"/>
      <c r="R145" s="49">
        <v>2</v>
      </c>
      <c r="S145" s="49"/>
      <c r="T145" s="49"/>
      <c r="U145" s="49"/>
      <c r="V145" s="49"/>
      <c r="W145" s="49"/>
      <c r="X145" s="49"/>
      <c r="Y145" s="50">
        <f>SUM(E145:X145)</f>
        <v>2</v>
      </c>
    </row>
    <row r="146" spans="2:25" s="43" customFormat="1" ht="18.95" customHeight="1" thickBot="1" x14ac:dyDescent="0.35">
      <c r="B146" s="44" t="s">
        <v>156</v>
      </c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6"/>
      <c r="O146" s="44" t="s">
        <v>156</v>
      </c>
      <c r="P146" s="45"/>
      <c r="Q146" s="47"/>
      <c r="R146" s="45"/>
      <c r="S146" s="47"/>
      <c r="T146" s="45"/>
      <c r="U146" s="45"/>
      <c r="V146" s="45"/>
      <c r="W146" s="45"/>
      <c r="X146" s="45"/>
      <c r="Y146" s="48"/>
    </row>
    <row r="147" spans="2:25" s="43" customFormat="1" ht="18.95" customHeight="1" thickBot="1" x14ac:dyDescent="0.35">
      <c r="B147" s="49"/>
      <c r="C147" s="49" t="s">
        <v>135</v>
      </c>
      <c r="D147" s="41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 t="s">
        <v>135</v>
      </c>
      <c r="P147" s="41"/>
      <c r="Q147" s="49"/>
      <c r="R147" s="49"/>
      <c r="S147" s="49">
        <v>1</v>
      </c>
      <c r="T147" s="49"/>
      <c r="U147" s="49"/>
      <c r="V147" s="49"/>
      <c r="W147" s="49"/>
      <c r="X147" s="49"/>
      <c r="Y147" s="50">
        <f>SUM(E147:X147)</f>
        <v>1</v>
      </c>
    </row>
    <row r="148" spans="2:25" s="43" customFormat="1" ht="18.95" customHeight="1" thickBot="1" x14ac:dyDescent="0.35">
      <c r="B148" s="44" t="s">
        <v>157</v>
      </c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6"/>
      <c r="O148" s="44" t="s">
        <v>157</v>
      </c>
      <c r="P148" s="45"/>
      <c r="Q148" s="47"/>
      <c r="R148" s="45"/>
      <c r="S148" s="47"/>
      <c r="T148" s="45"/>
      <c r="U148" s="45"/>
      <c r="V148" s="45"/>
      <c r="W148" s="45"/>
      <c r="X148" s="45"/>
      <c r="Y148" s="48"/>
    </row>
    <row r="149" spans="2:25" s="43" customFormat="1" ht="18.95" customHeight="1" thickBot="1" x14ac:dyDescent="0.35">
      <c r="B149" s="49"/>
      <c r="C149" s="49" t="s">
        <v>137</v>
      </c>
      <c r="D149" s="41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 t="s">
        <v>137</v>
      </c>
      <c r="P149" s="41"/>
      <c r="Q149" s="49"/>
      <c r="R149" s="49"/>
      <c r="S149" s="49"/>
      <c r="T149" s="49">
        <v>1</v>
      </c>
      <c r="U149" s="49"/>
      <c r="V149" s="49"/>
      <c r="W149" s="49"/>
      <c r="X149" s="49"/>
      <c r="Y149" s="50">
        <f>SUM(E149:X149)</f>
        <v>1</v>
      </c>
    </row>
    <row r="150" spans="2:25" s="43" customFormat="1" ht="18.95" customHeight="1" thickBot="1" x14ac:dyDescent="0.35">
      <c r="B150" s="49"/>
      <c r="C150" s="49" t="s">
        <v>136</v>
      </c>
      <c r="D150" s="41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 t="s">
        <v>136</v>
      </c>
      <c r="P150" s="41"/>
      <c r="Q150" s="49"/>
      <c r="R150" s="49"/>
      <c r="S150" s="49"/>
      <c r="T150" s="49">
        <v>1</v>
      </c>
      <c r="U150" s="49"/>
      <c r="V150" s="49"/>
      <c r="W150" s="49"/>
      <c r="X150" s="49"/>
      <c r="Y150" s="50">
        <f>SUM(E150:X150)</f>
        <v>1</v>
      </c>
    </row>
    <row r="151" spans="2:25" s="43" customFormat="1" ht="18.95" customHeight="1" thickBot="1" x14ac:dyDescent="0.35">
      <c r="B151" s="44" t="s">
        <v>152</v>
      </c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6"/>
      <c r="O151" s="44" t="s">
        <v>152</v>
      </c>
      <c r="P151" s="45"/>
      <c r="Q151" s="47"/>
      <c r="R151" s="45"/>
      <c r="S151" s="47"/>
      <c r="T151" s="45"/>
      <c r="U151" s="45"/>
      <c r="V151" s="45"/>
      <c r="W151" s="45"/>
      <c r="X151" s="45"/>
      <c r="Y151" s="48"/>
    </row>
    <row r="152" spans="2:25" s="43" customFormat="1" ht="18.95" customHeight="1" thickBot="1" x14ac:dyDescent="0.35">
      <c r="B152" s="49"/>
      <c r="C152" s="49" t="s">
        <v>96</v>
      </c>
      <c r="D152" s="53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49" t="s">
        <v>96</v>
      </c>
      <c r="P152" s="64"/>
      <c r="Q152" s="64"/>
      <c r="R152" s="64"/>
      <c r="S152" s="64"/>
      <c r="T152" s="64"/>
      <c r="U152" s="64">
        <v>3</v>
      </c>
      <c r="V152" s="64"/>
      <c r="W152" s="64"/>
      <c r="X152" s="64"/>
      <c r="Y152" s="50">
        <f>SUM(E152:X152)</f>
        <v>3</v>
      </c>
    </row>
    <row r="153" spans="2:25" s="43" customFormat="1" ht="18.95" customHeight="1" thickBot="1" x14ac:dyDescent="0.35">
      <c r="B153" s="44" t="s">
        <v>154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6"/>
      <c r="O153" s="44" t="s">
        <v>154</v>
      </c>
      <c r="P153" s="45"/>
      <c r="Q153" s="47"/>
      <c r="R153" s="45"/>
      <c r="S153" s="47"/>
      <c r="T153" s="45"/>
      <c r="U153" s="45"/>
      <c r="V153" s="45"/>
      <c r="W153" s="45"/>
      <c r="X153" s="45"/>
      <c r="Y153" s="48"/>
    </row>
    <row r="154" spans="2:25" s="43" customFormat="1" ht="18.95" customHeight="1" thickBot="1" x14ac:dyDescent="0.35">
      <c r="B154" s="49"/>
      <c r="C154" s="49" t="s">
        <v>100</v>
      </c>
      <c r="D154" s="53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49" t="s">
        <v>100</v>
      </c>
      <c r="P154" s="64"/>
      <c r="Q154" s="64"/>
      <c r="R154" s="64"/>
      <c r="S154" s="64"/>
      <c r="T154" s="64"/>
      <c r="U154" s="64"/>
      <c r="V154" s="64"/>
      <c r="W154" s="64"/>
      <c r="X154" s="64"/>
      <c r="Y154" s="50">
        <f>SUM(E154:X154)</f>
        <v>0</v>
      </c>
    </row>
    <row r="155" spans="2:25" s="43" customFormat="1" ht="18.95" customHeight="1" thickBot="1" x14ac:dyDescent="0.35">
      <c r="B155" s="49"/>
      <c r="C155" s="49" t="s">
        <v>140</v>
      </c>
      <c r="D155" s="53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49" t="s">
        <v>140</v>
      </c>
      <c r="P155" s="64"/>
      <c r="Q155" s="64"/>
      <c r="R155" s="64"/>
      <c r="S155" s="64"/>
      <c r="T155" s="64"/>
      <c r="U155" s="64"/>
      <c r="V155" s="64"/>
      <c r="W155" s="64">
        <v>1</v>
      </c>
      <c r="X155" s="64"/>
      <c r="Y155" s="50">
        <f>SUM(E155:X155)</f>
        <v>1</v>
      </c>
    </row>
    <row r="156" spans="2:25" s="43" customFormat="1" ht="18.95" customHeight="1" thickBot="1" x14ac:dyDescent="0.35">
      <c r="B156" s="49"/>
      <c r="C156" s="49" t="s">
        <v>162</v>
      </c>
      <c r="D156" s="53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49" t="s">
        <v>162</v>
      </c>
      <c r="P156" s="64"/>
      <c r="Q156" s="64"/>
      <c r="R156" s="64"/>
      <c r="S156" s="64"/>
      <c r="T156" s="64"/>
      <c r="U156" s="64"/>
      <c r="V156" s="64"/>
      <c r="W156" s="64">
        <v>2</v>
      </c>
      <c r="X156" s="64"/>
      <c r="Y156" s="50">
        <f>SUM(E156:X156)</f>
        <v>2</v>
      </c>
    </row>
    <row r="157" spans="2:25" s="43" customFormat="1" ht="18.95" customHeight="1" thickBot="1" x14ac:dyDescent="0.35">
      <c r="B157" s="44" t="s">
        <v>159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6"/>
      <c r="O157" s="44" t="s">
        <v>159</v>
      </c>
      <c r="P157" s="45"/>
      <c r="Q157" s="47"/>
      <c r="R157" s="45"/>
      <c r="S157" s="47"/>
      <c r="T157" s="45"/>
      <c r="U157" s="45"/>
      <c r="V157" s="45"/>
      <c r="W157" s="45"/>
      <c r="X157" s="45"/>
      <c r="Y157" s="48"/>
    </row>
    <row r="158" spans="2:25" s="43" customFormat="1" ht="18.95" customHeight="1" thickBot="1" x14ac:dyDescent="0.35">
      <c r="B158" s="49"/>
      <c r="C158" s="49" t="s">
        <v>161</v>
      </c>
      <c r="D158" s="53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49" t="s">
        <v>161</v>
      </c>
      <c r="P158" s="64"/>
      <c r="Q158" s="64"/>
      <c r="R158" s="64"/>
      <c r="S158" s="64"/>
      <c r="T158" s="64"/>
      <c r="U158" s="64"/>
      <c r="V158" s="64"/>
      <c r="W158" s="64"/>
      <c r="X158" s="64"/>
      <c r="Y158" s="50">
        <f>SUM(E158:X158)</f>
        <v>0</v>
      </c>
    </row>
    <row r="159" spans="2:25" ht="27.75" x14ac:dyDescent="0.4"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2"/>
      <c r="S159" s="1"/>
      <c r="T159" s="1"/>
      <c r="U159" s="1"/>
      <c r="V159" s="1"/>
      <c r="W159" s="1"/>
      <c r="X159" s="1"/>
      <c r="Y159" s="1"/>
    </row>
    <row r="160" spans="2:25" ht="20.100000000000001" customHeight="1" x14ac:dyDescent="0.4"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8"/>
      <c r="Q160" s="1"/>
      <c r="R160" s="1"/>
      <c r="S160" s="18"/>
      <c r="T160" s="1"/>
      <c r="U160" s="1"/>
      <c r="V160" s="1"/>
      <c r="W160" s="1"/>
      <c r="X160" s="1"/>
      <c r="Y160" s="1"/>
    </row>
    <row r="161" spans="1:25" ht="20.100000000000001" customHeight="1" x14ac:dyDescent="0.4"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8"/>
      <c r="Q161" s="1"/>
      <c r="R161" s="1"/>
      <c r="S161" s="18"/>
      <c r="T161" s="1"/>
      <c r="U161" s="1"/>
      <c r="V161" s="1"/>
      <c r="W161" s="1"/>
      <c r="X161" s="1"/>
      <c r="Y161" s="1"/>
    </row>
    <row r="162" spans="1:25" ht="15.75" x14ac:dyDescent="0.25">
      <c r="B162" s="3"/>
      <c r="C162" s="3"/>
      <c r="D162" s="3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19"/>
      <c r="Q162" s="4"/>
      <c r="R162" s="4"/>
      <c r="S162" s="19"/>
      <c r="T162" s="4"/>
      <c r="U162" s="4"/>
      <c r="V162" s="4"/>
      <c r="W162" s="4"/>
      <c r="X162" s="4"/>
      <c r="Y162" s="5"/>
    </row>
    <row r="163" spans="1:25" ht="15.75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19"/>
      <c r="Q163" s="4"/>
      <c r="R163" s="4"/>
      <c r="S163" s="19"/>
      <c r="T163" s="4"/>
      <c r="U163" s="4"/>
      <c r="V163" s="4"/>
      <c r="W163" s="4"/>
      <c r="X163" s="4"/>
      <c r="Y163" s="5"/>
    </row>
    <row r="164" spans="1:25" ht="15" customHeight="1" x14ac:dyDescent="0.25">
      <c r="A164" s="6"/>
      <c r="Y164" s="7"/>
    </row>
  </sheetData>
  <phoneticPr fontId="0" type="noConversion"/>
  <pageMargins left="0" right="0" top="0" bottom="0" header="0" footer="0"/>
  <pageSetup paperSize="5" scale="66" orientation="landscape" r:id="rId1"/>
  <headerFooter alignWithMargins="0"/>
  <rowBreaks count="3" manualBreakCount="3">
    <brk id="40" max="16383" man="1"/>
    <brk id="61" max="16383" man="1"/>
    <brk id="13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B0299-CCFC-4B51-B953-BD5C6F6FB1F3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64"/>
  <sheetViews>
    <sheetView topLeftCell="B133" zoomScale="70" zoomScaleNormal="70" workbookViewId="0">
      <selection activeCell="N152" sqref="N152"/>
    </sheetView>
  </sheetViews>
  <sheetFormatPr defaultRowHeight="12.75" x14ac:dyDescent="0.2"/>
  <cols>
    <col min="1" max="1" width="3.28515625" hidden="1" customWidth="1"/>
    <col min="2" max="2" width="26.7109375" customWidth="1"/>
    <col min="3" max="3" width="30.85546875" style="77" customWidth="1"/>
    <col min="5" max="14" width="8.7109375" customWidth="1"/>
    <col min="15" max="15" width="29.5703125" style="77" customWidth="1"/>
    <col min="16" max="16" width="7.42578125" style="20" customWidth="1"/>
    <col min="17" max="17" width="7.42578125" customWidth="1"/>
    <col min="18" max="18" width="8.7109375" customWidth="1"/>
    <col min="19" max="19" width="8.7109375" style="20" customWidth="1"/>
    <col min="20" max="25" width="8.7109375" customWidth="1"/>
  </cols>
  <sheetData>
    <row r="1" spans="2:25" ht="27" x14ac:dyDescent="0.35">
      <c r="B1" s="22" t="s">
        <v>41</v>
      </c>
      <c r="C1" s="7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70"/>
      <c r="P1" s="1"/>
      <c r="Q1" s="1"/>
      <c r="R1" s="1"/>
      <c r="S1" s="1"/>
      <c r="T1" s="1"/>
      <c r="U1" s="1"/>
      <c r="V1" s="1"/>
      <c r="W1" s="1"/>
      <c r="X1" s="1"/>
      <c r="Y1" s="1"/>
    </row>
    <row r="2" spans="2:25" ht="28.5" thickBot="1" x14ac:dyDescent="0.45">
      <c r="B2" s="1" t="s">
        <v>44</v>
      </c>
      <c r="C2" s="78"/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70"/>
      <c r="P2" s="1"/>
      <c r="Q2" s="1"/>
      <c r="R2" s="2"/>
      <c r="S2" s="1"/>
      <c r="T2" s="1"/>
      <c r="U2" s="1"/>
      <c r="V2" s="1"/>
      <c r="W2" s="1"/>
      <c r="X2" s="1"/>
      <c r="Y2" s="1"/>
    </row>
    <row r="3" spans="2:25" s="88" customFormat="1" ht="157.5" thickBot="1" x14ac:dyDescent="0.35">
      <c r="B3" s="86" t="s">
        <v>0</v>
      </c>
      <c r="C3" s="86" t="s">
        <v>1</v>
      </c>
      <c r="D3" s="89" t="s">
        <v>2</v>
      </c>
      <c r="E3" s="89" t="s">
        <v>3</v>
      </c>
      <c r="F3" s="89" t="s">
        <v>4</v>
      </c>
      <c r="G3" s="89" t="s">
        <v>5</v>
      </c>
      <c r="H3" s="89" t="s">
        <v>6</v>
      </c>
      <c r="I3" s="89" t="s">
        <v>7</v>
      </c>
      <c r="J3" s="89" t="s">
        <v>23</v>
      </c>
      <c r="K3" s="89" t="s">
        <v>24</v>
      </c>
      <c r="L3" s="89" t="s">
        <v>25</v>
      </c>
      <c r="M3" s="90" t="s">
        <v>26</v>
      </c>
      <c r="N3" s="89" t="s">
        <v>27</v>
      </c>
      <c r="O3" s="87" t="s">
        <v>1</v>
      </c>
      <c r="P3" s="89" t="s">
        <v>2</v>
      </c>
      <c r="Q3" s="89" t="s">
        <v>28</v>
      </c>
      <c r="R3" s="89" t="s">
        <v>8</v>
      </c>
      <c r="S3" s="89" t="s">
        <v>9</v>
      </c>
      <c r="T3" s="89" t="s">
        <v>10</v>
      </c>
      <c r="U3" s="89" t="s">
        <v>29</v>
      </c>
      <c r="V3" s="89" t="s">
        <v>11</v>
      </c>
      <c r="W3" s="89" t="s">
        <v>12</v>
      </c>
      <c r="X3" s="89" t="s">
        <v>13</v>
      </c>
      <c r="Y3" s="89" t="s">
        <v>14</v>
      </c>
    </row>
    <row r="4" spans="2:25" s="6" customFormat="1" ht="15" customHeight="1" thickBot="1" x14ac:dyDescent="0.3">
      <c r="B4" s="30" t="s">
        <v>160</v>
      </c>
      <c r="C4" s="79"/>
      <c r="D4" s="31"/>
      <c r="E4" s="32"/>
      <c r="F4" s="32"/>
      <c r="G4" s="31"/>
      <c r="H4" s="31"/>
      <c r="I4" s="31"/>
      <c r="J4" s="31"/>
      <c r="K4" s="31"/>
      <c r="L4" s="31"/>
      <c r="M4" s="31"/>
      <c r="N4" s="33"/>
      <c r="O4" s="71" t="s">
        <v>45</v>
      </c>
      <c r="P4" s="34"/>
      <c r="Q4" s="31"/>
      <c r="R4" s="31"/>
      <c r="S4" s="32"/>
      <c r="T4" s="31"/>
      <c r="U4" s="31"/>
      <c r="V4" s="31"/>
      <c r="W4" s="31"/>
      <c r="X4" s="31"/>
      <c r="Y4" s="35"/>
    </row>
    <row r="5" spans="2:25" s="6" customFormat="1" ht="18.95" customHeight="1" thickBot="1" x14ac:dyDescent="0.35">
      <c r="B5" s="36"/>
      <c r="C5" s="68" t="s">
        <v>46</v>
      </c>
      <c r="D5" s="42"/>
      <c r="E5" s="42">
        <f>SUM(START:END!E5)</f>
        <v>2</v>
      </c>
      <c r="F5" s="42">
        <f>SUM(START:END!F5)</f>
        <v>0</v>
      </c>
      <c r="G5" s="42">
        <f>SUM(START:END!G5)</f>
        <v>5</v>
      </c>
      <c r="H5" s="42">
        <f>SUM(START:END!H5)</f>
        <v>4</v>
      </c>
      <c r="I5" s="42">
        <f>SUM(START:END!I5)</f>
        <v>2</v>
      </c>
      <c r="J5" s="42">
        <f>SUM(START:END!J5)</f>
        <v>9</v>
      </c>
      <c r="K5" s="42">
        <f>SUM(START:END!K5)</f>
        <v>58</v>
      </c>
      <c r="L5" s="42">
        <f>SUM(START:END!L5)</f>
        <v>7</v>
      </c>
      <c r="M5" s="42">
        <f>SUM(START:END!M5)</f>
        <v>0</v>
      </c>
      <c r="N5" s="42">
        <f>SUM(START:END!N5)</f>
        <v>7</v>
      </c>
      <c r="O5" s="39" t="s">
        <v>46</v>
      </c>
      <c r="P5" s="54"/>
      <c r="Q5" s="50">
        <f>SUM(START:END!Q5)</f>
        <v>4</v>
      </c>
      <c r="R5" s="50">
        <f>SUM(START:END!R5)</f>
        <v>1</v>
      </c>
      <c r="S5" s="50">
        <f>SUM(START:END!S5)</f>
        <v>5</v>
      </c>
      <c r="T5" s="50">
        <f>SUM(START:END!T5)</f>
        <v>3</v>
      </c>
      <c r="U5" s="50">
        <f>SUM(START:END!U5)</f>
        <v>1</v>
      </c>
      <c r="V5" s="50">
        <f>SUM(START:END!V5)</f>
        <v>7</v>
      </c>
      <c r="W5" s="50">
        <f>SUM(START:END!W5)</f>
        <v>3</v>
      </c>
      <c r="X5" s="50">
        <f>SUM(START:END!X5)</f>
        <v>10</v>
      </c>
      <c r="Y5" s="50">
        <f t="shared" ref="Y5:Y30" si="0">SUM(D5:X5)</f>
        <v>128</v>
      </c>
    </row>
    <row r="6" spans="2:25" s="6" customFormat="1" ht="18.95" customHeight="1" thickBot="1" x14ac:dyDescent="0.35">
      <c r="B6" s="36"/>
      <c r="C6" s="68" t="s">
        <v>47</v>
      </c>
      <c r="D6" s="42"/>
      <c r="E6" s="42">
        <f>SUM(START:END!E6)</f>
        <v>1</v>
      </c>
      <c r="F6" s="42">
        <f>SUM(START:END!F6)</f>
        <v>0</v>
      </c>
      <c r="G6" s="42">
        <f>SUM(START:END!G6)</f>
        <v>0</v>
      </c>
      <c r="H6" s="42">
        <f>SUM(START:END!H6)</f>
        <v>0</v>
      </c>
      <c r="I6" s="42">
        <f>SUM(START:END!I6)</f>
        <v>0</v>
      </c>
      <c r="J6" s="42">
        <f>SUM(START:END!J6)</f>
        <v>0</v>
      </c>
      <c r="K6" s="42">
        <f>SUM(START:END!K6)</f>
        <v>0</v>
      </c>
      <c r="L6" s="42">
        <f>SUM(START:END!L6)</f>
        <v>0</v>
      </c>
      <c r="M6" s="42">
        <f>SUM(START:END!M6)</f>
        <v>0</v>
      </c>
      <c r="N6" s="42">
        <f>SUM(START:END!N6)</f>
        <v>0</v>
      </c>
      <c r="O6" s="39" t="s">
        <v>47</v>
      </c>
      <c r="P6" s="54"/>
      <c r="Q6" s="50">
        <f>SUM(START:END!Q6)</f>
        <v>0</v>
      </c>
      <c r="R6" s="50">
        <f>SUM(START:END!R6)</f>
        <v>0</v>
      </c>
      <c r="S6" s="50">
        <f>SUM(START:END!S6)</f>
        <v>0</v>
      </c>
      <c r="T6" s="50">
        <f>SUM(START:END!T6)</f>
        <v>0</v>
      </c>
      <c r="U6" s="50">
        <f>SUM(START:END!U6)</f>
        <v>0</v>
      </c>
      <c r="V6" s="50">
        <f>SUM(START:END!V6)</f>
        <v>0</v>
      </c>
      <c r="W6" s="50">
        <f>SUM(START:END!W6)</f>
        <v>0</v>
      </c>
      <c r="X6" s="50">
        <f>SUM(START:END!X6)</f>
        <v>0</v>
      </c>
      <c r="Y6" s="50">
        <f t="shared" si="0"/>
        <v>1</v>
      </c>
    </row>
    <row r="7" spans="2:25" s="6" customFormat="1" ht="18.95" customHeight="1" thickBot="1" x14ac:dyDescent="0.35">
      <c r="B7" s="36"/>
      <c r="C7" s="68" t="s">
        <v>49</v>
      </c>
      <c r="D7" s="42"/>
      <c r="E7" s="42">
        <f>SUM(START:END!E7)</f>
        <v>0</v>
      </c>
      <c r="F7" s="42">
        <f>SUM(START:END!F7)</f>
        <v>1</v>
      </c>
      <c r="G7" s="42">
        <f>SUM(START:END!G7)</f>
        <v>0</v>
      </c>
      <c r="H7" s="42">
        <f>SUM(START:END!H7)</f>
        <v>0</v>
      </c>
      <c r="I7" s="42">
        <f>SUM(START:END!I7)</f>
        <v>0</v>
      </c>
      <c r="J7" s="42">
        <f>SUM(START:END!J7)</f>
        <v>0</v>
      </c>
      <c r="K7" s="42">
        <f>SUM(START:END!K7)</f>
        <v>0</v>
      </c>
      <c r="L7" s="42">
        <f>SUM(START:END!L7)</f>
        <v>0</v>
      </c>
      <c r="M7" s="42">
        <f>SUM(START:END!M7)</f>
        <v>0</v>
      </c>
      <c r="N7" s="42">
        <f>SUM(START:END!N7)</f>
        <v>0</v>
      </c>
      <c r="O7" s="39" t="s">
        <v>49</v>
      </c>
      <c r="P7" s="54"/>
      <c r="Q7" s="50">
        <f>SUM(START:END!Q7)</f>
        <v>0</v>
      </c>
      <c r="R7" s="50">
        <f>SUM(START:END!R7)</f>
        <v>0</v>
      </c>
      <c r="S7" s="50">
        <f>SUM(START:END!S7)</f>
        <v>0</v>
      </c>
      <c r="T7" s="50">
        <f>SUM(START:END!T7)</f>
        <v>0</v>
      </c>
      <c r="U7" s="50">
        <f>SUM(START:END!U7)</f>
        <v>0</v>
      </c>
      <c r="V7" s="50">
        <f>SUM(START:END!V7)</f>
        <v>0</v>
      </c>
      <c r="W7" s="50">
        <f>SUM(START:END!W7)</f>
        <v>0</v>
      </c>
      <c r="X7" s="50">
        <f>SUM(START:END!X7)</f>
        <v>0</v>
      </c>
      <c r="Y7" s="50">
        <f t="shared" si="0"/>
        <v>1</v>
      </c>
    </row>
    <row r="8" spans="2:25" s="6" customFormat="1" ht="18.95" customHeight="1" thickBot="1" x14ac:dyDescent="0.35">
      <c r="B8" s="36"/>
      <c r="C8" s="68" t="s">
        <v>50</v>
      </c>
      <c r="D8" s="42"/>
      <c r="E8" s="42">
        <f>SUM(START:END!E8)</f>
        <v>0</v>
      </c>
      <c r="F8" s="42">
        <f>SUM(START:END!F8)</f>
        <v>2</v>
      </c>
      <c r="G8" s="42">
        <f>SUM(START:END!G8)</f>
        <v>0</v>
      </c>
      <c r="H8" s="42">
        <f>SUM(START:END!H8)</f>
        <v>0</v>
      </c>
      <c r="I8" s="42">
        <f>SUM(START:END!I8)</f>
        <v>0</v>
      </c>
      <c r="J8" s="42">
        <f>SUM(START:END!J8)</f>
        <v>0</v>
      </c>
      <c r="K8" s="42">
        <f>SUM(START:END!K8)</f>
        <v>0</v>
      </c>
      <c r="L8" s="42">
        <f>SUM(START:END!L8)</f>
        <v>0</v>
      </c>
      <c r="M8" s="42">
        <f>SUM(START:END!M8)</f>
        <v>0</v>
      </c>
      <c r="N8" s="42">
        <f>SUM(START:END!N8)</f>
        <v>0</v>
      </c>
      <c r="O8" s="39" t="s">
        <v>50</v>
      </c>
      <c r="P8" s="54"/>
      <c r="Q8" s="50">
        <f>SUM(START:END!Q8)</f>
        <v>0</v>
      </c>
      <c r="R8" s="50">
        <f>SUM(START:END!R8)</f>
        <v>0</v>
      </c>
      <c r="S8" s="50">
        <f>SUM(START:END!S8)</f>
        <v>0</v>
      </c>
      <c r="T8" s="50">
        <f>SUM(START:END!T8)</f>
        <v>0</v>
      </c>
      <c r="U8" s="50">
        <f>SUM(START:END!U8)</f>
        <v>0</v>
      </c>
      <c r="V8" s="50">
        <f>SUM(START:END!V8)</f>
        <v>0</v>
      </c>
      <c r="W8" s="50">
        <f>SUM(START:END!W8)</f>
        <v>0</v>
      </c>
      <c r="X8" s="50">
        <f>SUM(START:END!X8)</f>
        <v>0</v>
      </c>
      <c r="Y8" s="50">
        <f t="shared" si="0"/>
        <v>2</v>
      </c>
    </row>
    <row r="9" spans="2:25" s="6" customFormat="1" ht="18.95" customHeight="1" thickBot="1" x14ac:dyDescent="0.35">
      <c r="B9" s="36"/>
      <c r="C9" s="68" t="s">
        <v>53</v>
      </c>
      <c r="D9" s="42"/>
      <c r="E9" s="42">
        <f>SUM(START:END!E9)</f>
        <v>0</v>
      </c>
      <c r="F9" s="42">
        <f>SUM(START:END!F9)</f>
        <v>0</v>
      </c>
      <c r="G9" s="42">
        <f>SUM(START:END!G9)</f>
        <v>0</v>
      </c>
      <c r="H9" s="42">
        <f>SUM(START:END!H9)</f>
        <v>1</v>
      </c>
      <c r="I9" s="42">
        <f>SUM(START:END!I9)</f>
        <v>0</v>
      </c>
      <c r="J9" s="42">
        <f>SUM(START:END!J9)</f>
        <v>0</v>
      </c>
      <c r="K9" s="42">
        <f>SUM(START:END!K9)</f>
        <v>0</v>
      </c>
      <c r="L9" s="42">
        <f>SUM(START:END!L9)</f>
        <v>0</v>
      </c>
      <c r="M9" s="42">
        <f>SUM(START:END!M9)</f>
        <v>0</v>
      </c>
      <c r="N9" s="42">
        <f>SUM(START:END!N9)</f>
        <v>0</v>
      </c>
      <c r="O9" s="39" t="s">
        <v>53</v>
      </c>
      <c r="P9" s="54"/>
      <c r="Q9" s="50">
        <f>SUM(START:END!Q9)</f>
        <v>0</v>
      </c>
      <c r="R9" s="50">
        <f>SUM(START:END!R9)</f>
        <v>0</v>
      </c>
      <c r="S9" s="50">
        <f>SUM(START:END!S9)</f>
        <v>0</v>
      </c>
      <c r="T9" s="50">
        <f>SUM(START:END!T9)</f>
        <v>0</v>
      </c>
      <c r="U9" s="50">
        <f>SUM(START:END!U9)</f>
        <v>0</v>
      </c>
      <c r="V9" s="50">
        <f>SUM(START:END!V9)</f>
        <v>0</v>
      </c>
      <c r="W9" s="50">
        <f>SUM(START:END!W9)</f>
        <v>0</v>
      </c>
      <c r="X9" s="50">
        <f>SUM(START:END!X9)</f>
        <v>0</v>
      </c>
      <c r="Y9" s="50">
        <f t="shared" si="0"/>
        <v>1</v>
      </c>
    </row>
    <row r="10" spans="2:25" s="6" customFormat="1" ht="18.95" customHeight="1" thickBot="1" x14ac:dyDescent="0.35">
      <c r="B10" s="36"/>
      <c r="C10" s="68" t="s">
        <v>55</v>
      </c>
      <c r="D10" s="42"/>
      <c r="E10" s="42">
        <f>SUM(START:END!E10)</f>
        <v>0</v>
      </c>
      <c r="F10" s="42">
        <f>SUM(START:END!F10)</f>
        <v>0</v>
      </c>
      <c r="G10" s="42">
        <f>SUM(START:END!G10)</f>
        <v>0</v>
      </c>
      <c r="H10" s="42">
        <f>SUM(START:END!H10)</f>
        <v>0</v>
      </c>
      <c r="I10" s="42">
        <f>SUM(START:END!I10)</f>
        <v>1</v>
      </c>
      <c r="J10" s="42">
        <f>SUM(START:END!J10)</f>
        <v>0</v>
      </c>
      <c r="K10" s="42">
        <f>SUM(START:END!K10)</f>
        <v>0</v>
      </c>
      <c r="L10" s="42">
        <f>SUM(START:END!L10)</f>
        <v>1</v>
      </c>
      <c r="M10" s="42">
        <f>SUM(START:END!M10)</f>
        <v>0</v>
      </c>
      <c r="N10" s="42">
        <f>SUM(START:END!N10)</f>
        <v>0</v>
      </c>
      <c r="O10" s="39" t="s">
        <v>55</v>
      </c>
      <c r="P10" s="54"/>
      <c r="Q10" s="50">
        <f>SUM(START:END!Q10)</f>
        <v>0</v>
      </c>
      <c r="R10" s="50">
        <f>SUM(START:END!R10)</f>
        <v>0</v>
      </c>
      <c r="S10" s="50">
        <f>SUM(START:END!S10)</f>
        <v>1</v>
      </c>
      <c r="T10" s="50">
        <f>SUM(START:END!T10)</f>
        <v>0</v>
      </c>
      <c r="U10" s="50">
        <f>SUM(START:END!U10)</f>
        <v>0</v>
      </c>
      <c r="V10" s="50">
        <f>SUM(START:END!V10)</f>
        <v>0</v>
      </c>
      <c r="W10" s="50">
        <f>SUM(START:END!W10)</f>
        <v>0</v>
      </c>
      <c r="X10" s="50">
        <f>SUM(START:END!X10)</f>
        <v>0</v>
      </c>
      <c r="Y10" s="50">
        <f t="shared" si="0"/>
        <v>3</v>
      </c>
    </row>
    <row r="11" spans="2:25" s="6" customFormat="1" ht="18.95" customHeight="1" thickBot="1" x14ac:dyDescent="0.35">
      <c r="B11" s="36"/>
      <c r="C11" s="68" t="s">
        <v>56</v>
      </c>
      <c r="D11" s="42"/>
      <c r="E11" s="42">
        <f>SUM(START:END!E11)</f>
        <v>0</v>
      </c>
      <c r="F11" s="42">
        <f>SUM(START:END!F11)</f>
        <v>0</v>
      </c>
      <c r="G11" s="42">
        <f>SUM(START:END!G11)</f>
        <v>0</v>
      </c>
      <c r="H11" s="42">
        <f>SUM(START:END!H11)</f>
        <v>0</v>
      </c>
      <c r="I11" s="42">
        <f>SUM(START:END!I11)</f>
        <v>0</v>
      </c>
      <c r="J11" s="42">
        <f>SUM(START:END!J11)</f>
        <v>1</v>
      </c>
      <c r="K11" s="42">
        <f>SUM(START:END!K11)</f>
        <v>0</v>
      </c>
      <c r="L11" s="42">
        <f>SUM(START:END!L11)</f>
        <v>1</v>
      </c>
      <c r="M11" s="42">
        <f>SUM(START:END!M11)</f>
        <v>0</v>
      </c>
      <c r="N11" s="42">
        <f>SUM(START:END!N11)</f>
        <v>0</v>
      </c>
      <c r="O11" s="39" t="s">
        <v>56</v>
      </c>
      <c r="P11" s="54"/>
      <c r="Q11" s="50">
        <f>SUM(START:END!Q11)</f>
        <v>0</v>
      </c>
      <c r="R11" s="50">
        <f>SUM(START:END!R11)</f>
        <v>0</v>
      </c>
      <c r="S11" s="50">
        <f>SUM(START:END!S11)</f>
        <v>0</v>
      </c>
      <c r="T11" s="50">
        <f>SUM(START:END!T11)</f>
        <v>0</v>
      </c>
      <c r="U11" s="50">
        <f>SUM(START:END!U11)</f>
        <v>0</v>
      </c>
      <c r="V11" s="50">
        <f>SUM(START:END!V11)</f>
        <v>0</v>
      </c>
      <c r="W11" s="50">
        <f>SUM(START:END!W11)</f>
        <v>0</v>
      </c>
      <c r="X11" s="50">
        <f>SUM(START:END!X11)</f>
        <v>0</v>
      </c>
      <c r="Y11" s="50">
        <f t="shared" si="0"/>
        <v>2</v>
      </c>
    </row>
    <row r="12" spans="2:25" s="6" customFormat="1" ht="18.95" customHeight="1" thickBot="1" x14ac:dyDescent="0.35">
      <c r="B12" s="36"/>
      <c r="C12" s="68" t="s">
        <v>57</v>
      </c>
      <c r="D12" s="42"/>
      <c r="E12" s="42">
        <f>SUM(START:END!E12)</f>
        <v>0</v>
      </c>
      <c r="F12" s="42">
        <f>SUM(START:END!F12)</f>
        <v>0</v>
      </c>
      <c r="G12" s="42">
        <f>SUM(START:END!G12)</f>
        <v>0</v>
      </c>
      <c r="H12" s="42">
        <f>SUM(START:END!H12)</f>
        <v>0</v>
      </c>
      <c r="I12" s="42">
        <f>SUM(START:END!I12)</f>
        <v>0</v>
      </c>
      <c r="J12" s="42">
        <f>SUM(START:END!J12)</f>
        <v>1</v>
      </c>
      <c r="K12" s="42">
        <f>SUM(START:END!K12)</f>
        <v>0</v>
      </c>
      <c r="L12" s="42">
        <f>SUM(START:END!L12)</f>
        <v>0</v>
      </c>
      <c r="M12" s="42">
        <f>SUM(START:END!M12)</f>
        <v>0</v>
      </c>
      <c r="N12" s="42">
        <f>SUM(START:END!N12)</f>
        <v>0</v>
      </c>
      <c r="O12" s="39" t="s">
        <v>57</v>
      </c>
      <c r="P12" s="54"/>
      <c r="Q12" s="50">
        <f>SUM(START:END!Q12)</f>
        <v>0</v>
      </c>
      <c r="R12" s="50">
        <f>SUM(START:END!R12)</f>
        <v>0</v>
      </c>
      <c r="S12" s="50">
        <f>SUM(START:END!S12)</f>
        <v>0</v>
      </c>
      <c r="T12" s="50">
        <f>SUM(START:END!T12)</f>
        <v>0</v>
      </c>
      <c r="U12" s="50">
        <f>SUM(START:END!U12)</f>
        <v>0</v>
      </c>
      <c r="V12" s="50">
        <f>SUM(START:END!V12)</f>
        <v>0</v>
      </c>
      <c r="W12" s="50">
        <f>SUM(START:END!W12)</f>
        <v>0</v>
      </c>
      <c r="X12" s="50">
        <f>SUM(START:END!X12)</f>
        <v>0</v>
      </c>
      <c r="Y12" s="50">
        <f t="shared" si="0"/>
        <v>1</v>
      </c>
    </row>
    <row r="13" spans="2:25" s="6" customFormat="1" ht="18.95" customHeight="1" thickBot="1" x14ac:dyDescent="0.35">
      <c r="B13" s="36"/>
      <c r="C13" s="68" t="s">
        <v>58</v>
      </c>
      <c r="D13" s="42"/>
      <c r="E13" s="42">
        <f>SUM(START:END!E13)</f>
        <v>0</v>
      </c>
      <c r="F13" s="42">
        <f>SUM(START:END!F13)</f>
        <v>0</v>
      </c>
      <c r="G13" s="42">
        <f>SUM(START:END!G13)</f>
        <v>0</v>
      </c>
      <c r="H13" s="42">
        <f>SUM(START:END!H13)</f>
        <v>0</v>
      </c>
      <c r="I13" s="42">
        <f>SUM(START:END!I13)</f>
        <v>0</v>
      </c>
      <c r="J13" s="42">
        <f>SUM(START:END!J13)</f>
        <v>1</v>
      </c>
      <c r="K13" s="42">
        <f>SUM(START:END!K13)</f>
        <v>0</v>
      </c>
      <c r="L13" s="42">
        <f>SUM(START:END!L13)</f>
        <v>1</v>
      </c>
      <c r="M13" s="42">
        <f>SUM(START:END!M13)</f>
        <v>0</v>
      </c>
      <c r="N13" s="42">
        <f>SUM(START:END!N13)</f>
        <v>0</v>
      </c>
      <c r="O13" s="39" t="s">
        <v>58</v>
      </c>
      <c r="P13" s="54"/>
      <c r="Q13" s="50">
        <f>SUM(START:END!Q13)</f>
        <v>0</v>
      </c>
      <c r="R13" s="50">
        <f>SUM(START:END!R13)</f>
        <v>0</v>
      </c>
      <c r="S13" s="50">
        <f>SUM(START:END!S13)</f>
        <v>0</v>
      </c>
      <c r="T13" s="50">
        <f>SUM(START:END!T13)</f>
        <v>0</v>
      </c>
      <c r="U13" s="50">
        <f>SUM(START:END!U13)</f>
        <v>0</v>
      </c>
      <c r="V13" s="50">
        <f>SUM(START:END!V13)</f>
        <v>0</v>
      </c>
      <c r="W13" s="50">
        <f>SUM(START:END!W13)</f>
        <v>0</v>
      </c>
      <c r="X13" s="50">
        <f>SUM(START:END!X13)</f>
        <v>0</v>
      </c>
      <c r="Y13" s="50">
        <f t="shared" si="0"/>
        <v>2</v>
      </c>
    </row>
    <row r="14" spans="2:25" s="6" customFormat="1" ht="18.95" customHeight="1" thickBot="1" x14ac:dyDescent="0.35">
      <c r="B14" s="36"/>
      <c r="C14" s="68" t="s">
        <v>30</v>
      </c>
      <c r="D14" s="42"/>
      <c r="E14" s="42">
        <f>SUM(START:END!E14)</f>
        <v>2</v>
      </c>
      <c r="F14" s="42">
        <f>SUM(START:END!F14)</f>
        <v>0</v>
      </c>
      <c r="G14" s="42">
        <f>SUM(START:END!G14)</f>
        <v>0</v>
      </c>
      <c r="H14" s="42">
        <f>SUM(START:END!H14)</f>
        <v>0</v>
      </c>
      <c r="I14" s="42">
        <f>SUM(START:END!I14)</f>
        <v>0</v>
      </c>
      <c r="J14" s="42">
        <f>SUM(START:END!J14)</f>
        <v>1</v>
      </c>
      <c r="K14" s="42">
        <f>SUM(START:END!K14)</f>
        <v>3</v>
      </c>
      <c r="L14" s="42">
        <f>SUM(START:END!L14)</f>
        <v>0</v>
      </c>
      <c r="M14" s="42">
        <f>SUM(START:END!M14)</f>
        <v>0</v>
      </c>
      <c r="N14" s="42">
        <f>SUM(START:END!N14)</f>
        <v>1</v>
      </c>
      <c r="O14" s="39" t="s">
        <v>30</v>
      </c>
      <c r="P14" s="54"/>
      <c r="Q14" s="50">
        <f>SUM(START:END!Q14)</f>
        <v>0</v>
      </c>
      <c r="R14" s="50">
        <f>SUM(START:END!R14)</f>
        <v>0</v>
      </c>
      <c r="S14" s="50">
        <f>SUM(START:END!S14)</f>
        <v>1</v>
      </c>
      <c r="T14" s="50">
        <f>SUM(START:END!T14)</f>
        <v>0</v>
      </c>
      <c r="U14" s="50">
        <f>SUM(START:END!U14)</f>
        <v>0</v>
      </c>
      <c r="V14" s="50">
        <f>SUM(START:END!V14)</f>
        <v>0</v>
      </c>
      <c r="W14" s="50">
        <f>SUM(START:END!W14)</f>
        <v>1</v>
      </c>
      <c r="X14" s="50">
        <f>SUM(START:END!X14)</f>
        <v>0</v>
      </c>
      <c r="Y14" s="50">
        <f t="shared" si="0"/>
        <v>9</v>
      </c>
    </row>
    <row r="15" spans="2:25" s="6" customFormat="1" ht="18.95" customHeight="1" thickBot="1" x14ac:dyDescent="0.35">
      <c r="B15" s="36"/>
      <c r="C15" s="68" t="s">
        <v>59</v>
      </c>
      <c r="D15" s="42"/>
      <c r="E15" s="42">
        <f>SUM(START:END!E15)</f>
        <v>0</v>
      </c>
      <c r="F15" s="42">
        <f>SUM(START:END!F15)</f>
        <v>0</v>
      </c>
      <c r="G15" s="42">
        <f>SUM(START:END!G15)</f>
        <v>0</v>
      </c>
      <c r="H15" s="42">
        <f>SUM(START:END!H15)</f>
        <v>0</v>
      </c>
      <c r="I15" s="42">
        <f>SUM(START:END!I15)</f>
        <v>0</v>
      </c>
      <c r="J15" s="42">
        <f>SUM(START:END!J15)</f>
        <v>0</v>
      </c>
      <c r="K15" s="42">
        <f>SUM(START:END!K15)</f>
        <v>1</v>
      </c>
      <c r="L15" s="42">
        <f>SUM(START:END!L15)</f>
        <v>0</v>
      </c>
      <c r="M15" s="42">
        <f>SUM(START:END!M15)</f>
        <v>0</v>
      </c>
      <c r="N15" s="42">
        <f>SUM(START:END!N15)</f>
        <v>0</v>
      </c>
      <c r="O15" s="39" t="s">
        <v>59</v>
      </c>
      <c r="P15" s="54"/>
      <c r="Q15" s="50">
        <f>SUM(START:END!Q15)</f>
        <v>0</v>
      </c>
      <c r="R15" s="50">
        <f>SUM(START:END!R15)</f>
        <v>0</v>
      </c>
      <c r="S15" s="50">
        <f>SUM(START:END!S15)</f>
        <v>0</v>
      </c>
      <c r="T15" s="50">
        <f>SUM(START:END!T15)</f>
        <v>0</v>
      </c>
      <c r="U15" s="50">
        <f>SUM(START:END!U15)</f>
        <v>0</v>
      </c>
      <c r="V15" s="50">
        <f>SUM(START:END!V15)</f>
        <v>0</v>
      </c>
      <c r="W15" s="50">
        <f>SUM(START:END!W15)</f>
        <v>0</v>
      </c>
      <c r="X15" s="50">
        <f>SUM(START:END!X15)</f>
        <v>0</v>
      </c>
      <c r="Y15" s="50">
        <f t="shared" si="0"/>
        <v>1</v>
      </c>
    </row>
    <row r="16" spans="2:25" s="6" customFormat="1" ht="18.95" customHeight="1" thickBot="1" x14ac:dyDescent="0.35">
      <c r="B16" s="36"/>
      <c r="C16" s="68" t="s">
        <v>60</v>
      </c>
      <c r="D16" s="42"/>
      <c r="E16" s="42">
        <f>SUM(START:END!E16)</f>
        <v>0</v>
      </c>
      <c r="F16" s="42">
        <f>SUM(START:END!F16)</f>
        <v>0</v>
      </c>
      <c r="G16" s="42">
        <f>SUM(START:END!G16)</f>
        <v>0</v>
      </c>
      <c r="H16" s="42">
        <f>SUM(START:END!H16)</f>
        <v>0</v>
      </c>
      <c r="I16" s="42">
        <f>SUM(START:END!I16)</f>
        <v>0</v>
      </c>
      <c r="J16" s="42">
        <f>SUM(START:END!J16)</f>
        <v>0</v>
      </c>
      <c r="K16" s="42">
        <f>SUM(START:END!K16)</f>
        <v>1</v>
      </c>
      <c r="L16" s="42">
        <f>SUM(START:END!L16)</f>
        <v>0</v>
      </c>
      <c r="M16" s="42">
        <f>SUM(START:END!M16)</f>
        <v>0</v>
      </c>
      <c r="N16" s="42">
        <f>SUM(START:END!N16)</f>
        <v>0</v>
      </c>
      <c r="O16" s="39" t="s">
        <v>60</v>
      </c>
      <c r="P16" s="54"/>
      <c r="Q16" s="50">
        <f>SUM(START:END!Q16)</f>
        <v>0</v>
      </c>
      <c r="R16" s="50">
        <f>SUM(START:END!R16)</f>
        <v>0</v>
      </c>
      <c r="S16" s="50">
        <f>SUM(START:END!S16)</f>
        <v>0</v>
      </c>
      <c r="T16" s="50">
        <f>SUM(START:END!T16)</f>
        <v>0</v>
      </c>
      <c r="U16" s="50">
        <f>SUM(START:END!U16)</f>
        <v>0</v>
      </c>
      <c r="V16" s="50">
        <f>SUM(START:END!V16)</f>
        <v>0</v>
      </c>
      <c r="W16" s="50">
        <f>SUM(START:END!W16)</f>
        <v>1</v>
      </c>
      <c r="X16" s="50">
        <f>SUM(START:END!X16)</f>
        <v>0</v>
      </c>
      <c r="Y16" s="50">
        <f t="shared" si="0"/>
        <v>2</v>
      </c>
    </row>
    <row r="17" spans="2:25" s="6" customFormat="1" ht="18.95" customHeight="1" thickBot="1" x14ac:dyDescent="0.35">
      <c r="B17" s="36"/>
      <c r="C17" s="68" t="s">
        <v>61</v>
      </c>
      <c r="D17" s="42"/>
      <c r="E17" s="42">
        <f>SUM(START:END!E17)</f>
        <v>0</v>
      </c>
      <c r="F17" s="42">
        <f>SUM(START:END!F17)</f>
        <v>0</v>
      </c>
      <c r="G17" s="42">
        <f>SUM(START:END!G17)</f>
        <v>0</v>
      </c>
      <c r="H17" s="42">
        <f>SUM(START:END!H17)</f>
        <v>0</v>
      </c>
      <c r="I17" s="42">
        <f>SUM(START:END!I17)</f>
        <v>0</v>
      </c>
      <c r="J17" s="42">
        <f>SUM(START:END!J17)</f>
        <v>0</v>
      </c>
      <c r="K17" s="42">
        <f>SUM(START:END!K17)</f>
        <v>1</v>
      </c>
      <c r="L17" s="42">
        <f>SUM(START:END!L17)</f>
        <v>0</v>
      </c>
      <c r="M17" s="42">
        <f>SUM(START:END!M17)</f>
        <v>0</v>
      </c>
      <c r="N17" s="42">
        <f>SUM(START:END!N17)</f>
        <v>0</v>
      </c>
      <c r="O17" s="39" t="s">
        <v>61</v>
      </c>
      <c r="P17" s="54"/>
      <c r="Q17" s="50">
        <f>SUM(START:END!Q17)</f>
        <v>0</v>
      </c>
      <c r="R17" s="50">
        <f>SUM(START:END!R17)</f>
        <v>0</v>
      </c>
      <c r="S17" s="50">
        <f>SUM(START:END!S17)</f>
        <v>0</v>
      </c>
      <c r="T17" s="50">
        <f>SUM(START:END!T17)</f>
        <v>0</v>
      </c>
      <c r="U17" s="50">
        <f>SUM(START:END!U17)</f>
        <v>0</v>
      </c>
      <c r="V17" s="50">
        <f>SUM(START:END!V17)</f>
        <v>0</v>
      </c>
      <c r="W17" s="50">
        <f>SUM(START:END!W17)</f>
        <v>0</v>
      </c>
      <c r="X17" s="50">
        <f>SUM(START:END!X17)</f>
        <v>0</v>
      </c>
      <c r="Y17" s="50">
        <f t="shared" si="0"/>
        <v>1</v>
      </c>
    </row>
    <row r="18" spans="2:25" s="6" customFormat="1" ht="18.95" customHeight="1" thickBot="1" x14ac:dyDescent="0.35">
      <c r="B18" s="36"/>
      <c r="C18" s="68" t="s">
        <v>62</v>
      </c>
      <c r="D18" s="42"/>
      <c r="E18" s="42">
        <f>SUM(START:END!E18)</f>
        <v>0</v>
      </c>
      <c r="F18" s="42">
        <f>SUM(START:END!F18)</f>
        <v>0</v>
      </c>
      <c r="G18" s="42">
        <f>SUM(START:END!G18)</f>
        <v>0</v>
      </c>
      <c r="H18" s="42">
        <f>SUM(START:END!H18)</f>
        <v>0</v>
      </c>
      <c r="I18" s="42">
        <f>SUM(START:END!I18)</f>
        <v>0</v>
      </c>
      <c r="J18" s="42">
        <f>SUM(START:END!J18)</f>
        <v>0</v>
      </c>
      <c r="K18" s="42">
        <f>SUM(START:END!K18)</f>
        <v>1</v>
      </c>
      <c r="L18" s="42">
        <f>SUM(START:END!L18)</f>
        <v>1</v>
      </c>
      <c r="M18" s="42">
        <f>SUM(START:END!M18)</f>
        <v>1</v>
      </c>
      <c r="N18" s="42">
        <f>SUM(START:END!N18)</f>
        <v>1</v>
      </c>
      <c r="O18" s="39" t="s">
        <v>62</v>
      </c>
      <c r="P18" s="54"/>
      <c r="Q18" s="50">
        <f>SUM(START:END!Q18)</f>
        <v>0</v>
      </c>
      <c r="R18" s="50">
        <f>SUM(START:END!R18)</f>
        <v>0</v>
      </c>
      <c r="S18" s="50">
        <f>SUM(START:END!S18)</f>
        <v>0</v>
      </c>
      <c r="T18" s="50">
        <f>SUM(START:END!T18)</f>
        <v>0</v>
      </c>
      <c r="U18" s="50">
        <f>SUM(START:END!U18)</f>
        <v>0</v>
      </c>
      <c r="V18" s="50">
        <f>SUM(START:END!V18)</f>
        <v>0</v>
      </c>
      <c r="W18" s="50">
        <f>SUM(START:END!W18)</f>
        <v>0</v>
      </c>
      <c r="X18" s="50">
        <f>SUM(START:END!X18)</f>
        <v>0</v>
      </c>
      <c r="Y18" s="50">
        <f t="shared" si="0"/>
        <v>4</v>
      </c>
    </row>
    <row r="19" spans="2:25" s="6" customFormat="1" ht="18.95" customHeight="1" thickBot="1" x14ac:dyDescent="0.35">
      <c r="B19" s="36"/>
      <c r="C19" s="68" t="s">
        <v>63</v>
      </c>
      <c r="D19" s="42"/>
      <c r="E19" s="42">
        <f>SUM(START:END!E19)</f>
        <v>0</v>
      </c>
      <c r="F19" s="42">
        <f>SUM(START:END!F19)</f>
        <v>0</v>
      </c>
      <c r="G19" s="42">
        <f>SUM(START:END!G19)</f>
        <v>0</v>
      </c>
      <c r="H19" s="42">
        <f>SUM(START:END!H19)</f>
        <v>0</v>
      </c>
      <c r="I19" s="42">
        <f>SUM(START:END!I19)</f>
        <v>0</v>
      </c>
      <c r="J19" s="42">
        <f>SUM(START:END!J19)</f>
        <v>0</v>
      </c>
      <c r="K19" s="42">
        <f>SUM(START:END!K19)</f>
        <v>1</v>
      </c>
      <c r="L19" s="42">
        <f>SUM(START:END!L19)</f>
        <v>0</v>
      </c>
      <c r="M19" s="42">
        <f>SUM(START:END!M19)</f>
        <v>0</v>
      </c>
      <c r="N19" s="42">
        <f>SUM(START:END!N19)</f>
        <v>0</v>
      </c>
      <c r="O19" s="39" t="s">
        <v>63</v>
      </c>
      <c r="P19" s="54"/>
      <c r="Q19" s="50">
        <f>SUM(START:END!Q19)</f>
        <v>0</v>
      </c>
      <c r="R19" s="50">
        <f>SUM(START:END!R19)</f>
        <v>0</v>
      </c>
      <c r="S19" s="50">
        <f>SUM(START:END!S19)</f>
        <v>0</v>
      </c>
      <c r="T19" s="50">
        <f>SUM(START:END!T19)</f>
        <v>0</v>
      </c>
      <c r="U19" s="50">
        <f>SUM(START:END!U19)</f>
        <v>0</v>
      </c>
      <c r="V19" s="50">
        <f>SUM(START:END!V19)</f>
        <v>0</v>
      </c>
      <c r="W19" s="50">
        <f>SUM(START:END!W19)</f>
        <v>0</v>
      </c>
      <c r="X19" s="50">
        <f>SUM(START:END!X19)</f>
        <v>1</v>
      </c>
      <c r="Y19" s="50">
        <f t="shared" si="0"/>
        <v>2</v>
      </c>
    </row>
    <row r="20" spans="2:25" s="6" customFormat="1" ht="18.95" customHeight="1" thickBot="1" x14ac:dyDescent="0.35">
      <c r="B20" s="36"/>
      <c r="C20" s="68" t="s">
        <v>64</v>
      </c>
      <c r="D20" s="42"/>
      <c r="E20" s="42">
        <f>SUM(START:END!E20)</f>
        <v>0</v>
      </c>
      <c r="F20" s="42">
        <f>SUM(START:END!F20)</f>
        <v>0</v>
      </c>
      <c r="G20" s="42">
        <f>SUM(START:END!G20)</f>
        <v>0</v>
      </c>
      <c r="H20" s="42">
        <f>SUM(START:END!H20)</f>
        <v>0</v>
      </c>
      <c r="I20" s="42">
        <f>SUM(START:END!I20)</f>
        <v>0</v>
      </c>
      <c r="J20" s="42">
        <f>SUM(START:END!J20)</f>
        <v>0</v>
      </c>
      <c r="K20" s="42">
        <f>SUM(START:END!K20)</f>
        <v>1</v>
      </c>
      <c r="L20" s="42">
        <f>SUM(START:END!L20)</f>
        <v>0</v>
      </c>
      <c r="M20" s="42">
        <f>SUM(START:END!M20)</f>
        <v>0</v>
      </c>
      <c r="N20" s="42">
        <f>SUM(START:END!N20)</f>
        <v>0</v>
      </c>
      <c r="O20" s="39" t="s">
        <v>64</v>
      </c>
      <c r="P20" s="54"/>
      <c r="Q20" s="50">
        <f>SUM(START:END!Q20)</f>
        <v>0</v>
      </c>
      <c r="R20" s="50">
        <f>SUM(START:END!R20)</f>
        <v>0</v>
      </c>
      <c r="S20" s="50">
        <f>SUM(START:END!S20)</f>
        <v>0</v>
      </c>
      <c r="T20" s="50">
        <f>SUM(START:END!T20)</f>
        <v>0</v>
      </c>
      <c r="U20" s="50">
        <f>SUM(START:END!U20)</f>
        <v>0</v>
      </c>
      <c r="V20" s="50">
        <f>SUM(START:END!V20)</f>
        <v>0</v>
      </c>
      <c r="W20" s="50">
        <f>SUM(START:END!W20)</f>
        <v>0</v>
      </c>
      <c r="X20" s="50">
        <f>SUM(START:END!X20)</f>
        <v>0</v>
      </c>
      <c r="Y20" s="50">
        <f t="shared" si="0"/>
        <v>1</v>
      </c>
    </row>
    <row r="21" spans="2:25" s="6" customFormat="1" ht="18.95" customHeight="1" thickBot="1" x14ac:dyDescent="0.35">
      <c r="B21" s="36"/>
      <c r="C21" s="68" t="s">
        <v>65</v>
      </c>
      <c r="D21" s="42"/>
      <c r="E21" s="42">
        <f>SUM(START:END!E21)</f>
        <v>0</v>
      </c>
      <c r="F21" s="42">
        <f>SUM(START:END!F21)</f>
        <v>0</v>
      </c>
      <c r="G21" s="42">
        <f>SUM(START:END!G21)</f>
        <v>0</v>
      </c>
      <c r="H21" s="42">
        <f>SUM(START:END!H21)</f>
        <v>0</v>
      </c>
      <c r="I21" s="42">
        <f>SUM(START:END!I21)</f>
        <v>0</v>
      </c>
      <c r="J21" s="42">
        <f>SUM(START:END!J21)</f>
        <v>0</v>
      </c>
      <c r="K21" s="42">
        <f>SUM(START:END!K21)</f>
        <v>1</v>
      </c>
      <c r="L21" s="42">
        <f>SUM(START:END!L21)</f>
        <v>0</v>
      </c>
      <c r="M21" s="42">
        <f>SUM(START:END!M21)</f>
        <v>0</v>
      </c>
      <c r="N21" s="42">
        <f>SUM(START:END!N21)</f>
        <v>0</v>
      </c>
      <c r="O21" s="39" t="s">
        <v>65</v>
      </c>
      <c r="P21" s="54"/>
      <c r="Q21" s="50">
        <f>SUM(START:END!Q21)</f>
        <v>0</v>
      </c>
      <c r="R21" s="50">
        <f>SUM(START:END!R21)</f>
        <v>0</v>
      </c>
      <c r="S21" s="50">
        <f>SUM(START:END!S21)</f>
        <v>0</v>
      </c>
      <c r="T21" s="50">
        <f>SUM(START:END!T21)</f>
        <v>0</v>
      </c>
      <c r="U21" s="50">
        <f>SUM(START:END!U21)</f>
        <v>0</v>
      </c>
      <c r="V21" s="50">
        <f>SUM(START:END!V21)</f>
        <v>0</v>
      </c>
      <c r="W21" s="50">
        <f>SUM(START:END!W21)</f>
        <v>0</v>
      </c>
      <c r="X21" s="50">
        <f>SUM(START:END!X21)</f>
        <v>0</v>
      </c>
      <c r="Y21" s="50">
        <f t="shared" si="0"/>
        <v>1</v>
      </c>
    </row>
    <row r="22" spans="2:25" s="6" customFormat="1" ht="18.95" customHeight="1" thickBot="1" x14ac:dyDescent="0.35">
      <c r="B22" s="36"/>
      <c r="C22" s="68" t="s">
        <v>66</v>
      </c>
      <c r="D22" s="42"/>
      <c r="E22" s="42">
        <f>SUM(START:END!E22)</f>
        <v>0</v>
      </c>
      <c r="F22" s="42">
        <f>SUM(START:END!F22)</f>
        <v>0</v>
      </c>
      <c r="G22" s="42">
        <f>SUM(START:END!G22)</f>
        <v>0</v>
      </c>
      <c r="H22" s="42">
        <f>SUM(START:END!H22)</f>
        <v>0</v>
      </c>
      <c r="I22" s="42">
        <f>SUM(START:END!I22)</f>
        <v>0</v>
      </c>
      <c r="J22" s="42">
        <f>SUM(START:END!J22)</f>
        <v>0</v>
      </c>
      <c r="K22" s="42">
        <f>SUM(START:END!K22)</f>
        <v>1</v>
      </c>
      <c r="L22" s="42">
        <f>SUM(START:END!L22)</f>
        <v>0</v>
      </c>
      <c r="M22" s="42">
        <f>SUM(START:END!M22)</f>
        <v>0</v>
      </c>
      <c r="N22" s="42">
        <f>SUM(START:END!N22)</f>
        <v>0</v>
      </c>
      <c r="O22" s="39" t="s">
        <v>66</v>
      </c>
      <c r="P22" s="54"/>
      <c r="Q22" s="50">
        <f>SUM(START:END!Q22)</f>
        <v>0</v>
      </c>
      <c r="R22" s="50">
        <f>SUM(START:END!R22)</f>
        <v>0</v>
      </c>
      <c r="S22" s="50">
        <f>SUM(START:END!S22)</f>
        <v>0</v>
      </c>
      <c r="T22" s="50">
        <f>SUM(START:END!T22)</f>
        <v>0</v>
      </c>
      <c r="U22" s="50">
        <f>SUM(START:END!U22)</f>
        <v>0</v>
      </c>
      <c r="V22" s="50">
        <f>SUM(START:END!V22)</f>
        <v>0</v>
      </c>
      <c r="W22" s="50">
        <f>SUM(START:END!W22)</f>
        <v>0</v>
      </c>
      <c r="X22" s="50">
        <f>SUM(START:END!X22)</f>
        <v>0</v>
      </c>
      <c r="Y22" s="50">
        <f t="shared" si="0"/>
        <v>1</v>
      </c>
    </row>
    <row r="23" spans="2:25" s="6" customFormat="1" ht="18.95" customHeight="1" thickBot="1" x14ac:dyDescent="0.35">
      <c r="B23" s="36"/>
      <c r="C23" s="68" t="s">
        <v>67</v>
      </c>
      <c r="D23" s="42"/>
      <c r="E23" s="42">
        <f>SUM(START:END!E23)</f>
        <v>0</v>
      </c>
      <c r="F23" s="42">
        <f>SUM(START:END!F23)</f>
        <v>0</v>
      </c>
      <c r="G23" s="42">
        <f>SUM(START:END!G23)</f>
        <v>0</v>
      </c>
      <c r="H23" s="42">
        <f>SUM(START:END!H23)</f>
        <v>0</v>
      </c>
      <c r="I23" s="42">
        <f>SUM(START:END!I23)</f>
        <v>0</v>
      </c>
      <c r="J23" s="42">
        <f>SUM(START:END!J23)</f>
        <v>0</v>
      </c>
      <c r="K23" s="42">
        <f>SUM(START:END!K23)</f>
        <v>1</v>
      </c>
      <c r="L23" s="42">
        <f>SUM(START:END!L23)</f>
        <v>0</v>
      </c>
      <c r="M23" s="42">
        <f>SUM(START:END!M23)</f>
        <v>0</v>
      </c>
      <c r="N23" s="42">
        <f>SUM(START:END!N23)</f>
        <v>0</v>
      </c>
      <c r="O23" s="39" t="s">
        <v>67</v>
      </c>
      <c r="P23" s="54"/>
      <c r="Q23" s="50">
        <f>SUM(START:END!Q23)</f>
        <v>0</v>
      </c>
      <c r="R23" s="50">
        <f>SUM(START:END!R23)</f>
        <v>0</v>
      </c>
      <c r="S23" s="50">
        <f>SUM(START:END!S23)</f>
        <v>0</v>
      </c>
      <c r="T23" s="50">
        <f>SUM(START:END!T23)</f>
        <v>0</v>
      </c>
      <c r="U23" s="50">
        <f>SUM(START:END!U23)</f>
        <v>0</v>
      </c>
      <c r="V23" s="50">
        <f>SUM(START:END!V23)</f>
        <v>0</v>
      </c>
      <c r="W23" s="50">
        <f>SUM(START:END!W23)</f>
        <v>0</v>
      </c>
      <c r="X23" s="50">
        <f>SUM(START:END!X23)</f>
        <v>0</v>
      </c>
      <c r="Y23" s="50">
        <f t="shared" si="0"/>
        <v>1</v>
      </c>
    </row>
    <row r="24" spans="2:25" s="6" customFormat="1" ht="18.95" customHeight="1" thickBot="1" x14ac:dyDescent="0.35">
      <c r="B24" s="36"/>
      <c r="C24" s="68" t="s">
        <v>68</v>
      </c>
      <c r="D24" s="42"/>
      <c r="E24" s="42">
        <f>SUM(START:END!E24)</f>
        <v>0</v>
      </c>
      <c r="F24" s="42">
        <f>SUM(START:END!F24)</f>
        <v>0</v>
      </c>
      <c r="G24" s="42">
        <f>SUM(START:END!G24)</f>
        <v>0</v>
      </c>
      <c r="H24" s="42">
        <f>SUM(START:END!H24)</f>
        <v>0</v>
      </c>
      <c r="I24" s="42">
        <f>SUM(START:END!I24)</f>
        <v>0</v>
      </c>
      <c r="J24" s="42">
        <f>SUM(START:END!J24)</f>
        <v>0</v>
      </c>
      <c r="K24" s="42">
        <f>SUM(START:END!K24)</f>
        <v>1</v>
      </c>
      <c r="L24" s="42">
        <f>SUM(START:END!L24)</f>
        <v>3</v>
      </c>
      <c r="M24" s="42">
        <f>SUM(START:END!M24)</f>
        <v>0</v>
      </c>
      <c r="N24" s="42">
        <f>SUM(START:END!N24)</f>
        <v>1</v>
      </c>
      <c r="O24" s="39" t="s">
        <v>68</v>
      </c>
      <c r="P24" s="54"/>
      <c r="Q24" s="50">
        <f>SUM(START:END!Q24)</f>
        <v>0</v>
      </c>
      <c r="R24" s="50">
        <f>SUM(START:END!R24)</f>
        <v>0</v>
      </c>
      <c r="S24" s="50">
        <f>SUM(START:END!S24)</f>
        <v>0</v>
      </c>
      <c r="T24" s="50">
        <f>SUM(START:END!T24)</f>
        <v>0</v>
      </c>
      <c r="U24" s="50">
        <f>SUM(START:END!U24)</f>
        <v>0</v>
      </c>
      <c r="V24" s="50">
        <f>SUM(START:END!V24)</f>
        <v>0</v>
      </c>
      <c r="W24" s="50">
        <f>SUM(START:END!W24)</f>
        <v>0</v>
      </c>
      <c r="X24" s="50">
        <f>SUM(START:END!X24)</f>
        <v>0</v>
      </c>
      <c r="Y24" s="50">
        <f t="shared" si="0"/>
        <v>5</v>
      </c>
    </row>
    <row r="25" spans="2:25" s="6" customFormat="1" ht="18.95" customHeight="1" thickBot="1" x14ac:dyDescent="0.35">
      <c r="B25" s="36"/>
      <c r="C25" s="68" t="s">
        <v>69</v>
      </c>
      <c r="D25" s="42"/>
      <c r="E25" s="42">
        <f>SUM(START:END!E25)</f>
        <v>0</v>
      </c>
      <c r="F25" s="42">
        <f>SUM(START:END!F25)</f>
        <v>0</v>
      </c>
      <c r="G25" s="42">
        <f>SUM(START:END!G25)</f>
        <v>0</v>
      </c>
      <c r="H25" s="42">
        <f>SUM(START:END!H25)</f>
        <v>0</v>
      </c>
      <c r="I25" s="42">
        <f>SUM(START:END!I25)</f>
        <v>0</v>
      </c>
      <c r="J25" s="42">
        <f>SUM(START:END!J25)</f>
        <v>0</v>
      </c>
      <c r="K25" s="42">
        <f>SUM(START:END!K25)</f>
        <v>1</v>
      </c>
      <c r="L25" s="42">
        <f>SUM(START:END!L25)</f>
        <v>0</v>
      </c>
      <c r="M25" s="42">
        <f>SUM(START:END!M25)</f>
        <v>0</v>
      </c>
      <c r="N25" s="42">
        <f>SUM(START:END!N25)</f>
        <v>0</v>
      </c>
      <c r="O25" s="39" t="s">
        <v>69</v>
      </c>
      <c r="P25" s="54"/>
      <c r="Q25" s="50">
        <f>SUM(START:END!Q25)</f>
        <v>0</v>
      </c>
      <c r="R25" s="50">
        <f>SUM(START:END!R25)</f>
        <v>0</v>
      </c>
      <c r="S25" s="50">
        <f>SUM(START:END!S25)</f>
        <v>0</v>
      </c>
      <c r="T25" s="50">
        <f>SUM(START:END!T25)</f>
        <v>0</v>
      </c>
      <c r="U25" s="50">
        <f>SUM(START:END!U25)</f>
        <v>0</v>
      </c>
      <c r="V25" s="50">
        <f>SUM(START:END!V25)</f>
        <v>0</v>
      </c>
      <c r="W25" s="50">
        <f>SUM(START:END!W25)</f>
        <v>0</v>
      </c>
      <c r="X25" s="50">
        <f>SUM(START:END!X25)</f>
        <v>0</v>
      </c>
      <c r="Y25" s="50">
        <f t="shared" si="0"/>
        <v>1</v>
      </c>
    </row>
    <row r="26" spans="2:25" s="6" customFormat="1" ht="18.95" customHeight="1" thickBot="1" x14ac:dyDescent="0.35">
      <c r="B26" s="36"/>
      <c r="C26" s="68" t="s">
        <v>70</v>
      </c>
      <c r="D26" s="42"/>
      <c r="E26" s="42">
        <f>SUM(START:END!E26)</f>
        <v>0</v>
      </c>
      <c r="F26" s="42">
        <f>SUM(START:END!F26)</f>
        <v>0</v>
      </c>
      <c r="G26" s="42">
        <f>SUM(START:END!G26)</f>
        <v>0</v>
      </c>
      <c r="H26" s="42">
        <f>SUM(START:END!H26)</f>
        <v>0</v>
      </c>
      <c r="I26" s="42">
        <f>SUM(START:END!I26)</f>
        <v>0</v>
      </c>
      <c r="J26" s="42">
        <f>SUM(START:END!J26)</f>
        <v>0</v>
      </c>
      <c r="K26" s="42">
        <f>SUM(START:END!K26)</f>
        <v>1</v>
      </c>
      <c r="L26" s="42">
        <f>SUM(START:END!L26)</f>
        <v>0</v>
      </c>
      <c r="M26" s="42">
        <f>SUM(START:END!M26)</f>
        <v>0</v>
      </c>
      <c r="N26" s="42">
        <f>SUM(START:END!N26)</f>
        <v>0</v>
      </c>
      <c r="O26" s="39" t="s">
        <v>70</v>
      </c>
      <c r="P26" s="54"/>
      <c r="Q26" s="50">
        <f>SUM(START:END!Q26)</f>
        <v>0</v>
      </c>
      <c r="R26" s="50">
        <f>SUM(START:END!R26)</f>
        <v>0</v>
      </c>
      <c r="S26" s="50">
        <f>SUM(START:END!S26)</f>
        <v>0</v>
      </c>
      <c r="T26" s="50">
        <f>SUM(START:END!T26)</f>
        <v>0</v>
      </c>
      <c r="U26" s="50">
        <f>SUM(START:END!U26)</f>
        <v>0</v>
      </c>
      <c r="V26" s="50">
        <f>SUM(START:END!V26)</f>
        <v>0</v>
      </c>
      <c r="W26" s="50">
        <f>SUM(START:END!W26)</f>
        <v>0</v>
      </c>
      <c r="X26" s="50">
        <f>SUM(START:END!X26)</f>
        <v>0</v>
      </c>
      <c r="Y26" s="50">
        <f t="shared" si="0"/>
        <v>1</v>
      </c>
    </row>
    <row r="27" spans="2:25" s="6" customFormat="1" ht="18.95" customHeight="1" thickBot="1" x14ac:dyDescent="0.35">
      <c r="B27" s="36"/>
      <c r="C27" s="68" t="s">
        <v>71</v>
      </c>
      <c r="D27" s="42"/>
      <c r="E27" s="42">
        <f>SUM(START:END!E27)</f>
        <v>0</v>
      </c>
      <c r="F27" s="42">
        <f>SUM(START:END!F27)</f>
        <v>0</v>
      </c>
      <c r="G27" s="42">
        <f>SUM(START:END!G27)</f>
        <v>0</v>
      </c>
      <c r="H27" s="42">
        <f>SUM(START:END!H27)</f>
        <v>0</v>
      </c>
      <c r="I27" s="42">
        <f>SUM(START:END!I27)</f>
        <v>0</v>
      </c>
      <c r="J27" s="42">
        <f>SUM(START:END!J27)</f>
        <v>0</v>
      </c>
      <c r="K27" s="42">
        <f>SUM(START:END!K27)</f>
        <v>1</v>
      </c>
      <c r="L27" s="42">
        <f>SUM(START:END!L27)</f>
        <v>0</v>
      </c>
      <c r="M27" s="42">
        <f>SUM(START:END!M27)</f>
        <v>0</v>
      </c>
      <c r="N27" s="42">
        <f>SUM(START:END!N27)</f>
        <v>0</v>
      </c>
      <c r="O27" s="39" t="s">
        <v>71</v>
      </c>
      <c r="P27" s="54"/>
      <c r="Q27" s="50">
        <f>SUM(START:END!Q27)</f>
        <v>0</v>
      </c>
      <c r="R27" s="50">
        <f>SUM(START:END!R27)</f>
        <v>0</v>
      </c>
      <c r="S27" s="50">
        <f>SUM(START:END!S27)</f>
        <v>0</v>
      </c>
      <c r="T27" s="50">
        <f>SUM(START:END!T27)</f>
        <v>0</v>
      </c>
      <c r="U27" s="50">
        <f>SUM(START:END!U27)</f>
        <v>0</v>
      </c>
      <c r="V27" s="50">
        <f>SUM(START:END!V27)</f>
        <v>0</v>
      </c>
      <c r="W27" s="50">
        <f>SUM(START:END!W27)</f>
        <v>0</v>
      </c>
      <c r="X27" s="50">
        <f>SUM(START:END!X27)</f>
        <v>0</v>
      </c>
      <c r="Y27" s="50">
        <f t="shared" si="0"/>
        <v>1</v>
      </c>
    </row>
    <row r="28" spans="2:25" s="6" customFormat="1" ht="18.95" customHeight="1" thickBot="1" x14ac:dyDescent="0.35">
      <c r="B28" s="36"/>
      <c r="C28" s="68" t="s">
        <v>72</v>
      </c>
      <c r="D28" s="42"/>
      <c r="E28" s="42">
        <f>SUM(START:END!E28)</f>
        <v>0</v>
      </c>
      <c r="F28" s="42">
        <f>SUM(START:END!F28)</f>
        <v>0</v>
      </c>
      <c r="G28" s="42">
        <f>SUM(START:END!G28)</f>
        <v>0</v>
      </c>
      <c r="H28" s="42">
        <f>SUM(START:END!H28)</f>
        <v>0</v>
      </c>
      <c r="I28" s="42">
        <f>SUM(START:END!I28)</f>
        <v>0</v>
      </c>
      <c r="J28" s="42">
        <f>SUM(START:END!J28)</f>
        <v>0</v>
      </c>
      <c r="K28" s="42">
        <f>SUM(START:END!K28)</f>
        <v>1</v>
      </c>
      <c r="L28" s="42">
        <f>SUM(START:END!L28)</f>
        <v>0</v>
      </c>
      <c r="M28" s="42">
        <f>SUM(START:END!M28)</f>
        <v>0</v>
      </c>
      <c r="N28" s="42">
        <f>SUM(START:END!N28)</f>
        <v>0</v>
      </c>
      <c r="O28" s="39" t="s">
        <v>72</v>
      </c>
      <c r="P28" s="54"/>
      <c r="Q28" s="50">
        <f>SUM(START:END!Q28)</f>
        <v>0</v>
      </c>
      <c r="R28" s="50">
        <f>SUM(START:END!R28)</f>
        <v>0</v>
      </c>
      <c r="S28" s="50">
        <f>SUM(START:END!S28)</f>
        <v>0</v>
      </c>
      <c r="T28" s="50">
        <f>SUM(START:END!T28)</f>
        <v>0</v>
      </c>
      <c r="U28" s="50">
        <f>SUM(START:END!U28)</f>
        <v>0</v>
      </c>
      <c r="V28" s="50">
        <f>SUM(START:END!V28)</f>
        <v>0</v>
      </c>
      <c r="W28" s="50">
        <f>SUM(START:END!W28)</f>
        <v>0</v>
      </c>
      <c r="X28" s="50">
        <f>SUM(START:END!X28)</f>
        <v>0</v>
      </c>
      <c r="Y28" s="50">
        <f t="shared" si="0"/>
        <v>1</v>
      </c>
    </row>
    <row r="29" spans="2:25" s="6" customFormat="1" ht="18.95" customHeight="1" thickBot="1" x14ac:dyDescent="0.35">
      <c r="B29" s="36"/>
      <c r="C29" s="68" t="s">
        <v>73</v>
      </c>
      <c r="D29" s="42"/>
      <c r="E29" s="42">
        <f>SUM(START:END!E29)</f>
        <v>0</v>
      </c>
      <c r="F29" s="42">
        <f>SUM(START:END!F29)</f>
        <v>0</v>
      </c>
      <c r="G29" s="42">
        <f>SUM(START:END!G29)</f>
        <v>0</v>
      </c>
      <c r="H29" s="42">
        <f>SUM(START:END!H29)</f>
        <v>0</v>
      </c>
      <c r="I29" s="42">
        <f>SUM(START:END!I29)</f>
        <v>0</v>
      </c>
      <c r="J29" s="42">
        <f>SUM(START:END!J29)</f>
        <v>0</v>
      </c>
      <c r="K29" s="42">
        <f>SUM(START:END!K29)</f>
        <v>1</v>
      </c>
      <c r="L29" s="42">
        <f>SUM(START:END!L29)</f>
        <v>0</v>
      </c>
      <c r="M29" s="42">
        <f>SUM(START:END!M29)</f>
        <v>0</v>
      </c>
      <c r="N29" s="42">
        <f>SUM(START:END!N29)</f>
        <v>0</v>
      </c>
      <c r="O29" s="39" t="s">
        <v>73</v>
      </c>
      <c r="P29" s="54"/>
      <c r="Q29" s="50">
        <f>SUM(START:END!Q29)</f>
        <v>0</v>
      </c>
      <c r="R29" s="50">
        <f>SUM(START:END!R29)</f>
        <v>0</v>
      </c>
      <c r="S29" s="50">
        <f>SUM(START:END!S29)</f>
        <v>0</v>
      </c>
      <c r="T29" s="50">
        <f>SUM(START:END!T29)</f>
        <v>0</v>
      </c>
      <c r="U29" s="50">
        <f>SUM(START:END!U29)</f>
        <v>0</v>
      </c>
      <c r="V29" s="50">
        <f>SUM(START:END!V29)</f>
        <v>0</v>
      </c>
      <c r="W29" s="50">
        <f>SUM(START:END!W29)</f>
        <v>0</v>
      </c>
      <c r="X29" s="50">
        <f>SUM(START:END!X29)</f>
        <v>0</v>
      </c>
      <c r="Y29" s="50">
        <f t="shared" si="0"/>
        <v>1</v>
      </c>
    </row>
    <row r="30" spans="2:25" s="6" customFormat="1" ht="18.95" customHeight="1" thickBot="1" x14ac:dyDescent="0.35">
      <c r="B30" s="36"/>
      <c r="C30" s="68" t="s">
        <v>74</v>
      </c>
      <c r="D30" s="42"/>
      <c r="E30" s="42">
        <f>SUM(START:END!E30)</f>
        <v>0</v>
      </c>
      <c r="F30" s="42">
        <f>SUM(START:END!F30)</f>
        <v>0</v>
      </c>
      <c r="G30" s="42">
        <f>SUM(START:END!G30)</f>
        <v>0</v>
      </c>
      <c r="H30" s="42">
        <f>SUM(START:END!H30)</f>
        <v>0</v>
      </c>
      <c r="I30" s="42">
        <f>SUM(START:END!I30)</f>
        <v>0</v>
      </c>
      <c r="J30" s="42">
        <f>SUM(START:END!J30)</f>
        <v>0</v>
      </c>
      <c r="K30" s="42">
        <f>SUM(START:END!K30)</f>
        <v>2</v>
      </c>
      <c r="L30" s="42">
        <f>SUM(START:END!L30)</f>
        <v>1</v>
      </c>
      <c r="M30" s="42">
        <f>SUM(START:END!M30)</f>
        <v>0</v>
      </c>
      <c r="N30" s="42">
        <f>SUM(START:END!N30)</f>
        <v>0</v>
      </c>
      <c r="O30" s="39" t="s">
        <v>74</v>
      </c>
      <c r="P30" s="54"/>
      <c r="Q30" s="50">
        <f>SUM(START:END!Q30)</f>
        <v>0</v>
      </c>
      <c r="R30" s="50">
        <f>SUM(START:END!R30)</f>
        <v>0</v>
      </c>
      <c r="S30" s="50">
        <f>SUM(START:END!S30)</f>
        <v>0</v>
      </c>
      <c r="T30" s="50">
        <f>SUM(START:END!T30)</f>
        <v>0</v>
      </c>
      <c r="U30" s="50">
        <f>SUM(START:END!U30)</f>
        <v>0</v>
      </c>
      <c r="V30" s="50">
        <f>SUM(START:END!V30)</f>
        <v>0</v>
      </c>
      <c r="W30" s="50">
        <f>SUM(START:END!W30)</f>
        <v>0</v>
      </c>
      <c r="X30" s="50">
        <f>SUM(START:END!X30)</f>
        <v>0</v>
      </c>
      <c r="Y30" s="50">
        <f t="shared" si="0"/>
        <v>3</v>
      </c>
    </row>
    <row r="31" spans="2:25" s="6" customFormat="1" ht="18.95" customHeight="1" thickBot="1" x14ac:dyDescent="0.35">
      <c r="B31" s="36"/>
      <c r="C31" s="68" t="s">
        <v>77</v>
      </c>
      <c r="D31" s="42"/>
      <c r="E31" s="42">
        <f>SUM(START:END!E31)</f>
        <v>0</v>
      </c>
      <c r="F31" s="42">
        <f>SUM(START:END!F31)</f>
        <v>0</v>
      </c>
      <c r="G31" s="42">
        <f>SUM(START:END!G31)</f>
        <v>0</v>
      </c>
      <c r="H31" s="42">
        <f>SUM(START:END!H31)</f>
        <v>0</v>
      </c>
      <c r="I31" s="42">
        <f>SUM(START:END!I31)</f>
        <v>0</v>
      </c>
      <c r="J31" s="42">
        <f>SUM(START:END!J31)</f>
        <v>0</v>
      </c>
      <c r="K31" s="42">
        <f>SUM(START:END!K31)</f>
        <v>0</v>
      </c>
      <c r="L31" s="42">
        <f>SUM(START:END!L31)</f>
        <v>1</v>
      </c>
      <c r="M31" s="42">
        <f>SUM(START:END!M31)</f>
        <v>0</v>
      </c>
      <c r="N31" s="42">
        <f>SUM(START:END!N31)</f>
        <v>0</v>
      </c>
      <c r="O31" s="39" t="s">
        <v>77</v>
      </c>
      <c r="P31" s="54"/>
      <c r="Q31" s="50">
        <f>SUM(START:END!Q31)</f>
        <v>0</v>
      </c>
      <c r="R31" s="50">
        <f>SUM(START:END!R31)</f>
        <v>0</v>
      </c>
      <c r="S31" s="50">
        <f>SUM(START:END!S31)</f>
        <v>0</v>
      </c>
      <c r="T31" s="50">
        <f>SUM(START:END!T31)</f>
        <v>0</v>
      </c>
      <c r="U31" s="50">
        <f>SUM(START:END!U31)</f>
        <v>0</v>
      </c>
      <c r="V31" s="50">
        <f>SUM(START:END!V31)</f>
        <v>0</v>
      </c>
      <c r="W31" s="50">
        <f>SUM(START:END!W31)</f>
        <v>0</v>
      </c>
      <c r="X31" s="50">
        <f>SUM(START:END!X31)</f>
        <v>0</v>
      </c>
      <c r="Y31" s="50">
        <f>SUM(L31:X31)</f>
        <v>1</v>
      </c>
    </row>
    <row r="32" spans="2:25" s="6" customFormat="1" ht="18.95" customHeight="1" thickBot="1" x14ac:dyDescent="0.35">
      <c r="B32" s="36"/>
      <c r="C32" s="68" t="s">
        <v>78</v>
      </c>
      <c r="D32" s="42"/>
      <c r="E32" s="42">
        <f>SUM(START:END!E32)</f>
        <v>0</v>
      </c>
      <c r="F32" s="42">
        <f>SUM(START:END!F32)</f>
        <v>0</v>
      </c>
      <c r="G32" s="42">
        <f>SUM(START:END!G32)</f>
        <v>0</v>
      </c>
      <c r="H32" s="42">
        <f>SUM(START:END!H32)</f>
        <v>0</v>
      </c>
      <c r="I32" s="42">
        <f>SUM(START:END!I32)</f>
        <v>0</v>
      </c>
      <c r="J32" s="42">
        <f>SUM(START:END!J32)</f>
        <v>0</v>
      </c>
      <c r="K32" s="42">
        <f>SUM(START:END!K32)</f>
        <v>0</v>
      </c>
      <c r="L32" s="42">
        <f>SUM(START:END!L32)</f>
        <v>1</v>
      </c>
      <c r="M32" s="42">
        <f>SUM(START:END!M32)</f>
        <v>0</v>
      </c>
      <c r="N32" s="42">
        <f>SUM(START:END!N32)</f>
        <v>0</v>
      </c>
      <c r="O32" s="39" t="s">
        <v>78</v>
      </c>
      <c r="P32" s="54"/>
      <c r="Q32" s="50">
        <f>SUM(START:END!Q32)</f>
        <v>0</v>
      </c>
      <c r="R32" s="50">
        <f>SUM(START:END!R32)</f>
        <v>0</v>
      </c>
      <c r="S32" s="50">
        <f>SUM(START:END!S32)</f>
        <v>0</v>
      </c>
      <c r="T32" s="50">
        <f>SUM(START:END!T32)</f>
        <v>0</v>
      </c>
      <c r="U32" s="50">
        <f>SUM(START:END!U32)</f>
        <v>0</v>
      </c>
      <c r="V32" s="50">
        <f>SUM(START:END!V32)</f>
        <v>0</v>
      </c>
      <c r="W32" s="50">
        <f>SUM(START:END!W32)</f>
        <v>0</v>
      </c>
      <c r="X32" s="50">
        <f>SUM(START:END!X32)</f>
        <v>0</v>
      </c>
      <c r="Y32" s="50">
        <f>SUM(L32:X32)</f>
        <v>1</v>
      </c>
    </row>
    <row r="33" spans="2:25" s="6" customFormat="1" ht="18.95" customHeight="1" thickBot="1" x14ac:dyDescent="0.35">
      <c r="B33" s="36"/>
      <c r="C33" s="68" t="s">
        <v>79</v>
      </c>
      <c r="D33" s="42"/>
      <c r="E33" s="42">
        <f>SUM(START:END!E33)</f>
        <v>0</v>
      </c>
      <c r="F33" s="42">
        <f>SUM(START:END!F33)</f>
        <v>0</v>
      </c>
      <c r="G33" s="42">
        <f>SUM(START:END!G33)</f>
        <v>0</v>
      </c>
      <c r="H33" s="42">
        <f>SUM(START:END!H33)</f>
        <v>0</v>
      </c>
      <c r="I33" s="42">
        <f>SUM(START:END!I33)</f>
        <v>0</v>
      </c>
      <c r="J33" s="42">
        <f>SUM(START:END!J33)</f>
        <v>0</v>
      </c>
      <c r="K33" s="42">
        <f>SUM(START:END!K33)</f>
        <v>0</v>
      </c>
      <c r="L33" s="42">
        <f>SUM(START:END!L33)</f>
        <v>1</v>
      </c>
      <c r="M33" s="42">
        <f>SUM(START:END!M33)</f>
        <v>0</v>
      </c>
      <c r="N33" s="42">
        <f>SUM(START:END!N33)</f>
        <v>0</v>
      </c>
      <c r="O33" s="39" t="s">
        <v>79</v>
      </c>
      <c r="P33" s="54"/>
      <c r="Q33" s="50">
        <f>SUM(START:END!Q33)</f>
        <v>0</v>
      </c>
      <c r="R33" s="50">
        <f>SUM(START:END!R33)</f>
        <v>0</v>
      </c>
      <c r="S33" s="50">
        <f>SUM(START:END!S33)</f>
        <v>0</v>
      </c>
      <c r="T33" s="50">
        <f>SUM(START:END!T33)</f>
        <v>0</v>
      </c>
      <c r="U33" s="50">
        <f>SUM(START:END!U33)</f>
        <v>0</v>
      </c>
      <c r="V33" s="50">
        <f>SUM(START:END!V33)</f>
        <v>0</v>
      </c>
      <c r="W33" s="50">
        <f>SUM(START:END!W33)</f>
        <v>0</v>
      </c>
      <c r="X33" s="50">
        <f>SUM(START:END!X33)</f>
        <v>0</v>
      </c>
      <c r="Y33" s="50">
        <f t="shared" ref="Y33:Y40" si="1">SUM(D33:X33)</f>
        <v>1</v>
      </c>
    </row>
    <row r="34" spans="2:25" s="6" customFormat="1" ht="18.95" customHeight="1" thickBot="1" x14ac:dyDescent="0.35">
      <c r="B34" s="36"/>
      <c r="C34" s="68" t="s">
        <v>80</v>
      </c>
      <c r="D34" s="42"/>
      <c r="E34" s="42">
        <f>SUM(START:END!E34)</f>
        <v>0</v>
      </c>
      <c r="F34" s="42">
        <f>SUM(START:END!F34)</f>
        <v>0</v>
      </c>
      <c r="G34" s="42">
        <f>SUM(START:END!G34)</f>
        <v>0</v>
      </c>
      <c r="H34" s="42">
        <f>SUM(START:END!H34)</f>
        <v>0</v>
      </c>
      <c r="I34" s="42">
        <f>SUM(START:END!I34)</f>
        <v>0</v>
      </c>
      <c r="J34" s="42">
        <f>SUM(START:END!J34)</f>
        <v>0</v>
      </c>
      <c r="K34" s="42">
        <f>SUM(START:END!K34)</f>
        <v>0</v>
      </c>
      <c r="L34" s="42">
        <f>SUM(START:END!L34)</f>
        <v>1</v>
      </c>
      <c r="M34" s="42">
        <f>SUM(START:END!M34)</f>
        <v>0</v>
      </c>
      <c r="N34" s="42">
        <f>SUM(START:END!N34)</f>
        <v>0</v>
      </c>
      <c r="O34" s="39" t="s">
        <v>80</v>
      </c>
      <c r="P34" s="54"/>
      <c r="Q34" s="50">
        <f>SUM(START:END!Q34)</f>
        <v>0</v>
      </c>
      <c r="R34" s="50">
        <f>SUM(START:END!R34)</f>
        <v>0</v>
      </c>
      <c r="S34" s="50">
        <f>SUM(START:END!S34)</f>
        <v>0</v>
      </c>
      <c r="T34" s="50">
        <f>SUM(START:END!T34)</f>
        <v>0</v>
      </c>
      <c r="U34" s="50">
        <f>SUM(START:END!U34)</f>
        <v>0</v>
      </c>
      <c r="V34" s="50">
        <f>SUM(START:END!V34)</f>
        <v>0</v>
      </c>
      <c r="W34" s="50">
        <f>SUM(START:END!W34)</f>
        <v>0</v>
      </c>
      <c r="X34" s="50">
        <f>SUM(START:END!X34)</f>
        <v>0</v>
      </c>
      <c r="Y34" s="50">
        <f t="shared" si="1"/>
        <v>1</v>
      </c>
    </row>
    <row r="35" spans="2:25" s="6" customFormat="1" ht="18.95" customHeight="1" thickBot="1" x14ac:dyDescent="0.35">
      <c r="B35" s="36"/>
      <c r="C35" s="68" t="s">
        <v>81</v>
      </c>
      <c r="D35" s="42"/>
      <c r="E35" s="42">
        <f>SUM(START:END!E35)</f>
        <v>0</v>
      </c>
      <c r="F35" s="42">
        <f>SUM(START:END!F35)</f>
        <v>0</v>
      </c>
      <c r="G35" s="42">
        <f>SUM(START:END!G35)</f>
        <v>0</v>
      </c>
      <c r="H35" s="42">
        <f>SUM(START:END!H35)</f>
        <v>0</v>
      </c>
      <c r="I35" s="42">
        <f>SUM(START:END!I35)</f>
        <v>0</v>
      </c>
      <c r="J35" s="42">
        <f>SUM(START:END!J35)</f>
        <v>0</v>
      </c>
      <c r="K35" s="42">
        <f>SUM(START:END!K35)</f>
        <v>0</v>
      </c>
      <c r="L35" s="42">
        <f>SUM(START:END!L35)</f>
        <v>1</v>
      </c>
      <c r="M35" s="42">
        <f>SUM(START:END!M35)</f>
        <v>0</v>
      </c>
      <c r="N35" s="42">
        <f>SUM(START:END!N35)</f>
        <v>1</v>
      </c>
      <c r="O35" s="39" t="s">
        <v>81</v>
      </c>
      <c r="P35" s="54"/>
      <c r="Q35" s="50">
        <f>SUM(START:END!Q35)</f>
        <v>0</v>
      </c>
      <c r="R35" s="50">
        <f>SUM(START:END!R35)</f>
        <v>0</v>
      </c>
      <c r="S35" s="50">
        <f>SUM(START:END!S35)</f>
        <v>0</v>
      </c>
      <c r="T35" s="50">
        <f>SUM(START:END!T35)</f>
        <v>0</v>
      </c>
      <c r="U35" s="50">
        <f>SUM(START:END!U35)</f>
        <v>0</v>
      </c>
      <c r="V35" s="50">
        <f>SUM(START:END!V35)</f>
        <v>0</v>
      </c>
      <c r="W35" s="50">
        <f>SUM(START:END!W35)</f>
        <v>0</v>
      </c>
      <c r="X35" s="50">
        <f>SUM(START:END!X35)</f>
        <v>0</v>
      </c>
      <c r="Y35" s="50">
        <f t="shared" si="1"/>
        <v>2</v>
      </c>
    </row>
    <row r="36" spans="2:25" s="6" customFormat="1" ht="18.95" customHeight="1" thickBot="1" x14ac:dyDescent="0.35">
      <c r="B36" s="36"/>
      <c r="C36" s="68" t="s">
        <v>82</v>
      </c>
      <c r="D36" s="42"/>
      <c r="E36" s="42">
        <f>SUM(START:END!E36)</f>
        <v>0</v>
      </c>
      <c r="F36" s="42">
        <f>SUM(START:END!F36)</f>
        <v>0</v>
      </c>
      <c r="G36" s="42">
        <f>SUM(START:END!G36)</f>
        <v>0</v>
      </c>
      <c r="H36" s="42">
        <f>SUM(START:END!H36)</f>
        <v>0</v>
      </c>
      <c r="I36" s="42">
        <f>SUM(START:END!I36)</f>
        <v>0</v>
      </c>
      <c r="J36" s="42">
        <f>SUM(START:END!J36)</f>
        <v>0</v>
      </c>
      <c r="K36" s="42">
        <f>SUM(START:END!K36)</f>
        <v>0</v>
      </c>
      <c r="L36" s="42">
        <f>SUM(START:END!L36)</f>
        <v>1</v>
      </c>
      <c r="M36" s="42">
        <f>SUM(START:END!M36)</f>
        <v>0</v>
      </c>
      <c r="N36" s="42">
        <f>SUM(START:END!N36)</f>
        <v>0</v>
      </c>
      <c r="O36" s="39" t="s">
        <v>82</v>
      </c>
      <c r="P36" s="54"/>
      <c r="Q36" s="50">
        <f>SUM(START:END!Q36)</f>
        <v>0</v>
      </c>
      <c r="R36" s="50">
        <f>SUM(START:END!R36)</f>
        <v>0</v>
      </c>
      <c r="S36" s="50">
        <f>SUM(START:END!S36)</f>
        <v>0</v>
      </c>
      <c r="T36" s="50">
        <f>SUM(START:END!T36)</f>
        <v>0</v>
      </c>
      <c r="U36" s="50">
        <f>SUM(START:END!U36)</f>
        <v>0</v>
      </c>
      <c r="V36" s="50">
        <f>SUM(START:END!V36)</f>
        <v>0</v>
      </c>
      <c r="W36" s="50">
        <f>SUM(START:END!W36)</f>
        <v>0</v>
      </c>
      <c r="X36" s="50">
        <f>SUM(START:END!X36)</f>
        <v>0</v>
      </c>
      <c r="Y36" s="50">
        <f t="shared" si="1"/>
        <v>1</v>
      </c>
    </row>
    <row r="37" spans="2:25" s="6" customFormat="1" ht="18.95" customHeight="1" thickBot="1" x14ac:dyDescent="0.35">
      <c r="B37" s="36"/>
      <c r="C37" s="68" t="s">
        <v>84</v>
      </c>
      <c r="D37" s="42"/>
      <c r="E37" s="42">
        <f>SUM(START:END!E37)</f>
        <v>0</v>
      </c>
      <c r="F37" s="42">
        <f>SUM(START:END!F37)</f>
        <v>0</v>
      </c>
      <c r="G37" s="42">
        <f>SUM(START:END!G37)</f>
        <v>0</v>
      </c>
      <c r="H37" s="42">
        <f>SUM(START:END!H37)</f>
        <v>0</v>
      </c>
      <c r="I37" s="42">
        <f>SUM(START:END!I37)</f>
        <v>0</v>
      </c>
      <c r="J37" s="42">
        <f>SUM(START:END!J37)</f>
        <v>0</v>
      </c>
      <c r="K37" s="42">
        <f>SUM(START:END!K37)</f>
        <v>0</v>
      </c>
      <c r="L37" s="42">
        <f>SUM(START:END!L37)</f>
        <v>0</v>
      </c>
      <c r="M37" s="42">
        <f>SUM(START:END!M37)</f>
        <v>1</v>
      </c>
      <c r="N37" s="42">
        <f>SUM(START:END!N37)</f>
        <v>0</v>
      </c>
      <c r="O37" s="39" t="s">
        <v>84</v>
      </c>
      <c r="P37" s="54"/>
      <c r="Q37" s="50">
        <f>SUM(START:END!Q37)</f>
        <v>0</v>
      </c>
      <c r="R37" s="50">
        <f>SUM(START:END!R37)</f>
        <v>0</v>
      </c>
      <c r="S37" s="50">
        <f>SUM(START:END!S37)</f>
        <v>0</v>
      </c>
      <c r="T37" s="50">
        <f>SUM(START:END!T37)</f>
        <v>0</v>
      </c>
      <c r="U37" s="50">
        <f>SUM(START:END!U37)</f>
        <v>0</v>
      </c>
      <c r="V37" s="50">
        <f>SUM(START:END!V37)</f>
        <v>0</v>
      </c>
      <c r="W37" s="50">
        <f>SUM(START:END!W37)</f>
        <v>0</v>
      </c>
      <c r="X37" s="50">
        <f>SUM(START:END!X37)</f>
        <v>0</v>
      </c>
      <c r="Y37" s="50">
        <f t="shared" si="1"/>
        <v>1</v>
      </c>
    </row>
    <row r="38" spans="2:25" s="6" customFormat="1" ht="18.95" customHeight="1" thickBot="1" x14ac:dyDescent="0.35">
      <c r="B38" s="36"/>
      <c r="C38" s="68" t="s">
        <v>85</v>
      </c>
      <c r="D38" s="42"/>
      <c r="E38" s="42">
        <f>SUM(START:END!E38)</f>
        <v>0</v>
      </c>
      <c r="F38" s="42">
        <f>SUM(START:END!F38)</f>
        <v>0</v>
      </c>
      <c r="G38" s="42">
        <f>SUM(START:END!G38)</f>
        <v>0</v>
      </c>
      <c r="H38" s="42">
        <f>SUM(START:END!H38)</f>
        <v>0</v>
      </c>
      <c r="I38" s="42">
        <f>SUM(START:END!I38)</f>
        <v>0</v>
      </c>
      <c r="J38" s="42">
        <f>SUM(START:END!J38)</f>
        <v>1</v>
      </c>
      <c r="K38" s="42">
        <f>SUM(START:END!K38)</f>
        <v>0</v>
      </c>
      <c r="L38" s="42">
        <f>SUM(START:END!L38)</f>
        <v>0</v>
      </c>
      <c r="M38" s="42">
        <f>SUM(START:END!M38)</f>
        <v>0</v>
      </c>
      <c r="N38" s="42">
        <f>SUM(START:END!N38)</f>
        <v>2</v>
      </c>
      <c r="O38" s="39" t="s">
        <v>85</v>
      </c>
      <c r="P38" s="54"/>
      <c r="Q38" s="50">
        <f>SUM(START:END!Q38)</f>
        <v>0</v>
      </c>
      <c r="R38" s="50">
        <f>SUM(START:END!R38)</f>
        <v>0</v>
      </c>
      <c r="S38" s="50">
        <f>SUM(START:END!S38)</f>
        <v>0</v>
      </c>
      <c r="T38" s="50">
        <f>SUM(START:END!T38)</f>
        <v>0</v>
      </c>
      <c r="U38" s="50">
        <f>SUM(START:END!U38)</f>
        <v>0</v>
      </c>
      <c r="V38" s="50">
        <f>SUM(START:END!V38)</f>
        <v>0</v>
      </c>
      <c r="W38" s="50">
        <f>SUM(START:END!W38)</f>
        <v>0</v>
      </c>
      <c r="X38" s="50">
        <f>SUM(START:END!X38)</f>
        <v>0</v>
      </c>
      <c r="Y38" s="50">
        <f t="shared" si="1"/>
        <v>3</v>
      </c>
    </row>
    <row r="39" spans="2:25" s="6" customFormat="1" ht="18.95" customHeight="1" thickBot="1" x14ac:dyDescent="0.35">
      <c r="B39" s="36"/>
      <c r="C39" s="68" t="s">
        <v>86</v>
      </c>
      <c r="D39" s="42"/>
      <c r="E39" s="42">
        <f>SUM(START:END!E39)</f>
        <v>0</v>
      </c>
      <c r="F39" s="42">
        <f>SUM(START:END!F39)</f>
        <v>0</v>
      </c>
      <c r="G39" s="42">
        <f>SUM(START:END!G39)</f>
        <v>0</v>
      </c>
      <c r="H39" s="42">
        <f>SUM(START:END!H39)</f>
        <v>0</v>
      </c>
      <c r="I39" s="42">
        <f>SUM(START:END!I39)</f>
        <v>0</v>
      </c>
      <c r="J39" s="42">
        <f>SUM(START:END!J39)</f>
        <v>0</v>
      </c>
      <c r="K39" s="42">
        <f>SUM(START:END!K39)</f>
        <v>0</v>
      </c>
      <c r="L39" s="42">
        <f>SUM(START:END!L39)</f>
        <v>0</v>
      </c>
      <c r="M39" s="42">
        <f>SUM(START:END!M39)</f>
        <v>0</v>
      </c>
      <c r="N39" s="42">
        <f>SUM(START:END!N39)</f>
        <v>0</v>
      </c>
      <c r="O39" s="39" t="s">
        <v>86</v>
      </c>
      <c r="P39" s="54"/>
      <c r="Q39" s="50">
        <f>SUM(START:END!Q39)</f>
        <v>1</v>
      </c>
      <c r="R39" s="50">
        <f>SUM(START:END!R39)</f>
        <v>0</v>
      </c>
      <c r="S39" s="50">
        <f>SUM(START:END!S39)</f>
        <v>0</v>
      </c>
      <c r="T39" s="50">
        <f>SUM(START:END!T39)</f>
        <v>0</v>
      </c>
      <c r="U39" s="50">
        <f>SUM(START:END!U39)</f>
        <v>0</v>
      </c>
      <c r="V39" s="50">
        <f>SUM(START:END!V39)</f>
        <v>0</v>
      </c>
      <c r="W39" s="50">
        <f>SUM(START:END!W39)</f>
        <v>0</v>
      </c>
      <c r="X39" s="50">
        <f>SUM(START:END!X39)</f>
        <v>0</v>
      </c>
      <c r="Y39" s="50">
        <f t="shared" si="1"/>
        <v>1</v>
      </c>
    </row>
    <row r="40" spans="2:25" s="6" customFormat="1" ht="18.95" customHeight="1" thickBot="1" x14ac:dyDescent="0.35">
      <c r="B40" s="36"/>
      <c r="C40" s="68" t="s">
        <v>87</v>
      </c>
      <c r="D40" s="42"/>
      <c r="E40" s="42">
        <f>SUM(START:END!E40)</f>
        <v>0</v>
      </c>
      <c r="F40" s="42">
        <f>SUM(START:END!F40)</f>
        <v>0</v>
      </c>
      <c r="G40" s="42">
        <f>SUM(START:END!G40)</f>
        <v>0</v>
      </c>
      <c r="H40" s="42">
        <f>SUM(START:END!H40)</f>
        <v>0</v>
      </c>
      <c r="I40" s="42">
        <f>SUM(START:END!I40)</f>
        <v>0</v>
      </c>
      <c r="J40" s="42">
        <v>0</v>
      </c>
      <c r="K40" s="42">
        <f>SUM(START:END!K40)</f>
        <v>0</v>
      </c>
      <c r="L40" s="42">
        <f>SUM(START:END!L40)</f>
        <v>0</v>
      </c>
      <c r="M40" s="42">
        <f>SUM(START:END!M40)</f>
        <v>0</v>
      </c>
      <c r="N40" s="42">
        <f>SUM(START:END!N40)</f>
        <v>0</v>
      </c>
      <c r="O40" s="39" t="s">
        <v>87</v>
      </c>
      <c r="P40" s="54"/>
      <c r="Q40" s="50">
        <f>SUM(START:END!Q40)</f>
        <v>1</v>
      </c>
      <c r="R40" s="50">
        <f>SUM(START:END!R40)</f>
        <v>0</v>
      </c>
      <c r="S40" s="50">
        <f>SUM(START:END!S40)</f>
        <v>0</v>
      </c>
      <c r="T40" s="50">
        <f>SUM(START:END!T40)</f>
        <v>0</v>
      </c>
      <c r="U40" s="50">
        <f>SUM(START:END!U40)</f>
        <v>0</v>
      </c>
      <c r="V40" s="50">
        <f>SUM(START:END!V40)</f>
        <v>0</v>
      </c>
      <c r="W40" s="50">
        <f>SUM(START:END!W40)</f>
        <v>0</v>
      </c>
      <c r="X40" s="50">
        <f>SUM(START:END!X40)</f>
        <v>0</v>
      </c>
      <c r="Y40" s="50">
        <f t="shared" si="1"/>
        <v>1</v>
      </c>
    </row>
    <row r="41" spans="2:25" ht="27" x14ac:dyDescent="0.35">
      <c r="B41" s="22" t="s">
        <v>41</v>
      </c>
      <c r="C41" s="78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70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2:25" ht="28.5" thickBot="1" x14ac:dyDescent="0.45">
      <c r="B42" s="1" t="s">
        <v>44</v>
      </c>
      <c r="C42" s="78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  <c r="O42" s="70"/>
      <c r="P42" s="1"/>
      <c r="Q42" s="1"/>
      <c r="R42" s="2"/>
      <c r="S42" s="1"/>
      <c r="T42" s="1"/>
      <c r="U42" s="1"/>
      <c r="V42" s="1"/>
      <c r="W42" s="1"/>
      <c r="X42" s="1"/>
      <c r="Y42" s="1"/>
    </row>
    <row r="43" spans="2:25" s="88" customFormat="1" ht="157.5" thickBot="1" x14ac:dyDescent="0.35">
      <c r="B43" s="86" t="s">
        <v>0</v>
      </c>
      <c r="C43" s="86" t="s">
        <v>1</v>
      </c>
      <c r="D43" s="89" t="s">
        <v>2</v>
      </c>
      <c r="E43" s="89" t="s">
        <v>3</v>
      </c>
      <c r="F43" s="89" t="s">
        <v>4</v>
      </c>
      <c r="G43" s="89" t="s">
        <v>5</v>
      </c>
      <c r="H43" s="89" t="s">
        <v>6</v>
      </c>
      <c r="I43" s="89" t="s">
        <v>7</v>
      </c>
      <c r="J43" s="89" t="s">
        <v>23</v>
      </c>
      <c r="K43" s="89" t="s">
        <v>24</v>
      </c>
      <c r="L43" s="89" t="s">
        <v>25</v>
      </c>
      <c r="M43" s="90" t="s">
        <v>26</v>
      </c>
      <c r="N43" s="89" t="s">
        <v>27</v>
      </c>
      <c r="O43" s="87" t="s">
        <v>1</v>
      </c>
      <c r="P43" s="89" t="s">
        <v>2</v>
      </c>
      <c r="Q43" s="89" t="s">
        <v>28</v>
      </c>
      <c r="R43" s="89" t="s">
        <v>8</v>
      </c>
      <c r="S43" s="89" t="s">
        <v>9</v>
      </c>
      <c r="T43" s="89" t="s">
        <v>10</v>
      </c>
      <c r="U43" s="89" t="s">
        <v>29</v>
      </c>
      <c r="V43" s="89" t="s">
        <v>11</v>
      </c>
      <c r="W43" s="89" t="s">
        <v>12</v>
      </c>
      <c r="X43" s="89" t="s">
        <v>13</v>
      </c>
      <c r="Y43" s="89" t="s">
        <v>14</v>
      </c>
    </row>
    <row r="44" spans="2:25" s="6" customFormat="1" ht="18.95" customHeight="1" thickBot="1" x14ac:dyDescent="0.35">
      <c r="B44" s="30" t="s">
        <v>160</v>
      </c>
      <c r="C44" s="80"/>
      <c r="D44" s="61"/>
      <c r="E44" s="62"/>
      <c r="F44" s="62"/>
      <c r="G44" s="61"/>
      <c r="H44" s="61"/>
      <c r="I44" s="61"/>
      <c r="J44" s="61"/>
      <c r="K44" s="61"/>
      <c r="L44" s="61"/>
      <c r="M44" s="61"/>
      <c r="N44" s="63"/>
      <c r="O44" s="71" t="s">
        <v>45</v>
      </c>
      <c r="P44" s="34"/>
      <c r="Q44" s="31"/>
      <c r="R44" s="31"/>
      <c r="S44" s="32"/>
      <c r="T44" s="31"/>
      <c r="U44" s="31"/>
      <c r="V44" s="31"/>
      <c r="W44" s="31"/>
      <c r="X44" s="31"/>
      <c r="Y44" s="35"/>
    </row>
    <row r="45" spans="2:25" s="6" customFormat="1" ht="18.95" customHeight="1" thickBot="1" x14ac:dyDescent="0.35">
      <c r="B45" s="36"/>
      <c r="C45" s="68" t="s">
        <v>106</v>
      </c>
      <c r="D45" s="40"/>
      <c r="E45" s="40">
        <f>SUM(START:END!E45)</f>
        <v>0</v>
      </c>
      <c r="F45" s="40">
        <f>SUM(START:END!F45)</f>
        <v>0</v>
      </c>
      <c r="G45" s="40">
        <f>SUM(START:END!G45)</f>
        <v>0</v>
      </c>
      <c r="H45" s="40">
        <f>SUM(START:END!H45)</f>
        <v>0</v>
      </c>
      <c r="I45" s="40">
        <f>SUM(START:END!I45)</f>
        <v>1</v>
      </c>
      <c r="J45" s="40">
        <f>SUM(START:END!J45)</f>
        <v>0</v>
      </c>
      <c r="K45" s="40">
        <f>SUM(START:END!K45)</f>
        <v>0</v>
      </c>
      <c r="L45" s="40">
        <f>SUM(START:END!L45)</f>
        <v>0</v>
      </c>
      <c r="M45" s="40">
        <f>SUM(START:END!M45)</f>
        <v>0</v>
      </c>
      <c r="N45" s="40">
        <f>SUM(START:END!N45)</f>
        <v>0</v>
      </c>
      <c r="O45" s="39" t="s">
        <v>106</v>
      </c>
      <c r="P45" s="54"/>
      <c r="Q45" s="50">
        <f>SUM(START:END!Q45)</f>
        <v>0</v>
      </c>
      <c r="R45" s="50">
        <f>SUM(START:END!R45)</f>
        <v>0</v>
      </c>
      <c r="S45" s="50">
        <f>SUM(START:END!S45)</f>
        <v>0</v>
      </c>
      <c r="T45" s="50">
        <f>SUM(START:END!T45)</f>
        <v>0</v>
      </c>
      <c r="U45" s="50">
        <f>SUM(START:END!U45)</f>
        <v>0</v>
      </c>
      <c r="V45" s="50">
        <f>SUM(START:END!V45)</f>
        <v>0</v>
      </c>
      <c r="W45" s="50">
        <f>SUM(START:END!W45)</f>
        <v>0</v>
      </c>
      <c r="X45" s="49">
        <f>SUM(START:END!X45)</f>
        <v>0</v>
      </c>
      <c r="Y45" s="50">
        <f t="shared" ref="Y45:Y50" si="2">SUM(E45:X45)</f>
        <v>1</v>
      </c>
    </row>
    <row r="46" spans="2:25" s="6" customFormat="1" ht="18.95" customHeight="1" thickBot="1" x14ac:dyDescent="0.35">
      <c r="B46" s="36"/>
      <c r="C46" s="68" t="s">
        <v>88</v>
      </c>
      <c r="D46" s="40"/>
      <c r="E46" s="40">
        <f>SUM(START:END!E46)</f>
        <v>0</v>
      </c>
      <c r="F46" s="40">
        <f>SUM(START:END!F46)</f>
        <v>0</v>
      </c>
      <c r="G46" s="40">
        <f>SUM(START:END!G46)</f>
        <v>0</v>
      </c>
      <c r="H46" s="40">
        <f>SUM(START:END!H46)</f>
        <v>0</v>
      </c>
      <c r="I46" s="40">
        <f>SUM(START:END!I46)</f>
        <v>0</v>
      </c>
      <c r="J46" s="40">
        <f>SUM(START:END!J46)</f>
        <v>0</v>
      </c>
      <c r="K46" s="40">
        <f>SUM(START:END!K46)</f>
        <v>0</v>
      </c>
      <c r="L46" s="40">
        <f>SUM(START:END!L46)</f>
        <v>0</v>
      </c>
      <c r="M46" s="40">
        <f>SUM(START:END!M46)</f>
        <v>0</v>
      </c>
      <c r="N46" s="40">
        <f>SUM(START:END!N46)</f>
        <v>0</v>
      </c>
      <c r="O46" s="39" t="s">
        <v>88</v>
      </c>
      <c r="P46" s="54"/>
      <c r="Q46" s="50">
        <f>SUM(START:END!Q46)</f>
        <v>1</v>
      </c>
      <c r="R46" s="50">
        <f>SUM(START:END!R46)</f>
        <v>0</v>
      </c>
      <c r="S46" s="50">
        <f>SUM(START:END!S46)</f>
        <v>0</v>
      </c>
      <c r="T46" s="50">
        <f>SUM(START:END!T46)</f>
        <v>0</v>
      </c>
      <c r="U46" s="50">
        <f>SUM(START:END!U46)</f>
        <v>0</v>
      </c>
      <c r="V46" s="50">
        <f>SUM(START:END!V46)</f>
        <v>0</v>
      </c>
      <c r="W46" s="50">
        <f>SUM(START:END!W46)</f>
        <v>0</v>
      </c>
      <c r="X46" s="49">
        <f>SUM(START:END!X46)</f>
        <v>0</v>
      </c>
      <c r="Y46" s="50">
        <f t="shared" si="2"/>
        <v>1</v>
      </c>
    </row>
    <row r="47" spans="2:25" s="6" customFormat="1" ht="18.95" customHeight="1" thickBot="1" x14ac:dyDescent="0.35">
      <c r="B47" s="36"/>
      <c r="C47" s="68" t="s">
        <v>89</v>
      </c>
      <c r="D47" s="40"/>
      <c r="E47" s="40">
        <f>SUM(START:END!E47)</f>
        <v>0</v>
      </c>
      <c r="F47" s="40">
        <f>SUM(START:END!F47)</f>
        <v>0</v>
      </c>
      <c r="G47" s="40">
        <f>SUM(START:END!G47)</f>
        <v>0</v>
      </c>
      <c r="H47" s="40">
        <f>SUM(START:END!H47)</f>
        <v>0</v>
      </c>
      <c r="I47" s="40">
        <f>SUM(START:END!I47)</f>
        <v>0</v>
      </c>
      <c r="J47" s="40">
        <f>SUM(START:END!J47)</f>
        <v>0</v>
      </c>
      <c r="K47" s="40">
        <f>SUM(START:END!K47)</f>
        <v>0</v>
      </c>
      <c r="L47" s="40">
        <f>SUM(START:END!L47)</f>
        <v>0</v>
      </c>
      <c r="M47" s="40">
        <f>SUM(START:END!M47)</f>
        <v>0</v>
      </c>
      <c r="N47" s="40">
        <f>SUM(START:END!N47)</f>
        <v>0</v>
      </c>
      <c r="O47" s="39" t="s">
        <v>89</v>
      </c>
      <c r="P47" s="54"/>
      <c r="Q47" s="50">
        <f>SUM(START:END!Q47)</f>
        <v>1</v>
      </c>
      <c r="R47" s="50">
        <f>SUM(START:END!R47)</f>
        <v>0</v>
      </c>
      <c r="S47" s="50">
        <f>SUM(START:END!S47)</f>
        <v>0</v>
      </c>
      <c r="T47" s="50">
        <f>SUM(START:END!T47)</f>
        <v>0</v>
      </c>
      <c r="U47" s="50">
        <f>SUM(START:END!U47)</f>
        <v>0</v>
      </c>
      <c r="V47" s="50">
        <f>SUM(START:END!V47)</f>
        <v>0</v>
      </c>
      <c r="W47" s="50">
        <f>SUM(START:END!W47)</f>
        <v>0</v>
      </c>
      <c r="X47" s="49">
        <f>SUM(START:END!X47)</f>
        <v>0</v>
      </c>
      <c r="Y47" s="50">
        <f t="shared" si="2"/>
        <v>1</v>
      </c>
    </row>
    <row r="48" spans="2:25" s="6" customFormat="1" ht="18.95" customHeight="1" thickBot="1" x14ac:dyDescent="0.35">
      <c r="B48" s="36"/>
      <c r="C48" s="68" t="s">
        <v>90</v>
      </c>
      <c r="D48" s="40"/>
      <c r="E48" s="40">
        <f>SUM(START:END!E48)</f>
        <v>0</v>
      </c>
      <c r="F48" s="40">
        <f>SUM(START:END!F48)</f>
        <v>0</v>
      </c>
      <c r="G48" s="40">
        <f>SUM(START:END!G48)</f>
        <v>0</v>
      </c>
      <c r="H48" s="40">
        <f>SUM(START:END!H48)</f>
        <v>0</v>
      </c>
      <c r="I48" s="40">
        <f>SUM(START:END!I48)</f>
        <v>0</v>
      </c>
      <c r="J48" s="40">
        <f>SUM(START:END!J48)</f>
        <v>0</v>
      </c>
      <c r="K48" s="40">
        <f>SUM(START:END!K48)</f>
        <v>0</v>
      </c>
      <c r="L48" s="40">
        <f>SUM(START:END!L48)</f>
        <v>0</v>
      </c>
      <c r="M48" s="40">
        <f>SUM(START:END!M48)</f>
        <v>0</v>
      </c>
      <c r="N48" s="40">
        <f>SUM(START:END!N48)</f>
        <v>0</v>
      </c>
      <c r="O48" s="39" t="s">
        <v>90</v>
      </c>
      <c r="P48" s="54"/>
      <c r="Q48" s="50">
        <f>SUM(START:END!Q48)</f>
        <v>0</v>
      </c>
      <c r="R48" s="50">
        <f>SUM(START:END!R48)</f>
        <v>0</v>
      </c>
      <c r="S48" s="50">
        <f>SUM(START:END!S48)</f>
        <v>1</v>
      </c>
      <c r="T48" s="50">
        <f>SUM(START:END!T48)</f>
        <v>0</v>
      </c>
      <c r="U48" s="50">
        <f>SUM(START:END!U48)</f>
        <v>0</v>
      </c>
      <c r="V48" s="50">
        <f>SUM(START:END!V48)</f>
        <v>0</v>
      </c>
      <c r="W48" s="50">
        <f>SUM(START:END!W48)</f>
        <v>0</v>
      </c>
      <c r="X48" s="49">
        <f>SUM(START:END!X48)</f>
        <v>0</v>
      </c>
      <c r="Y48" s="50">
        <f t="shared" si="2"/>
        <v>1</v>
      </c>
    </row>
    <row r="49" spans="2:25" s="6" customFormat="1" ht="18.95" customHeight="1" thickBot="1" x14ac:dyDescent="0.35">
      <c r="B49" s="36"/>
      <c r="C49" s="68" t="s">
        <v>91</v>
      </c>
      <c r="D49" s="40"/>
      <c r="E49" s="40">
        <f>SUM(START:END!E49)</f>
        <v>0</v>
      </c>
      <c r="F49" s="40">
        <f>SUM(START:END!F49)</f>
        <v>0</v>
      </c>
      <c r="G49" s="40">
        <f>SUM(START:END!G49)</f>
        <v>0</v>
      </c>
      <c r="H49" s="40">
        <f>SUM(START:END!H49)</f>
        <v>0</v>
      </c>
      <c r="I49" s="40">
        <f>SUM(START:END!I49)</f>
        <v>0</v>
      </c>
      <c r="J49" s="40">
        <f>SUM(START:END!J49)</f>
        <v>0</v>
      </c>
      <c r="K49" s="40">
        <f>SUM(START:END!K49)</f>
        <v>0</v>
      </c>
      <c r="L49" s="40">
        <f>SUM(START:END!L49)</f>
        <v>0</v>
      </c>
      <c r="M49" s="40">
        <f>SUM(START:END!M49)</f>
        <v>0</v>
      </c>
      <c r="N49" s="40">
        <f>SUM(START:END!N49)</f>
        <v>0</v>
      </c>
      <c r="O49" s="39" t="s">
        <v>91</v>
      </c>
      <c r="P49" s="54"/>
      <c r="Q49" s="50">
        <f>SUM(START:END!Q49)</f>
        <v>0</v>
      </c>
      <c r="R49" s="50">
        <f>SUM(START:END!R49)</f>
        <v>0</v>
      </c>
      <c r="S49" s="50">
        <f>SUM(START:END!S49)</f>
        <v>1</v>
      </c>
      <c r="T49" s="50">
        <f>SUM(START:END!T49)</f>
        <v>0</v>
      </c>
      <c r="U49" s="50">
        <f>SUM(START:END!U49)</f>
        <v>0</v>
      </c>
      <c r="V49" s="50">
        <f>SUM(START:END!V49)</f>
        <v>0</v>
      </c>
      <c r="W49" s="50">
        <f>SUM(START:END!W49)</f>
        <v>0</v>
      </c>
      <c r="X49" s="49">
        <f>SUM(START:END!X49)</f>
        <v>0</v>
      </c>
      <c r="Y49" s="50">
        <f t="shared" si="2"/>
        <v>1</v>
      </c>
    </row>
    <row r="50" spans="2:25" s="6" customFormat="1" ht="18.95" customHeight="1" thickBot="1" x14ac:dyDescent="0.35">
      <c r="B50" s="36"/>
      <c r="C50" s="68" t="s">
        <v>92</v>
      </c>
      <c r="D50" s="40"/>
      <c r="E50" s="40">
        <f>SUM(START:END!E50)</f>
        <v>0</v>
      </c>
      <c r="F50" s="40">
        <f>SUM(START:END!F50)</f>
        <v>0</v>
      </c>
      <c r="G50" s="40">
        <f>SUM(START:END!G50)</f>
        <v>0</v>
      </c>
      <c r="H50" s="40">
        <f>SUM(START:END!H50)</f>
        <v>0</v>
      </c>
      <c r="I50" s="40">
        <f>SUM(START:END!I50)</f>
        <v>0</v>
      </c>
      <c r="J50" s="40">
        <f>SUM(START:END!J50)</f>
        <v>0</v>
      </c>
      <c r="K50" s="40">
        <f>SUM(START:END!K50)</f>
        <v>0</v>
      </c>
      <c r="L50" s="40">
        <f>SUM(START:END!L50)</f>
        <v>0</v>
      </c>
      <c r="M50" s="40">
        <f>SUM(START:END!M50)</f>
        <v>0</v>
      </c>
      <c r="N50" s="40">
        <f>SUM(START:END!N50)</f>
        <v>0</v>
      </c>
      <c r="O50" s="39" t="s">
        <v>92</v>
      </c>
      <c r="P50" s="54"/>
      <c r="Q50" s="50">
        <f>SUM(START:END!Q50)</f>
        <v>0</v>
      </c>
      <c r="R50" s="50">
        <f>SUM(START:END!R50)</f>
        <v>0</v>
      </c>
      <c r="S50" s="50">
        <f>SUM(START:END!S50)</f>
        <v>1</v>
      </c>
      <c r="T50" s="50">
        <f>SUM(START:END!T50)</f>
        <v>0</v>
      </c>
      <c r="U50" s="50">
        <f>SUM(START:END!U50)</f>
        <v>0</v>
      </c>
      <c r="V50" s="50">
        <f>SUM(START:END!V50)</f>
        <v>0</v>
      </c>
      <c r="W50" s="50">
        <f>SUM(START:END!W50)</f>
        <v>0</v>
      </c>
      <c r="X50" s="49">
        <f>SUM(START:END!X50)</f>
        <v>0</v>
      </c>
      <c r="Y50" s="50">
        <f t="shared" si="2"/>
        <v>1</v>
      </c>
    </row>
    <row r="51" spans="2:25" s="6" customFormat="1" ht="18.95" customHeight="1" thickBot="1" x14ac:dyDescent="0.35">
      <c r="B51" s="36"/>
      <c r="C51" s="68" t="s">
        <v>93</v>
      </c>
      <c r="D51" s="40"/>
      <c r="E51" s="40">
        <f>SUM(START:END!E51)</f>
        <v>0</v>
      </c>
      <c r="F51" s="40">
        <f>SUM(START:END!F51)</f>
        <v>0</v>
      </c>
      <c r="G51" s="40">
        <f>SUM(START:END!G51)</f>
        <v>0</v>
      </c>
      <c r="H51" s="40">
        <f>SUM(START:END!H51)</f>
        <v>0</v>
      </c>
      <c r="I51" s="40">
        <f>SUM(START:END!I51)</f>
        <v>0</v>
      </c>
      <c r="J51" s="40">
        <f>SUM(START:END!J51)</f>
        <v>0</v>
      </c>
      <c r="K51" s="40">
        <f>SUM(START:END!K51)</f>
        <v>1</v>
      </c>
      <c r="L51" s="40">
        <f>SUM(START:END!L51)</f>
        <v>1</v>
      </c>
      <c r="M51" s="40">
        <f>SUM(START:END!M51)</f>
        <v>0</v>
      </c>
      <c r="N51" s="40">
        <f>SUM(START:END!N51)</f>
        <v>0</v>
      </c>
      <c r="O51" s="39" t="s">
        <v>93</v>
      </c>
      <c r="P51" s="54"/>
      <c r="Q51" s="50">
        <f>SUM(START:END!Q51)</f>
        <v>0</v>
      </c>
      <c r="R51" s="50">
        <f>SUM(START:END!R51)</f>
        <v>0</v>
      </c>
      <c r="S51" s="50">
        <f>SUM(START:END!S51)</f>
        <v>0</v>
      </c>
      <c r="T51" s="50">
        <f>SUM(START:END!T51)</f>
        <v>0</v>
      </c>
      <c r="U51" s="50">
        <f>SUM(START:END!U51)</f>
        <v>1</v>
      </c>
      <c r="V51" s="50">
        <f>SUM(START:END!V51)</f>
        <v>0</v>
      </c>
      <c r="W51" s="50">
        <f>SUM(START:END!W51)</f>
        <v>0</v>
      </c>
      <c r="X51" s="49">
        <f>SUM(START:END!X51)</f>
        <v>1</v>
      </c>
      <c r="Y51" s="50">
        <f>SUM(U51:X51)</f>
        <v>2</v>
      </c>
    </row>
    <row r="52" spans="2:25" s="6" customFormat="1" ht="18.95" customHeight="1" thickBot="1" x14ac:dyDescent="0.35">
      <c r="B52" s="36"/>
      <c r="C52" s="68" t="s">
        <v>94</v>
      </c>
      <c r="D52" s="40"/>
      <c r="E52" s="40">
        <f>SUM(START:END!E52)</f>
        <v>0</v>
      </c>
      <c r="F52" s="40">
        <f>SUM(START:END!F52)</f>
        <v>0</v>
      </c>
      <c r="G52" s="40">
        <f>SUM(START:END!G52)</f>
        <v>0</v>
      </c>
      <c r="H52" s="40">
        <f>SUM(START:END!H52)</f>
        <v>0</v>
      </c>
      <c r="I52" s="40">
        <f>SUM(START:END!I52)</f>
        <v>0</v>
      </c>
      <c r="J52" s="40">
        <f>SUM(START:END!J52)</f>
        <v>0</v>
      </c>
      <c r="K52" s="40">
        <f>SUM(START:END!K52)</f>
        <v>0</v>
      </c>
      <c r="L52" s="40">
        <f>SUM(START:END!L52)</f>
        <v>0</v>
      </c>
      <c r="M52" s="40">
        <f>SUM(START:END!M52)</f>
        <v>0</v>
      </c>
      <c r="N52" s="40">
        <f>SUM(START:END!N52)</f>
        <v>0</v>
      </c>
      <c r="O52" s="39" t="s">
        <v>94</v>
      </c>
      <c r="P52" s="54"/>
      <c r="Q52" s="50">
        <f>SUM(START:END!Q52)</f>
        <v>0</v>
      </c>
      <c r="R52" s="50">
        <f>SUM(START:END!R52)</f>
        <v>0</v>
      </c>
      <c r="S52" s="50">
        <f>SUM(START:END!S52)</f>
        <v>0</v>
      </c>
      <c r="T52" s="50">
        <f>SUM(START:END!T52)</f>
        <v>0</v>
      </c>
      <c r="U52" s="50">
        <f>SUM(START:END!U52)</f>
        <v>1</v>
      </c>
      <c r="V52" s="50">
        <f>SUM(START:END!V52)</f>
        <v>0</v>
      </c>
      <c r="W52" s="50">
        <f>SUM(START:END!W52)</f>
        <v>0</v>
      </c>
      <c r="X52" s="49">
        <f>SUM(START:END!X52)</f>
        <v>0</v>
      </c>
      <c r="Y52" s="50">
        <f>SUM(U52:X52)</f>
        <v>1</v>
      </c>
    </row>
    <row r="53" spans="2:25" s="6" customFormat="1" ht="18.95" customHeight="1" thickBot="1" x14ac:dyDescent="0.35">
      <c r="B53" s="36"/>
      <c r="C53" s="68" t="s">
        <v>97</v>
      </c>
      <c r="D53" s="40"/>
      <c r="E53" s="40">
        <f>SUM(START:END!E53)</f>
        <v>0</v>
      </c>
      <c r="F53" s="40">
        <f>SUM(START:END!F53)</f>
        <v>0</v>
      </c>
      <c r="G53" s="40">
        <f>SUM(START:END!G53)</f>
        <v>0</v>
      </c>
      <c r="H53" s="40">
        <f>SUM(START:END!H53)</f>
        <v>0</v>
      </c>
      <c r="I53" s="40">
        <f>SUM(START:END!I53)</f>
        <v>0</v>
      </c>
      <c r="J53" s="40">
        <f>SUM(START:END!J53)</f>
        <v>0</v>
      </c>
      <c r="K53" s="40">
        <f>SUM(START:END!K53)</f>
        <v>0</v>
      </c>
      <c r="L53" s="40">
        <f>SUM(START:END!L53)</f>
        <v>0</v>
      </c>
      <c r="M53" s="40">
        <f>SUM(START:END!M53)</f>
        <v>0</v>
      </c>
      <c r="N53" s="40">
        <f>SUM(START:END!N53)</f>
        <v>0</v>
      </c>
      <c r="O53" s="39" t="s">
        <v>97</v>
      </c>
      <c r="P53" s="54"/>
      <c r="Q53" s="50">
        <f>SUM(START:END!Q53)</f>
        <v>0</v>
      </c>
      <c r="R53" s="50">
        <f>SUM(START:END!R53)</f>
        <v>0</v>
      </c>
      <c r="S53" s="50">
        <f>SUM(START:END!S53)</f>
        <v>0</v>
      </c>
      <c r="T53" s="50">
        <f>SUM(START:END!T53)</f>
        <v>0</v>
      </c>
      <c r="U53" s="50">
        <f>SUM(START:END!U53)</f>
        <v>0</v>
      </c>
      <c r="V53" s="50">
        <f>SUM(START:END!V53)</f>
        <v>0</v>
      </c>
      <c r="W53" s="50">
        <f>SUM(START:END!W53)</f>
        <v>1</v>
      </c>
      <c r="X53" s="49">
        <f>SUM(START:END!X53)</f>
        <v>0</v>
      </c>
      <c r="Y53" s="50">
        <f t="shared" ref="Y53:Y61" si="3">SUM(E53:X53)</f>
        <v>1</v>
      </c>
    </row>
    <row r="54" spans="2:25" s="6" customFormat="1" ht="18.95" customHeight="1" thickBot="1" x14ac:dyDescent="0.35">
      <c r="B54" s="36"/>
      <c r="C54" s="68" t="s">
        <v>98</v>
      </c>
      <c r="D54" s="40"/>
      <c r="E54" s="40">
        <f>SUM(START:END!E54)</f>
        <v>0</v>
      </c>
      <c r="F54" s="40">
        <f>SUM(START:END!F54)</f>
        <v>0</v>
      </c>
      <c r="G54" s="40">
        <f>SUM(START:END!G54)</f>
        <v>0</v>
      </c>
      <c r="H54" s="40">
        <f>SUM(START:END!H54)</f>
        <v>0</v>
      </c>
      <c r="I54" s="40">
        <f>SUM(START:END!I54)</f>
        <v>0</v>
      </c>
      <c r="J54" s="40">
        <f>SUM(START:END!J54)</f>
        <v>0</v>
      </c>
      <c r="K54" s="40">
        <f>SUM(START:END!K54)</f>
        <v>0</v>
      </c>
      <c r="L54" s="40">
        <f>SUM(START:END!L54)</f>
        <v>0</v>
      </c>
      <c r="M54" s="40">
        <f>SUM(START:END!M54)</f>
        <v>0</v>
      </c>
      <c r="N54" s="40">
        <f>SUM(START:END!N54)</f>
        <v>0</v>
      </c>
      <c r="O54" s="39" t="s">
        <v>98</v>
      </c>
      <c r="P54" s="54"/>
      <c r="Q54" s="50">
        <f>SUM(START:END!Q54)</f>
        <v>0</v>
      </c>
      <c r="R54" s="50">
        <f>SUM(START:END!R54)</f>
        <v>0</v>
      </c>
      <c r="S54" s="50">
        <f>SUM(START:END!S54)</f>
        <v>0</v>
      </c>
      <c r="T54" s="50">
        <f>SUM(START:END!T54)</f>
        <v>0</v>
      </c>
      <c r="U54" s="50">
        <f>SUM(START:END!U54)</f>
        <v>0</v>
      </c>
      <c r="V54" s="50">
        <f>SUM(START:END!V54)</f>
        <v>0</v>
      </c>
      <c r="W54" s="50">
        <f>SUM(START:END!W54)</f>
        <v>1</v>
      </c>
      <c r="X54" s="49">
        <f>SUM(START:END!X54)</f>
        <v>0</v>
      </c>
      <c r="Y54" s="50">
        <f t="shared" si="3"/>
        <v>1</v>
      </c>
    </row>
    <row r="55" spans="2:25" s="6" customFormat="1" ht="18.95" customHeight="1" thickBot="1" x14ac:dyDescent="0.35">
      <c r="B55" s="36"/>
      <c r="C55" s="68" t="s">
        <v>101</v>
      </c>
      <c r="D55" s="40"/>
      <c r="E55" s="40">
        <f>SUM(START:END!E55)</f>
        <v>0</v>
      </c>
      <c r="F55" s="40">
        <f>SUM(START:END!F55)</f>
        <v>0</v>
      </c>
      <c r="G55" s="40">
        <f>SUM(START:END!G55)</f>
        <v>0</v>
      </c>
      <c r="H55" s="40">
        <f>SUM(START:END!H55)</f>
        <v>0</v>
      </c>
      <c r="I55" s="40">
        <f>SUM(START:END!I55)</f>
        <v>0</v>
      </c>
      <c r="J55" s="40">
        <f>SUM(START:END!J55)</f>
        <v>0</v>
      </c>
      <c r="K55" s="40">
        <f>SUM(START:END!K55)</f>
        <v>0</v>
      </c>
      <c r="L55" s="40">
        <f>SUM(START:END!L55)</f>
        <v>0</v>
      </c>
      <c r="M55" s="40">
        <f>SUM(START:END!M55)</f>
        <v>0</v>
      </c>
      <c r="N55" s="40">
        <f>SUM(START:END!N55)</f>
        <v>0</v>
      </c>
      <c r="O55" s="39" t="s">
        <v>101</v>
      </c>
      <c r="P55" s="54"/>
      <c r="Q55" s="50">
        <f>SUM(START:END!Q55)</f>
        <v>0</v>
      </c>
      <c r="R55" s="50">
        <f>SUM(START:END!R55)</f>
        <v>0</v>
      </c>
      <c r="S55" s="50">
        <f>SUM(START:END!S55)</f>
        <v>0</v>
      </c>
      <c r="T55" s="50">
        <f>SUM(START:END!T55)</f>
        <v>0</v>
      </c>
      <c r="U55" s="50">
        <f>SUM(START:END!U55)</f>
        <v>0</v>
      </c>
      <c r="V55" s="50">
        <f>SUM(START:END!V55)</f>
        <v>0</v>
      </c>
      <c r="W55" s="50">
        <f>SUM(START:END!W55)</f>
        <v>0</v>
      </c>
      <c r="X55" s="49">
        <f>SUM(START:END!X55)</f>
        <v>1</v>
      </c>
      <c r="Y55" s="50">
        <f t="shared" si="3"/>
        <v>1</v>
      </c>
    </row>
    <row r="56" spans="2:25" s="6" customFormat="1" ht="18.95" customHeight="1" thickBot="1" x14ac:dyDescent="0.35">
      <c r="B56" s="36"/>
      <c r="C56" s="68" t="s">
        <v>102</v>
      </c>
      <c r="D56" s="40"/>
      <c r="E56" s="40">
        <f>SUM(START:END!E56)</f>
        <v>0</v>
      </c>
      <c r="F56" s="40">
        <f>SUM(START:END!F56)</f>
        <v>0</v>
      </c>
      <c r="G56" s="40">
        <f>SUM(START:END!G56)</f>
        <v>0</v>
      </c>
      <c r="H56" s="40">
        <f>SUM(START:END!H56)</f>
        <v>0</v>
      </c>
      <c r="I56" s="40">
        <f>SUM(START:END!I56)</f>
        <v>0</v>
      </c>
      <c r="J56" s="40">
        <f>SUM(START:END!J56)</f>
        <v>0</v>
      </c>
      <c r="K56" s="40">
        <f>SUM(START:END!K56)</f>
        <v>0</v>
      </c>
      <c r="L56" s="40">
        <f>SUM(START:END!L56)</f>
        <v>0</v>
      </c>
      <c r="M56" s="40">
        <f>SUM(START:END!M56)</f>
        <v>0</v>
      </c>
      <c r="N56" s="40">
        <f>SUM(START:END!N56)</f>
        <v>0</v>
      </c>
      <c r="O56" s="39" t="s">
        <v>102</v>
      </c>
      <c r="P56" s="54"/>
      <c r="Q56" s="50">
        <f>SUM(START:END!Q56)</f>
        <v>0</v>
      </c>
      <c r="R56" s="50">
        <f>SUM(START:END!R56)</f>
        <v>0</v>
      </c>
      <c r="S56" s="50">
        <f>SUM(START:END!S56)</f>
        <v>0</v>
      </c>
      <c r="T56" s="50">
        <f>SUM(START:END!T56)</f>
        <v>1</v>
      </c>
      <c r="U56" s="50">
        <f>SUM(START:END!U56)</f>
        <v>0</v>
      </c>
      <c r="V56" s="50">
        <f>SUM(START:END!V56)</f>
        <v>0</v>
      </c>
      <c r="W56" s="50">
        <f>SUM(START:END!W56)</f>
        <v>0</v>
      </c>
      <c r="X56" s="49">
        <f>SUM(START:END!X56)</f>
        <v>1</v>
      </c>
      <c r="Y56" s="50">
        <f t="shared" si="3"/>
        <v>2</v>
      </c>
    </row>
    <row r="57" spans="2:25" s="6" customFormat="1" ht="18.95" customHeight="1" thickBot="1" x14ac:dyDescent="0.35">
      <c r="B57" s="36"/>
      <c r="C57" s="68" t="s">
        <v>103</v>
      </c>
      <c r="D57" s="40"/>
      <c r="E57" s="40">
        <f>SUM(START:END!E57)</f>
        <v>0</v>
      </c>
      <c r="F57" s="40">
        <f>SUM(START:END!F57)</f>
        <v>0</v>
      </c>
      <c r="G57" s="40">
        <f>SUM(START:END!G57)</f>
        <v>0</v>
      </c>
      <c r="H57" s="40">
        <f>SUM(START:END!H57)</f>
        <v>0</v>
      </c>
      <c r="I57" s="40">
        <f>SUM(START:END!I57)</f>
        <v>0</v>
      </c>
      <c r="J57" s="40">
        <f>SUM(START:END!J57)</f>
        <v>0</v>
      </c>
      <c r="K57" s="40">
        <f>SUM(START:END!K57)</f>
        <v>0</v>
      </c>
      <c r="L57" s="40">
        <f>SUM(START:END!L57)</f>
        <v>0</v>
      </c>
      <c r="M57" s="40">
        <f>SUM(START:END!M57)</f>
        <v>0</v>
      </c>
      <c r="N57" s="40">
        <f>SUM(START:END!N57)</f>
        <v>0</v>
      </c>
      <c r="O57" s="39" t="s">
        <v>103</v>
      </c>
      <c r="P57" s="54"/>
      <c r="Q57" s="50">
        <f>SUM(START:END!Q57)</f>
        <v>0</v>
      </c>
      <c r="R57" s="50">
        <f>SUM(START:END!R57)</f>
        <v>0</v>
      </c>
      <c r="S57" s="50">
        <f>SUM(START:END!S57)</f>
        <v>0</v>
      </c>
      <c r="T57" s="50">
        <f>SUM(START:END!T57)</f>
        <v>0</v>
      </c>
      <c r="U57" s="50">
        <f>SUM(START:END!U57)</f>
        <v>0</v>
      </c>
      <c r="V57" s="50">
        <f>SUM(START:END!V57)</f>
        <v>0</v>
      </c>
      <c r="W57" s="50">
        <f>SUM(START:END!W57)</f>
        <v>0</v>
      </c>
      <c r="X57" s="49">
        <f>SUM(START:END!X57)</f>
        <v>3</v>
      </c>
      <c r="Y57" s="50">
        <f t="shared" si="3"/>
        <v>3</v>
      </c>
    </row>
    <row r="58" spans="2:25" s="6" customFormat="1" ht="18.95" customHeight="1" thickBot="1" x14ac:dyDescent="0.35">
      <c r="B58" s="36"/>
      <c r="C58" s="68" t="s">
        <v>104</v>
      </c>
      <c r="D58" s="40"/>
      <c r="E58" s="40">
        <f>SUM(START:END!E58)</f>
        <v>0</v>
      </c>
      <c r="F58" s="40">
        <f>SUM(START:END!F58)</f>
        <v>1</v>
      </c>
      <c r="G58" s="40">
        <f>SUM(START:END!G58)</f>
        <v>0</v>
      </c>
      <c r="H58" s="40">
        <f>SUM(START:END!H58)</f>
        <v>0</v>
      </c>
      <c r="I58" s="40">
        <f>SUM(START:END!I58)</f>
        <v>0</v>
      </c>
      <c r="J58" s="40">
        <f>SUM(START:END!J58)</f>
        <v>0</v>
      </c>
      <c r="K58" s="40">
        <f>SUM(START:END!K58)</f>
        <v>0</v>
      </c>
      <c r="L58" s="40">
        <f>SUM(START:END!L58)</f>
        <v>0</v>
      </c>
      <c r="M58" s="40">
        <f>SUM(START:END!M58)</f>
        <v>0</v>
      </c>
      <c r="N58" s="40">
        <f>SUM(START:END!N58)</f>
        <v>0</v>
      </c>
      <c r="O58" s="39" t="s">
        <v>104</v>
      </c>
      <c r="P58" s="54"/>
      <c r="Q58" s="50">
        <f>SUM(START:END!Q58)</f>
        <v>0</v>
      </c>
      <c r="R58" s="50">
        <f>SUM(START:END!R58)</f>
        <v>0</v>
      </c>
      <c r="S58" s="50">
        <f>SUM(START:END!S58)</f>
        <v>0</v>
      </c>
      <c r="T58" s="50">
        <f>SUM(START:END!T58)</f>
        <v>0</v>
      </c>
      <c r="U58" s="50">
        <f>SUM(START:END!U58)</f>
        <v>0</v>
      </c>
      <c r="V58" s="50">
        <f>SUM(START:END!V58)</f>
        <v>0</v>
      </c>
      <c r="W58" s="50">
        <f>SUM(START:END!W58)</f>
        <v>0</v>
      </c>
      <c r="X58" s="49">
        <f>SUM(START:END!X58)</f>
        <v>0</v>
      </c>
      <c r="Y58" s="50">
        <f t="shared" si="3"/>
        <v>1</v>
      </c>
    </row>
    <row r="59" spans="2:25" s="6" customFormat="1" ht="18.95" customHeight="1" thickBot="1" x14ac:dyDescent="0.35">
      <c r="B59" s="36"/>
      <c r="C59" s="68" t="s">
        <v>107</v>
      </c>
      <c r="D59" s="40"/>
      <c r="E59" s="40">
        <f>SUM(START:END!E59)</f>
        <v>0</v>
      </c>
      <c r="F59" s="40">
        <f>SUM(START:END!F59)</f>
        <v>0</v>
      </c>
      <c r="G59" s="40">
        <f>SUM(START:END!G59)</f>
        <v>0</v>
      </c>
      <c r="H59" s="40">
        <f>SUM(START:END!H59)</f>
        <v>0</v>
      </c>
      <c r="I59" s="40">
        <f>SUM(START:END!I59)</f>
        <v>0</v>
      </c>
      <c r="J59" s="40">
        <f>SUM(START:END!J59)</f>
        <v>1</v>
      </c>
      <c r="K59" s="40">
        <f>SUM(START:END!K59)</f>
        <v>1</v>
      </c>
      <c r="L59" s="40">
        <f>SUM(START:END!L59)</f>
        <v>0</v>
      </c>
      <c r="M59" s="40">
        <f>SUM(START:END!M59)</f>
        <v>0</v>
      </c>
      <c r="N59" s="40">
        <f>SUM(START:END!N59)</f>
        <v>0</v>
      </c>
      <c r="O59" s="39" t="s">
        <v>107</v>
      </c>
      <c r="P59" s="54"/>
      <c r="Q59" s="50">
        <f>SUM(START:END!Q59)</f>
        <v>0</v>
      </c>
      <c r="R59" s="50">
        <f>SUM(START:END!R59)</f>
        <v>0</v>
      </c>
      <c r="S59" s="50">
        <f>SUM(START:END!S59)</f>
        <v>0</v>
      </c>
      <c r="T59" s="50">
        <f>SUM(START:END!T59)</f>
        <v>0</v>
      </c>
      <c r="U59" s="50">
        <f>SUM(START:END!U59)</f>
        <v>0</v>
      </c>
      <c r="V59" s="50">
        <f>SUM(START:END!V59)</f>
        <v>0</v>
      </c>
      <c r="W59" s="50">
        <f>SUM(START:END!W59)</f>
        <v>0</v>
      </c>
      <c r="X59" s="49">
        <f>SUM(START:END!X59)</f>
        <v>0</v>
      </c>
      <c r="Y59" s="50">
        <f t="shared" si="3"/>
        <v>2</v>
      </c>
    </row>
    <row r="60" spans="2:25" s="6" customFormat="1" ht="18.95" customHeight="1" thickBot="1" x14ac:dyDescent="0.35">
      <c r="B60" s="36"/>
      <c r="C60" s="68" t="s">
        <v>110</v>
      </c>
      <c r="D60" s="40"/>
      <c r="E60" s="40">
        <f>SUM(START:END!E60)</f>
        <v>0</v>
      </c>
      <c r="F60" s="40">
        <f>SUM(START:END!F60)</f>
        <v>0</v>
      </c>
      <c r="G60" s="40">
        <f>SUM(START:END!G60)</f>
        <v>0</v>
      </c>
      <c r="H60" s="40">
        <f>SUM(START:END!H60)</f>
        <v>0</v>
      </c>
      <c r="I60" s="40">
        <f>SUM(START:END!I60)</f>
        <v>0</v>
      </c>
      <c r="J60" s="40">
        <f>SUM(START:END!J60)</f>
        <v>0</v>
      </c>
      <c r="K60" s="40">
        <f>SUM(START:END!K60)</f>
        <v>1</v>
      </c>
      <c r="L60" s="40">
        <f>SUM(START:END!L60)</f>
        <v>0</v>
      </c>
      <c r="M60" s="40">
        <f>SUM(START:END!M60)</f>
        <v>0</v>
      </c>
      <c r="N60" s="40">
        <f>SUM(START:END!N60)</f>
        <v>0</v>
      </c>
      <c r="O60" s="39" t="s">
        <v>110</v>
      </c>
      <c r="P60" s="54"/>
      <c r="Q60" s="50">
        <f>SUM(START:END!Q60)</f>
        <v>0</v>
      </c>
      <c r="R60" s="50">
        <f>SUM(START:END!R60)</f>
        <v>0</v>
      </c>
      <c r="S60" s="50">
        <f>SUM(START:END!S60)</f>
        <v>0</v>
      </c>
      <c r="T60" s="50">
        <f>SUM(START:END!T60)</f>
        <v>0</v>
      </c>
      <c r="U60" s="50">
        <f>SUM(START:END!U60)</f>
        <v>0</v>
      </c>
      <c r="V60" s="50">
        <f>SUM(START:END!V60)</f>
        <v>0</v>
      </c>
      <c r="W60" s="50">
        <f>SUM(START:END!W60)</f>
        <v>0</v>
      </c>
      <c r="X60" s="49">
        <f>SUM(START:END!X60)</f>
        <v>0</v>
      </c>
      <c r="Y60" s="50">
        <f t="shared" si="3"/>
        <v>1</v>
      </c>
    </row>
    <row r="61" spans="2:25" s="6" customFormat="1" ht="18.95" customHeight="1" thickBot="1" x14ac:dyDescent="0.35">
      <c r="B61" s="36"/>
      <c r="C61" s="68" t="s">
        <v>111</v>
      </c>
      <c r="D61" s="40"/>
      <c r="E61" s="40">
        <f>SUM(START:END!E61)</f>
        <v>0</v>
      </c>
      <c r="F61" s="40">
        <f>SUM(START:END!F61)</f>
        <v>0</v>
      </c>
      <c r="G61" s="40">
        <f>SUM(START:END!G61)</f>
        <v>0</v>
      </c>
      <c r="H61" s="40">
        <f>SUM(START:END!H61)</f>
        <v>0</v>
      </c>
      <c r="I61" s="40">
        <f>SUM(START:END!I61)</f>
        <v>0</v>
      </c>
      <c r="J61" s="40">
        <f>SUM(START:END!J61)</f>
        <v>0</v>
      </c>
      <c r="K61" s="40">
        <f>SUM(START:END!K61)</f>
        <v>1</v>
      </c>
      <c r="L61" s="40">
        <f>SUM(START:END!L61)</f>
        <v>0</v>
      </c>
      <c r="M61" s="40">
        <f>SUM(START:END!M61)</f>
        <v>0</v>
      </c>
      <c r="N61" s="40">
        <f>SUM(START:END!N61)</f>
        <v>0</v>
      </c>
      <c r="O61" s="39" t="s">
        <v>111</v>
      </c>
      <c r="P61" s="54"/>
      <c r="Q61" s="50">
        <f>SUM(START:END!Q61)</f>
        <v>0</v>
      </c>
      <c r="R61" s="50">
        <f>SUM(START:END!R61)</f>
        <v>0</v>
      </c>
      <c r="S61" s="50">
        <f>SUM(START:END!S61)</f>
        <v>0</v>
      </c>
      <c r="T61" s="50">
        <f>SUM(START:END!T61)</f>
        <v>0</v>
      </c>
      <c r="U61" s="50">
        <f>SUM(START:END!U61)</f>
        <v>0</v>
      </c>
      <c r="V61" s="50">
        <f>SUM(START:END!V61)</f>
        <v>0</v>
      </c>
      <c r="W61" s="50">
        <f>SUM(START:END!W61)</f>
        <v>0</v>
      </c>
      <c r="X61" s="49">
        <f>SUM(START:END!X61)</f>
        <v>0</v>
      </c>
      <c r="Y61" s="50">
        <f t="shared" si="3"/>
        <v>1</v>
      </c>
    </row>
    <row r="62" spans="2:25" ht="27" x14ac:dyDescent="0.35">
      <c r="B62" s="22" t="s">
        <v>41</v>
      </c>
      <c r="C62" s="78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70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2:25" ht="28.5" thickBot="1" x14ac:dyDescent="0.45">
      <c r="B63" s="1" t="s">
        <v>44</v>
      </c>
      <c r="C63" s="78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  <c r="O63" s="70"/>
      <c r="P63" s="1"/>
      <c r="Q63" s="1"/>
      <c r="R63" s="2"/>
      <c r="S63" s="1"/>
      <c r="T63" s="1"/>
      <c r="U63" s="1"/>
      <c r="V63" s="1"/>
      <c r="W63" s="1"/>
      <c r="X63" s="1"/>
      <c r="Y63" s="1"/>
    </row>
    <row r="64" spans="2:25" s="88" customFormat="1" ht="157.5" thickBot="1" x14ac:dyDescent="0.35">
      <c r="B64" s="86" t="s">
        <v>0</v>
      </c>
      <c r="C64" s="86" t="s">
        <v>1</v>
      </c>
      <c r="D64" s="89" t="s">
        <v>2</v>
      </c>
      <c r="E64" s="89" t="s">
        <v>3</v>
      </c>
      <c r="F64" s="89" t="s">
        <v>4</v>
      </c>
      <c r="G64" s="89" t="s">
        <v>5</v>
      </c>
      <c r="H64" s="89" t="s">
        <v>6</v>
      </c>
      <c r="I64" s="89" t="s">
        <v>7</v>
      </c>
      <c r="J64" s="89" t="s">
        <v>23</v>
      </c>
      <c r="K64" s="89" t="s">
        <v>24</v>
      </c>
      <c r="L64" s="89" t="s">
        <v>25</v>
      </c>
      <c r="M64" s="90" t="s">
        <v>26</v>
      </c>
      <c r="N64" s="89" t="s">
        <v>27</v>
      </c>
      <c r="O64" s="87" t="s">
        <v>1</v>
      </c>
      <c r="P64" s="89" t="s">
        <v>2</v>
      </c>
      <c r="Q64" s="89" t="s">
        <v>28</v>
      </c>
      <c r="R64" s="89" t="s">
        <v>8</v>
      </c>
      <c r="S64" s="89" t="s">
        <v>9</v>
      </c>
      <c r="T64" s="89" t="s">
        <v>10</v>
      </c>
      <c r="U64" s="89" t="s">
        <v>29</v>
      </c>
      <c r="V64" s="89" t="s">
        <v>11</v>
      </c>
      <c r="W64" s="89" t="s">
        <v>12</v>
      </c>
      <c r="X64" s="89" t="s">
        <v>13</v>
      </c>
      <c r="Y64" s="89" t="s">
        <v>14</v>
      </c>
    </row>
    <row r="65" spans="2:25" s="6" customFormat="1" ht="18.95" customHeight="1" thickBot="1" x14ac:dyDescent="0.35">
      <c r="B65" s="30" t="s">
        <v>160</v>
      </c>
      <c r="C65" s="80"/>
      <c r="D65" s="61"/>
      <c r="E65" s="62"/>
      <c r="F65" s="62"/>
      <c r="G65" s="61"/>
      <c r="H65" s="61"/>
      <c r="I65" s="61"/>
      <c r="J65" s="61"/>
      <c r="K65" s="61"/>
      <c r="L65" s="61"/>
      <c r="M65" s="61"/>
      <c r="N65" s="63"/>
      <c r="O65" s="71" t="s">
        <v>45</v>
      </c>
      <c r="P65" s="34"/>
      <c r="Q65" s="31"/>
      <c r="R65" s="31"/>
      <c r="S65" s="32"/>
      <c r="T65" s="31"/>
      <c r="U65" s="31"/>
      <c r="V65" s="31"/>
      <c r="W65" s="31"/>
      <c r="X65" s="31"/>
      <c r="Y65" s="35"/>
    </row>
    <row r="66" spans="2:25" ht="18.95" customHeight="1" thickBot="1" x14ac:dyDescent="0.35">
      <c r="B66" s="49"/>
      <c r="C66" s="68" t="s">
        <v>112</v>
      </c>
      <c r="D66" s="54"/>
      <c r="E66" s="50">
        <f>SUM(START:END!E66)</f>
        <v>0</v>
      </c>
      <c r="F66" s="50">
        <f>SUM(START:END!F66)</f>
        <v>0</v>
      </c>
      <c r="G66" s="50">
        <f>SUM(START:END!G66)</f>
        <v>0</v>
      </c>
      <c r="H66" s="50">
        <f>SUM(START:END!H66)</f>
        <v>0</v>
      </c>
      <c r="I66" s="50">
        <f>SUM(START:END!I66)</f>
        <v>0</v>
      </c>
      <c r="J66" s="50">
        <f>SUM(START:END!J66)</f>
        <v>0</v>
      </c>
      <c r="K66" s="50">
        <f>SUM(START:END!K66)</f>
        <v>1</v>
      </c>
      <c r="L66" s="50">
        <f>SUM(START:END!L66)</f>
        <v>0</v>
      </c>
      <c r="M66" s="50">
        <f>SUM(START:END!M66)</f>
        <v>0</v>
      </c>
      <c r="N66" s="50">
        <f>SUM(START:END!N66)</f>
        <v>0</v>
      </c>
      <c r="O66" s="39" t="s">
        <v>112</v>
      </c>
      <c r="P66" s="54"/>
      <c r="Q66" s="50">
        <f>SUM(START:END!Q66)</f>
        <v>0</v>
      </c>
      <c r="R66" s="50">
        <f>SUM(START:END!R66)</f>
        <v>0</v>
      </c>
      <c r="S66" s="50">
        <f>SUM(START:END!S66)</f>
        <v>0</v>
      </c>
      <c r="T66" s="50">
        <f>SUM(START:END!T66)</f>
        <v>0</v>
      </c>
      <c r="U66" s="50">
        <f>SUM(START:END!U66)</f>
        <v>0</v>
      </c>
      <c r="V66" s="50">
        <f>SUM(START:END!V66)</f>
        <v>0</v>
      </c>
      <c r="W66" s="50">
        <f>SUM(START:END!W66)</f>
        <v>0</v>
      </c>
      <c r="X66" s="49">
        <f>SUM(START:END!X66)</f>
        <v>0</v>
      </c>
      <c r="Y66" s="50">
        <f t="shared" ref="Y66:Y90" si="4">SUM(E66:X66)</f>
        <v>1</v>
      </c>
    </row>
    <row r="67" spans="2:25" ht="18.95" customHeight="1" thickBot="1" x14ac:dyDescent="0.35">
      <c r="B67" s="49"/>
      <c r="C67" s="68" t="s">
        <v>113</v>
      </c>
      <c r="D67" s="54"/>
      <c r="E67" s="50">
        <f>SUM(START:END!E67)</f>
        <v>0</v>
      </c>
      <c r="F67" s="50">
        <f>SUM(START:END!F67)</f>
        <v>0</v>
      </c>
      <c r="G67" s="50">
        <f>SUM(START:END!G67)</f>
        <v>0</v>
      </c>
      <c r="H67" s="50">
        <f>SUM(START:END!H67)</f>
        <v>0</v>
      </c>
      <c r="I67" s="50">
        <f>SUM(START:END!I67)</f>
        <v>0</v>
      </c>
      <c r="J67" s="50">
        <f>SUM(START:END!J67)</f>
        <v>0</v>
      </c>
      <c r="K67" s="50">
        <f>SUM(START:END!K67)</f>
        <v>1</v>
      </c>
      <c r="L67" s="50">
        <f>SUM(START:END!L67)</f>
        <v>0</v>
      </c>
      <c r="M67" s="50">
        <f>SUM(START:END!M67)</f>
        <v>0</v>
      </c>
      <c r="N67" s="50">
        <f>SUM(START:END!N67)</f>
        <v>0</v>
      </c>
      <c r="O67" s="39" t="s">
        <v>113</v>
      </c>
      <c r="P67" s="54"/>
      <c r="Q67" s="50">
        <f>SUM(START:END!Q67)</f>
        <v>0</v>
      </c>
      <c r="R67" s="50">
        <f>SUM(START:END!R67)</f>
        <v>0</v>
      </c>
      <c r="S67" s="50">
        <f>SUM(START:END!S67)</f>
        <v>0</v>
      </c>
      <c r="T67" s="50">
        <f>SUM(START:END!T67)</f>
        <v>0</v>
      </c>
      <c r="U67" s="50">
        <f>SUM(START:END!U67)</f>
        <v>0</v>
      </c>
      <c r="V67" s="50">
        <f>SUM(START:END!V67)</f>
        <v>0</v>
      </c>
      <c r="W67" s="50">
        <f>SUM(START:END!W67)</f>
        <v>0</v>
      </c>
      <c r="X67" s="49">
        <f>SUM(START:END!X67)</f>
        <v>0</v>
      </c>
      <c r="Y67" s="50">
        <f t="shared" si="4"/>
        <v>1</v>
      </c>
    </row>
    <row r="68" spans="2:25" ht="18.95" customHeight="1" thickBot="1" x14ac:dyDescent="0.35">
      <c r="B68" s="49"/>
      <c r="C68" s="68" t="s">
        <v>114</v>
      </c>
      <c r="D68" s="54"/>
      <c r="E68" s="50">
        <f>SUM(START:END!E68)</f>
        <v>0</v>
      </c>
      <c r="F68" s="50">
        <f>SUM(START:END!F68)</f>
        <v>0</v>
      </c>
      <c r="G68" s="50">
        <f>SUM(START:END!G68)</f>
        <v>0</v>
      </c>
      <c r="H68" s="50">
        <f>SUM(START:END!H68)</f>
        <v>0</v>
      </c>
      <c r="I68" s="50">
        <f>SUM(START:END!I68)</f>
        <v>0</v>
      </c>
      <c r="J68" s="50">
        <f>SUM(START:END!J68)</f>
        <v>0</v>
      </c>
      <c r="K68" s="50">
        <f>SUM(START:END!K68)</f>
        <v>1</v>
      </c>
      <c r="L68" s="50">
        <f>SUM(START:END!L68)</f>
        <v>0</v>
      </c>
      <c r="M68" s="50">
        <f>SUM(START:END!M68)</f>
        <v>0</v>
      </c>
      <c r="N68" s="50">
        <f>SUM(START:END!N68)</f>
        <v>0</v>
      </c>
      <c r="O68" s="39" t="s">
        <v>114</v>
      </c>
      <c r="P68" s="54"/>
      <c r="Q68" s="50">
        <f>SUM(START:END!Q68)</f>
        <v>0</v>
      </c>
      <c r="R68" s="50">
        <f>SUM(START:END!R68)</f>
        <v>0</v>
      </c>
      <c r="S68" s="50">
        <f>SUM(START:END!S68)</f>
        <v>0</v>
      </c>
      <c r="T68" s="50">
        <f>SUM(START:END!T68)</f>
        <v>0</v>
      </c>
      <c r="U68" s="50">
        <f>SUM(START:END!U68)</f>
        <v>0</v>
      </c>
      <c r="V68" s="50">
        <f>SUM(START:END!V68)</f>
        <v>0</v>
      </c>
      <c r="W68" s="50">
        <f>SUM(START:END!W68)</f>
        <v>0</v>
      </c>
      <c r="X68" s="49">
        <f>SUM(START:END!X68)</f>
        <v>0</v>
      </c>
      <c r="Y68" s="50">
        <f t="shared" si="4"/>
        <v>1</v>
      </c>
    </row>
    <row r="69" spans="2:25" ht="18.95" customHeight="1" thickBot="1" x14ac:dyDescent="0.35">
      <c r="B69" s="49"/>
      <c r="C69" s="68" t="s">
        <v>115</v>
      </c>
      <c r="D69" s="54"/>
      <c r="E69" s="50">
        <f>SUM(START:END!E69)</f>
        <v>0</v>
      </c>
      <c r="F69" s="50">
        <f>SUM(START:END!F69)</f>
        <v>0</v>
      </c>
      <c r="G69" s="50">
        <f>SUM(START:END!G69)</f>
        <v>0</v>
      </c>
      <c r="H69" s="50">
        <f>SUM(START:END!H69)</f>
        <v>0</v>
      </c>
      <c r="I69" s="50">
        <f>SUM(START:END!I69)</f>
        <v>0</v>
      </c>
      <c r="J69" s="50">
        <f>SUM(START:END!J69)</f>
        <v>0</v>
      </c>
      <c r="K69" s="50">
        <f>SUM(START:END!K69)</f>
        <v>1</v>
      </c>
      <c r="L69" s="50">
        <f>SUM(START:END!L69)</f>
        <v>0</v>
      </c>
      <c r="M69" s="50">
        <f>SUM(START:END!M69)</f>
        <v>0</v>
      </c>
      <c r="N69" s="50">
        <f>SUM(START:END!N69)</f>
        <v>0</v>
      </c>
      <c r="O69" s="39" t="s">
        <v>115</v>
      </c>
      <c r="P69" s="54"/>
      <c r="Q69" s="50">
        <f>SUM(START:END!Q69)</f>
        <v>0</v>
      </c>
      <c r="R69" s="50">
        <f>SUM(START:END!R69)</f>
        <v>0</v>
      </c>
      <c r="S69" s="50">
        <f>SUM(START:END!S69)</f>
        <v>0</v>
      </c>
      <c r="T69" s="50">
        <f>SUM(START:END!T69)</f>
        <v>0</v>
      </c>
      <c r="U69" s="50">
        <f>SUM(START:END!U69)</f>
        <v>0</v>
      </c>
      <c r="V69" s="50">
        <f>SUM(START:END!V69)</f>
        <v>0</v>
      </c>
      <c r="W69" s="50">
        <f>SUM(START:END!W69)</f>
        <v>0</v>
      </c>
      <c r="X69" s="49">
        <f>SUM(START:END!X69)</f>
        <v>0</v>
      </c>
      <c r="Y69" s="50">
        <f t="shared" si="4"/>
        <v>1</v>
      </c>
    </row>
    <row r="70" spans="2:25" ht="18.95" customHeight="1" thickBot="1" x14ac:dyDescent="0.35">
      <c r="B70" s="49"/>
      <c r="C70" s="68" t="s">
        <v>116</v>
      </c>
      <c r="D70" s="54"/>
      <c r="E70" s="50">
        <f>SUM(START:END!E70)</f>
        <v>0</v>
      </c>
      <c r="F70" s="50">
        <f>SUM(START:END!F70)</f>
        <v>0</v>
      </c>
      <c r="G70" s="50">
        <f>SUM(START:END!G70)</f>
        <v>0</v>
      </c>
      <c r="H70" s="50">
        <f>SUM(START:END!H70)</f>
        <v>0</v>
      </c>
      <c r="I70" s="50">
        <f>SUM(START:END!I70)</f>
        <v>0</v>
      </c>
      <c r="J70" s="50">
        <f>SUM(START:END!J70)</f>
        <v>0</v>
      </c>
      <c r="K70" s="50">
        <f>SUM(START:END!K70)</f>
        <v>1</v>
      </c>
      <c r="L70" s="50">
        <f>SUM(START:END!L70)</f>
        <v>0</v>
      </c>
      <c r="M70" s="50">
        <f>SUM(START:END!M70)</f>
        <v>0</v>
      </c>
      <c r="N70" s="50">
        <f>SUM(START:END!N70)</f>
        <v>0</v>
      </c>
      <c r="O70" s="39" t="s">
        <v>116</v>
      </c>
      <c r="P70" s="54"/>
      <c r="Q70" s="50">
        <f>SUM(START:END!Q70)</f>
        <v>0</v>
      </c>
      <c r="R70" s="50">
        <f>SUM(START:END!R70)</f>
        <v>0</v>
      </c>
      <c r="S70" s="50">
        <f>SUM(START:END!S70)</f>
        <v>0</v>
      </c>
      <c r="T70" s="50">
        <f>SUM(START:END!T70)</f>
        <v>0</v>
      </c>
      <c r="U70" s="50">
        <f>SUM(START:END!U70)</f>
        <v>0</v>
      </c>
      <c r="V70" s="50">
        <f>SUM(START:END!V70)</f>
        <v>0</v>
      </c>
      <c r="W70" s="50">
        <f>SUM(START:END!W70)</f>
        <v>0</v>
      </c>
      <c r="X70" s="49">
        <f>SUM(START:END!X70)</f>
        <v>0</v>
      </c>
      <c r="Y70" s="50">
        <f t="shared" si="4"/>
        <v>1</v>
      </c>
    </row>
    <row r="71" spans="2:25" ht="18.95" customHeight="1" thickBot="1" x14ac:dyDescent="0.35">
      <c r="B71" s="49"/>
      <c r="C71" s="68" t="s">
        <v>117</v>
      </c>
      <c r="D71" s="54"/>
      <c r="E71" s="50">
        <f>SUM(START:END!E71)</f>
        <v>0</v>
      </c>
      <c r="F71" s="50">
        <f>SUM(START:END!F71)</f>
        <v>0</v>
      </c>
      <c r="G71" s="50">
        <f>SUM(START:END!G71)</f>
        <v>0</v>
      </c>
      <c r="H71" s="50">
        <f>SUM(START:END!H71)</f>
        <v>0</v>
      </c>
      <c r="I71" s="50">
        <f>SUM(START:END!I71)</f>
        <v>0</v>
      </c>
      <c r="J71" s="50">
        <f>SUM(START:END!J71)</f>
        <v>0</v>
      </c>
      <c r="K71" s="50">
        <f>SUM(START:END!K71)</f>
        <v>1</v>
      </c>
      <c r="L71" s="50">
        <f>SUM(START:END!L71)</f>
        <v>0</v>
      </c>
      <c r="M71" s="50">
        <f>SUM(START:END!M71)</f>
        <v>0</v>
      </c>
      <c r="N71" s="50">
        <f>SUM(START:END!N71)</f>
        <v>0</v>
      </c>
      <c r="O71" s="39" t="s">
        <v>117</v>
      </c>
      <c r="P71" s="54"/>
      <c r="Q71" s="50">
        <f>SUM(START:END!Q71)</f>
        <v>0</v>
      </c>
      <c r="R71" s="50">
        <f>SUM(START:END!R71)</f>
        <v>0</v>
      </c>
      <c r="S71" s="50">
        <f>SUM(START:END!S71)</f>
        <v>0</v>
      </c>
      <c r="T71" s="50">
        <f>SUM(START:END!T71)</f>
        <v>0</v>
      </c>
      <c r="U71" s="50">
        <f>SUM(START:END!U71)</f>
        <v>0</v>
      </c>
      <c r="V71" s="50">
        <f>SUM(START:END!V71)</f>
        <v>0</v>
      </c>
      <c r="W71" s="50">
        <f>SUM(START:END!W71)</f>
        <v>0</v>
      </c>
      <c r="X71" s="49">
        <f>SUM(START:END!X71)</f>
        <v>0</v>
      </c>
      <c r="Y71" s="50">
        <f t="shared" si="4"/>
        <v>1</v>
      </c>
    </row>
    <row r="72" spans="2:25" ht="18.95" customHeight="1" thickBot="1" x14ac:dyDescent="0.35">
      <c r="B72" s="49"/>
      <c r="C72" s="68" t="s">
        <v>118</v>
      </c>
      <c r="D72" s="54"/>
      <c r="E72" s="50">
        <f>SUM(START:END!E72)</f>
        <v>0</v>
      </c>
      <c r="F72" s="50">
        <f>SUM(START:END!F72)</f>
        <v>0</v>
      </c>
      <c r="G72" s="50">
        <f>SUM(START:END!G72)</f>
        <v>0</v>
      </c>
      <c r="H72" s="50">
        <f>SUM(START:END!H72)</f>
        <v>0</v>
      </c>
      <c r="I72" s="50">
        <f>SUM(START:END!I72)</f>
        <v>0</v>
      </c>
      <c r="J72" s="50">
        <f>SUM(START:END!J72)</f>
        <v>0</v>
      </c>
      <c r="K72" s="50">
        <f>SUM(START:END!K72)</f>
        <v>1</v>
      </c>
      <c r="L72" s="50">
        <f>SUM(START:END!L72)</f>
        <v>0</v>
      </c>
      <c r="M72" s="50">
        <f>SUM(START:END!M72)</f>
        <v>0</v>
      </c>
      <c r="N72" s="50">
        <f>SUM(START:END!N72)</f>
        <v>0</v>
      </c>
      <c r="O72" s="39" t="s">
        <v>118</v>
      </c>
      <c r="P72" s="54"/>
      <c r="Q72" s="50">
        <f>SUM(START:END!Q72)</f>
        <v>0</v>
      </c>
      <c r="R72" s="50">
        <f>SUM(START:END!R72)</f>
        <v>0</v>
      </c>
      <c r="S72" s="50">
        <f>SUM(START:END!S72)</f>
        <v>0</v>
      </c>
      <c r="T72" s="50">
        <f>SUM(START:END!T72)</f>
        <v>0</v>
      </c>
      <c r="U72" s="50">
        <f>SUM(START:END!U72)</f>
        <v>0</v>
      </c>
      <c r="V72" s="50">
        <f>SUM(START:END!V72)</f>
        <v>0</v>
      </c>
      <c r="W72" s="50">
        <f>SUM(START:END!W72)</f>
        <v>0</v>
      </c>
      <c r="X72" s="49">
        <f>SUM(START:END!X72)</f>
        <v>0</v>
      </c>
      <c r="Y72" s="50">
        <f t="shared" si="4"/>
        <v>1</v>
      </c>
    </row>
    <row r="73" spans="2:25" ht="18.95" customHeight="1" thickBot="1" x14ac:dyDescent="0.35">
      <c r="B73" s="49"/>
      <c r="C73" s="68" t="s">
        <v>119</v>
      </c>
      <c r="D73" s="54"/>
      <c r="E73" s="50">
        <f>SUM(START:END!E73)</f>
        <v>0</v>
      </c>
      <c r="F73" s="50">
        <f>SUM(START:END!F73)</f>
        <v>0</v>
      </c>
      <c r="G73" s="50">
        <f>SUM(START:END!G73)</f>
        <v>0</v>
      </c>
      <c r="H73" s="50">
        <f>SUM(START:END!H73)</f>
        <v>0</v>
      </c>
      <c r="I73" s="50">
        <f>SUM(START:END!I73)</f>
        <v>0</v>
      </c>
      <c r="J73" s="50">
        <f>SUM(START:END!J73)</f>
        <v>0</v>
      </c>
      <c r="K73" s="50">
        <f>SUM(START:END!K73)</f>
        <v>1</v>
      </c>
      <c r="L73" s="50">
        <f>SUM(START:END!L73)</f>
        <v>0</v>
      </c>
      <c r="M73" s="50">
        <f>SUM(START:END!M73)</f>
        <v>0</v>
      </c>
      <c r="N73" s="50">
        <f>SUM(START:END!N73)</f>
        <v>0</v>
      </c>
      <c r="O73" s="39" t="s">
        <v>119</v>
      </c>
      <c r="P73" s="54"/>
      <c r="Q73" s="50">
        <f>SUM(START:END!Q73)</f>
        <v>0</v>
      </c>
      <c r="R73" s="50">
        <f>SUM(START:END!R73)</f>
        <v>0</v>
      </c>
      <c r="S73" s="50">
        <f>SUM(START:END!S73)</f>
        <v>0</v>
      </c>
      <c r="T73" s="50">
        <f>SUM(START:END!T73)</f>
        <v>0</v>
      </c>
      <c r="U73" s="50">
        <f>SUM(START:END!U73)</f>
        <v>0</v>
      </c>
      <c r="V73" s="50">
        <f>SUM(START:END!V73)</f>
        <v>0</v>
      </c>
      <c r="W73" s="50">
        <f>SUM(START:END!W73)</f>
        <v>0</v>
      </c>
      <c r="X73" s="49">
        <f>SUM(START:END!X73)</f>
        <v>0</v>
      </c>
      <c r="Y73" s="50">
        <f t="shared" si="4"/>
        <v>1</v>
      </c>
    </row>
    <row r="74" spans="2:25" ht="18.95" customHeight="1" thickBot="1" x14ac:dyDescent="0.35">
      <c r="B74" s="49"/>
      <c r="C74" s="68" t="s">
        <v>109</v>
      </c>
      <c r="D74" s="54"/>
      <c r="E74" s="50">
        <f>SUM(START:END!E74)</f>
        <v>0</v>
      </c>
      <c r="F74" s="50">
        <f>SUM(START:END!F74)</f>
        <v>0</v>
      </c>
      <c r="G74" s="50">
        <f>SUM(START:END!G74)</f>
        <v>0</v>
      </c>
      <c r="H74" s="50">
        <f>SUM(START:END!H74)</f>
        <v>0</v>
      </c>
      <c r="I74" s="50">
        <f>SUM(START:END!I74)</f>
        <v>0</v>
      </c>
      <c r="J74" s="50">
        <f>SUM(START:END!J74)</f>
        <v>0</v>
      </c>
      <c r="K74" s="50">
        <f>SUM(START:END!K74)</f>
        <v>2</v>
      </c>
      <c r="L74" s="50">
        <f>SUM(START:END!L74)</f>
        <v>0</v>
      </c>
      <c r="M74" s="50">
        <f>SUM(START:END!M74)</f>
        <v>0</v>
      </c>
      <c r="N74" s="50">
        <f>SUM(START:END!N74)</f>
        <v>0</v>
      </c>
      <c r="O74" s="39" t="s">
        <v>109</v>
      </c>
      <c r="P74" s="54"/>
      <c r="Q74" s="50">
        <f>SUM(START:END!Q74)</f>
        <v>0</v>
      </c>
      <c r="R74" s="50">
        <f>SUM(START:END!R74)</f>
        <v>0</v>
      </c>
      <c r="S74" s="50">
        <f>SUM(START:END!S74)</f>
        <v>0</v>
      </c>
      <c r="T74" s="50">
        <f>SUM(START:END!T74)</f>
        <v>0</v>
      </c>
      <c r="U74" s="50">
        <f>SUM(START:END!U74)</f>
        <v>0</v>
      </c>
      <c r="V74" s="50">
        <f>SUM(START:END!V74)</f>
        <v>1</v>
      </c>
      <c r="W74" s="50">
        <f>SUM(START:END!W74)</f>
        <v>0</v>
      </c>
      <c r="X74" s="49">
        <f>SUM(START:END!X74)</f>
        <v>0</v>
      </c>
      <c r="Y74" s="50">
        <f t="shared" si="4"/>
        <v>3</v>
      </c>
    </row>
    <row r="75" spans="2:25" ht="18.95" customHeight="1" thickBot="1" x14ac:dyDescent="0.35">
      <c r="B75" s="49"/>
      <c r="C75" s="68" t="s">
        <v>120</v>
      </c>
      <c r="D75" s="54"/>
      <c r="E75" s="50">
        <f>SUM(START:END!E75)</f>
        <v>0</v>
      </c>
      <c r="F75" s="50">
        <f>SUM(START:END!F75)</f>
        <v>0</v>
      </c>
      <c r="G75" s="50">
        <f>SUM(START:END!G75)</f>
        <v>0</v>
      </c>
      <c r="H75" s="50">
        <f>SUM(START:END!H75)</f>
        <v>0</v>
      </c>
      <c r="I75" s="50">
        <f>SUM(START:END!I75)</f>
        <v>0</v>
      </c>
      <c r="J75" s="50">
        <f>SUM(START:END!J75)</f>
        <v>0</v>
      </c>
      <c r="K75" s="50">
        <f>SUM(START:END!K75)</f>
        <v>0</v>
      </c>
      <c r="L75" s="50">
        <f>SUM(START:END!L75)</f>
        <v>1</v>
      </c>
      <c r="M75" s="50">
        <f>SUM(START:END!M75)</f>
        <v>0</v>
      </c>
      <c r="N75" s="50">
        <f>SUM(START:END!N75)</f>
        <v>0</v>
      </c>
      <c r="O75" s="39" t="s">
        <v>120</v>
      </c>
      <c r="P75" s="54"/>
      <c r="Q75" s="50">
        <f>SUM(START:END!Q75)</f>
        <v>0</v>
      </c>
      <c r="R75" s="50">
        <f>SUM(START:END!R75)</f>
        <v>0</v>
      </c>
      <c r="S75" s="50">
        <f>SUM(START:END!S75)</f>
        <v>0</v>
      </c>
      <c r="T75" s="50">
        <f>SUM(START:END!T75)</f>
        <v>0</v>
      </c>
      <c r="U75" s="50">
        <f>SUM(START:END!U75)</f>
        <v>0</v>
      </c>
      <c r="V75" s="50">
        <f>SUM(START:END!V75)</f>
        <v>0</v>
      </c>
      <c r="W75" s="50">
        <f>SUM(START:END!W75)</f>
        <v>0</v>
      </c>
      <c r="X75" s="49">
        <f>SUM(START:END!X75)</f>
        <v>0</v>
      </c>
      <c r="Y75" s="50">
        <f t="shared" si="4"/>
        <v>1</v>
      </c>
    </row>
    <row r="76" spans="2:25" ht="18.95" customHeight="1" thickBot="1" x14ac:dyDescent="0.35">
      <c r="B76" s="49"/>
      <c r="C76" s="68" t="s">
        <v>121</v>
      </c>
      <c r="D76" s="54"/>
      <c r="E76" s="50">
        <f>SUM(START:END!E76)</f>
        <v>0</v>
      </c>
      <c r="F76" s="50">
        <f>SUM(START:END!F76)</f>
        <v>0</v>
      </c>
      <c r="G76" s="50">
        <f>SUM(START:END!G76)</f>
        <v>0</v>
      </c>
      <c r="H76" s="50">
        <f>SUM(START:END!H76)</f>
        <v>0</v>
      </c>
      <c r="I76" s="50">
        <f>SUM(START:END!I76)</f>
        <v>0</v>
      </c>
      <c r="J76" s="50">
        <f>SUM(START:END!J76)</f>
        <v>0</v>
      </c>
      <c r="K76" s="50">
        <f>SUM(START:END!K76)</f>
        <v>0</v>
      </c>
      <c r="L76" s="50">
        <f>SUM(START:END!L76)</f>
        <v>1</v>
      </c>
      <c r="M76" s="50">
        <f>SUM(START:END!M76)</f>
        <v>0</v>
      </c>
      <c r="N76" s="50">
        <f>SUM(START:END!N76)</f>
        <v>0</v>
      </c>
      <c r="O76" s="39" t="s">
        <v>121</v>
      </c>
      <c r="P76" s="54"/>
      <c r="Q76" s="50">
        <f>SUM(START:END!Q76)</f>
        <v>0</v>
      </c>
      <c r="R76" s="50">
        <f>SUM(START:END!R76)</f>
        <v>0</v>
      </c>
      <c r="S76" s="50">
        <f>SUM(START:END!S76)</f>
        <v>0</v>
      </c>
      <c r="T76" s="50">
        <f>SUM(START:END!T76)</f>
        <v>0</v>
      </c>
      <c r="U76" s="50">
        <f>SUM(START:END!U76)</f>
        <v>0</v>
      </c>
      <c r="V76" s="50">
        <f>SUM(START:END!V76)</f>
        <v>0</v>
      </c>
      <c r="W76" s="50">
        <f>SUM(START:END!W76)</f>
        <v>0</v>
      </c>
      <c r="X76" s="49">
        <f>SUM(START:END!X76)</f>
        <v>0</v>
      </c>
      <c r="Y76" s="50">
        <f t="shared" si="4"/>
        <v>1</v>
      </c>
    </row>
    <row r="77" spans="2:25" ht="18.95" customHeight="1" thickBot="1" x14ac:dyDescent="0.35">
      <c r="B77" s="49"/>
      <c r="C77" s="68" t="s">
        <v>122</v>
      </c>
      <c r="D77" s="54"/>
      <c r="E77" s="50">
        <f>SUM(START:END!E77)</f>
        <v>0</v>
      </c>
      <c r="F77" s="50">
        <f>SUM(START:END!F77)</f>
        <v>0</v>
      </c>
      <c r="G77" s="50">
        <f>SUM(START:END!G77)</f>
        <v>0</v>
      </c>
      <c r="H77" s="50">
        <f>SUM(START:END!H77)</f>
        <v>0</v>
      </c>
      <c r="I77" s="50">
        <f>SUM(START:END!I77)</f>
        <v>0</v>
      </c>
      <c r="J77" s="50">
        <f>SUM(START:END!J77)</f>
        <v>0</v>
      </c>
      <c r="K77" s="50">
        <f>SUM(START:END!K77)</f>
        <v>0</v>
      </c>
      <c r="L77" s="50">
        <f>SUM(START:END!L77)</f>
        <v>1</v>
      </c>
      <c r="M77" s="50">
        <f>SUM(START:END!M77)</f>
        <v>0</v>
      </c>
      <c r="N77" s="50">
        <f>SUM(START:END!N77)</f>
        <v>0</v>
      </c>
      <c r="O77" s="39" t="s">
        <v>122</v>
      </c>
      <c r="P77" s="54"/>
      <c r="Q77" s="50">
        <f>SUM(START:END!Q77)</f>
        <v>0</v>
      </c>
      <c r="R77" s="50">
        <f>SUM(START:END!R77)</f>
        <v>0</v>
      </c>
      <c r="S77" s="50">
        <f>SUM(START:END!S77)</f>
        <v>0</v>
      </c>
      <c r="T77" s="50">
        <f>SUM(START:END!T77)</f>
        <v>0</v>
      </c>
      <c r="U77" s="50">
        <f>SUM(START:END!U77)</f>
        <v>0</v>
      </c>
      <c r="V77" s="50">
        <f>SUM(START:END!V77)</f>
        <v>0</v>
      </c>
      <c r="W77" s="50">
        <f>SUM(START:END!W77)</f>
        <v>0</v>
      </c>
      <c r="X77" s="49">
        <f>SUM(START:END!X77)</f>
        <v>0</v>
      </c>
      <c r="Y77" s="50">
        <f t="shared" si="4"/>
        <v>1</v>
      </c>
    </row>
    <row r="78" spans="2:25" ht="18.95" customHeight="1" thickBot="1" x14ac:dyDescent="0.35">
      <c r="B78" s="49"/>
      <c r="C78" s="68" t="s">
        <v>127</v>
      </c>
      <c r="D78" s="54"/>
      <c r="E78" s="50">
        <f>SUM(START:END!E78)</f>
        <v>0</v>
      </c>
      <c r="F78" s="50">
        <f>SUM(START:END!F78)</f>
        <v>0</v>
      </c>
      <c r="G78" s="50">
        <f>SUM(START:END!G78)</f>
        <v>0</v>
      </c>
      <c r="H78" s="50">
        <f>SUM(START:END!H78)</f>
        <v>0</v>
      </c>
      <c r="I78" s="50">
        <f>SUM(START:END!I78)</f>
        <v>0</v>
      </c>
      <c r="J78" s="50">
        <f>SUM(START:END!J78)</f>
        <v>0</v>
      </c>
      <c r="K78" s="50">
        <f>SUM(START:END!K78)</f>
        <v>0</v>
      </c>
      <c r="L78" s="50">
        <f>SUM(START:END!L78)</f>
        <v>0</v>
      </c>
      <c r="M78" s="50">
        <f>SUM(START:END!M78)</f>
        <v>0</v>
      </c>
      <c r="N78" s="50">
        <f>SUM(START:END!N78)</f>
        <v>1</v>
      </c>
      <c r="O78" s="39" t="s">
        <v>127</v>
      </c>
      <c r="P78" s="54"/>
      <c r="Q78" s="50">
        <f>SUM(START:END!Q78)</f>
        <v>0</v>
      </c>
      <c r="R78" s="50">
        <f>SUM(START:END!R78)</f>
        <v>0</v>
      </c>
      <c r="S78" s="50">
        <f>SUM(START:END!S78)</f>
        <v>0</v>
      </c>
      <c r="T78" s="50">
        <f>SUM(START:END!T78)</f>
        <v>0</v>
      </c>
      <c r="U78" s="50">
        <f>SUM(START:END!U78)</f>
        <v>0</v>
      </c>
      <c r="V78" s="50">
        <f>SUM(START:END!V78)</f>
        <v>0</v>
      </c>
      <c r="W78" s="50">
        <f>SUM(START:END!W78)</f>
        <v>0</v>
      </c>
      <c r="X78" s="49">
        <f>SUM(START:END!X78)</f>
        <v>0</v>
      </c>
      <c r="Y78" s="50">
        <f t="shared" si="4"/>
        <v>1</v>
      </c>
    </row>
    <row r="79" spans="2:25" ht="18.95" customHeight="1" thickBot="1" x14ac:dyDescent="0.35">
      <c r="B79" s="49"/>
      <c r="C79" s="68" t="s">
        <v>128</v>
      </c>
      <c r="D79" s="54"/>
      <c r="E79" s="50">
        <f>SUM(START:END!E79)</f>
        <v>0</v>
      </c>
      <c r="F79" s="50">
        <f>SUM(START:END!F79)</f>
        <v>0</v>
      </c>
      <c r="G79" s="50">
        <f>SUM(START:END!G79)</f>
        <v>0</v>
      </c>
      <c r="H79" s="50">
        <f>SUM(START:END!H79)</f>
        <v>0</v>
      </c>
      <c r="I79" s="50">
        <f>SUM(START:END!I79)</f>
        <v>0</v>
      </c>
      <c r="J79" s="50">
        <f>SUM(START:END!J79)</f>
        <v>0</v>
      </c>
      <c r="K79" s="50">
        <f>SUM(START:END!K79)</f>
        <v>0</v>
      </c>
      <c r="L79" s="50">
        <f>SUM(START:END!L79)</f>
        <v>0</v>
      </c>
      <c r="M79" s="50">
        <f>SUM(START:END!M79)</f>
        <v>0</v>
      </c>
      <c r="N79" s="50">
        <f>SUM(START:END!N79)</f>
        <v>0</v>
      </c>
      <c r="O79" s="39" t="s">
        <v>128</v>
      </c>
      <c r="P79" s="54"/>
      <c r="Q79" s="50">
        <f>SUM(START:END!Q79)</f>
        <v>1</v>
      </c>
      <c r="R79" s="50">
        <f>SUM(START:END!R79)</f>
        <v>0</v>
      </c>
      <c r="S79" s="50">
        <f>SUM(START:END!S79)</f>
        <v>0</v>
      </c>
      <c r="T79" s="50">
        <f>SUM(START:END!T79)</f>
        <v>0</v>
      </c>
      <c r="U79" s="50">
        <f>SUM(START:END!U79)</f>
        <v>0</v>
      </c>
      <c r="V79" s="50">
        <f>SUM(START:END!V79)</f>
        <v>0</v>
      </c>
      <c r="W79" s="50">
        <f>SUM(START:END!W79)</f>
        <v>0</v>
      </c>
      <c r="X79" s="49">
        <f>SUM(START:END!X79)</f>
        <v>0</v>
      </c>
      <c r="Y79" s="50">
        <f t="shared" si="4"/>
        <v>1</v>
      </c>
    </row>
    <row r="80" spans="2:25" ht="18.95" customHeight="1" thickBot="1" x14ac:dyDescent="0.35">
      <c r="B80" s="49"/>
      <c r="C80" s="68" t="s">
        <v>132</v>
      </c>
      <c r="D80" s="54"/>
      <c r="E80" s="50">
        <f>SUM(START:END!E80)</f>
        <v>0</v>
      </c>
      <c r="F80" s="50">
        <f>SUM(START:END!F80)</f>
        <v>0</v>
      </c>
      <c r="G80" s="50">
        <f>SUM(START:END!G80)</f>
        <v>0</v>
      </c>
      <c r="H80" s="50">
        <f>SUM(START:END!H80)</f>
        <v>0</v>
      </c>
      <c r="I80" s="50">
        <f>SUM(START:END!I80)</f>
        <v>0</v>
      </c>
      <c r="J80" s="50">
        <f>SUM(START:END!J80)</f>
        <v>0</v>
      </c>
      <c r="K80" s="50">
        <f>SUM(START:END!K80)</f>
        <v>0</v>
      </c>
      <c r="L80" s="50">
        <f>SUM(START:END!L80)</f>
        <v>0</v>
      </c>
      <c r="M80" s="50">
        <f>SUM(START:END!M80)</f>
        <v>0</v>
      </c>
      <c r="N80" s="50">
        <f>SUM(START:END!N80)</f>
        <v>0</v>
      </c>
      <c r="O80" s="39" t="s">
        <v>132</v>
      </c>
      <c r="P80" s="54"/>
      <c r="Q80" s="50">
        <f>SUM(START:END!Q80)</f>
        <v>0</v>
      </c>
      <c r="R80" s="50">
        <f>SUM(START:END!R80)</f>
        <v>0</v>
      </c>
      <c r="S80" s="50">
        <f>SUM(START:END!S80)</f>
        <v>1</v>
      </c>
      <c r="T80" s="50">
        <f>SUM(START:END!T80)</f>
        <v>0</v>
      </c>
      <c r="U80" s="50">
        <f>SUM(START:END!U80)</f>
        <v>0</v>
      </c>
      <c r="V80" s="50">
        <f>SUM(START:END!V80)</f>
        <v>0</v>
      </c>
      <c r="W80" s="50">
        <f>SUM(START:END!W80)</f>
        <v>0</v>
      </c>
      <c r="X80" s="49">
        <f>SUM(START:END!X80)</f>
        <v>0</v>
      </c>
      <c r="Y80" s="50">
        <f t="shared" si="4"/>
        <v>1</v>
      </c>
    </row>
    <row r="81" spans="2:25" ht="18.95" customHeight="1" thickBot="1" x14ac:dyDescent="0.35">
      <c r="B81" s="49"/>
      <c r="C81" s="68" t="s">
        <v>133</v>
      </c>
      <c r="D81" s="54"/>
      <c r="E81" s="50">
        <f>SUM(START:END!E81)</f>
        <v>0</v>
      </c>
      <c r="F81" s="50">
        <f>SUM(START:END!F81)</f>
        <v>0</v>
      </c>
      <c r="G81" s="50">
        <f>SUM(START:END!G81)</f>
        <v>0</v>
      </c>
      <c r="H81" s="50">
        <f>SUM(START:END!H81)</f>
        <v>0</v>
      </c>
      <c r="I81" s="50">
        <f>SUM(START:END!I81)</f>
        <v>0</v>
      </c>
      <c r="J81" s="50">
        <f>SUM(START:END!J81)</f>
        <v>0</v>
      </c>
      <c r="K81" s="50">
        <f>SUM(START:END!K81)</f>
        <v>0</v>
      </c>
      <c r="L81" s="50">
        <f>SUM(START:END!L81)</f>
        <v>0</v>
      </c>
      <c r="M81" s="50">
        <f>SUM(START:END!M81)</f>
        <v>0</v>
      </c>
      <c r="N81" s="50">
        <f>SUM(START:END!N81)</f>
        <v>0</v>
      </c>
      <c r="O81" s="39" t="s">
        <v>133</v>
      </c>
      <c r="P81" s="54"/>
      <c r="Q81" s="50">
        <f>SUM(START:END!Q81)</f>
        <v>0</v>
      </c>
      <c r="R81" s="50">
        <f>SUM(START:END!R81)</f>
        <v>0</v>
      </c>
      <c r="S81" s="50">
        <f>SUM(START:END!S81)</f>
        <v>1</v>
      </c>
      <c r="T81" s="50">
        <f>SUM(START:END!T81)</f>
        <v>0</v>
      </c>
      <c r="U81" s="50">
        <f>SUM(START:END!U81)</f>
        <v>0</v>
      </c>
      <c r="V81" s="50">
        <f>SUM(START:END!V81)</f>
        <v>0</v>
      </c>
      <c r="W81" s="50">
        <f>SUM(START:END!W81)</f>
        <v>0</v>
      </c>
      <c r="X81" s="49">
        <f>SUM(START:END!X81)</f>
        <v>0</v>
      </c>
      <c r="Y81" s="50">
        <f t="shared" si="4"/>
        <v>1</v>
      </c>
    </row>
    <row r="82" spans="2:25" ht="18.95" customHeight="1" thickBot="1" x14ac:dyDescent="0.35">
      <c r="B82" s="49"/>
      <c r="C82" s="68" t="s">
        <v>134</v>
      </c>
      <c r="D82" s="54"/>
      <c r="E82" s="50">
        <f>SUM(START:END!E82)</f>
        <v>0</v>
      </c>
      <c r="F82" s="50">
        <f>SUM(START:END!F82)</f>
        <v>0</v>
      </c>
      <c r="G82" s="50">
        <f>SUM(START:END!G82)</f>
        <v>0</v>
      </c>
      <c r="H82" s="50">
        <f>SUM(START:END!H82)</f>
        <v>0</v>
      </c>
      <c r="I82" s="50">
        <f>SUM(START:END!I82)</f>
        <v>0</v>
      </c>
      <c r="J82" s="50">
        <f>SUM(START:END!J82)</f>
        <v>0</v>
      </c>
      <c r="K82" s="50">
        <f>SUM(START:END!K82)</f>
        <v>0</v>
      </c>
      <c r="L82" s="50">
        <f>SUM(START:END!L82)</f>
        <v>0</v>
      </c>
      <c r="M82" s="50">
        <f>SUM(START:END!M82)</f>
        <v>0</v>
      </c>
      <c r="N82" s="50">
        <f>SUM(START:END!N82)</f>
        <v>0</v>
      </c>
      <c r="O82" s="39" t="s">
        <v>134</v>
      </c>
      <c r="P82" s="54"/>
      <c r="Q82" s="50">
        <f>SUM(START:END!Q82)</f>
        <v>0</v>
      </c>
      <c r="R82" s="50">
        <f>SUM(START:END!R82)</f>
        <v>0</v>
      </c>
      <c r="S82" s="50">
        <f>SUM(START:END!S82)</f>
        <v>1</v>
      </c>
      <c r="T82" s="50">
        <f>SUM(START:END!T82)</f>
        <v>0</v>
      </c>
      <c r="U82" s="50">
        <f>SUM(START:END!U82)</f>
        <v>0</v>
      </c>
      <c r="V82" s="50">
        <f>SUM(START:END!V82)</f>
        <v>0</v>
      </c>
      <c r="W82" s="50">
        <f>SUM(START:END!W82)</f>
        <v>0</v>
      </c>
      <c r="X82" s="49">
        <f>SUM(START:END!X82)</f>
        <v>0</v>
      </c>
      <c r="Y82" s="50">
        <f t="shared" si="4"/>
        <v>1</v>
      </c>
    </row>
    <row r="83" spans="2:25" ht="18.95" customHeight="1" thickBot="1" x14ac:dyDescent="0.35">
      <c r="B83" s="49"/>
      <c r="C83" s="68" t="s">
        <v>138</v>
      </c>
      <c r="D83" s="54"/>
      <c r="E83" s="50">
        <f>SUM(START:END!E83)</f>
        <v>0</v>
      </c>
      <c r="F83" s="50">
        <f>SUM(START:END!F83)</f>
        <v>0</v>
      </c>
      <c r="G83" s="50">
        <f>SUM(START:END!G83)</f>
        <v>0</v>
      </c>
      <c r="H83" s="50">
        <f>SUM(START:END!H83)</f>
        <v>0</v>
      </c>
      <c r="I83" s="50">
        <f>SUM(START:END!I83)</f>
        <v>0</v>
      </c>
      <c r="J83" s="50">
        <f>SUM(START:END!J83)</f>
        <v>0</v>
      </c>
      <c r="K83" s="50">
        <f>SUM(START:END!K83)</f>
        <v>0</v>
      </c>
      <c r="L83" s="50">
        <f>SUM(START:END!L83)</f>
        <v>0</v>
      </c>
      <c r="M83" s="50">
        <f>SUM(START:END!M83)</f>
        <v>0</v>
      </c>
      <c r="N83" s="50">
        <f>SUM(START:END!N83)</f>
        <v>0</v>
      </c>
      <c r="O83" s="39" t="s">
        <v>138</v>
      </c>
      <c r="P83" s="54"/>
      <c r="Q83" s="50">
        <f>SUM(START:END!Q83)</f>
        <v>0</v>
      </c>
      <c r="R83" s="50">
        <f>SUM(START:END!R83)</f>
        <v>0</v>
      </c>
      <c r="S83" s="50">
        <f>SUM(START:END!S83)</f>
        <v>0</v>
      </c>
      <c r="T83" s="50">
        <f>SUM(START:END!T83)</f>
        <v>0</v>
      </c>
      <c r="U83" s="50">
        <f>SUM(START:END!U83)</f>
        <v>1</v>
      </c>
      <c r="V83" s="50">
        <f>SUM(START:END!V83)</f>
        <v>0</v>
      </c>
      <c r="W83" s="50">
        <f>SUM(START:END!W83)</f>
        <v>0</v>
      </c>
      <c r="X83" s="49">
        <f>SUM(START:END!X83)</f>
        <v>0</v>
      </c>
      <c r="Y83" s="50">
        <f t="shared" si="4"/>
        <v>1</v>
      </c>
    </row>
    <row r="84" spans="2:25" ht="18.95" customHeight="1" thickBot="1" x14ac:dyDescent="0.35">
      <c r="B84" s="49"/>
      <c r="C84" s="68" t="s">
        <v>141</v>
      </c>
      <c r="D84" s="54"/>
      <c r="E84" s="50">
        <f>SUM(START:END!E84)</f>
        <v>0</v>
      </c>
      <c r="F84" s="50">
        <f>SUM(START:END!F84)</f>
        <v>0</v>
      </c>
      <c r="G84" s="50">
        <f>SUM(START:END!G84)</f>
        <v>0</v>
      </c>
      <c r="H84" s="50">
        <f>SUM(START:END!H84)</f>
        <v>0</v>
      </c>
      <c r="I84" s="50">
        <f>SUM(START:END!I84)</f>
        <v>0</v>
      </c>
      <c r="J84" s="50">
        <f>SUM(START:END!J84)</f>
        <v>0</v>
      </c>
      <c r="K84" s="50">
        <f>SUM(START:END!K84)</f>
        <v>0</v>
      </c>
      <c r="L84" s="50">
        <f>SUM(START:END!L84)</f>
        <v>0</v>
      </c>
      <c r="M84" s="50">
        <f>SUM(START:END!M84)</f>
        <v>0</v>
      </c>
      <c r="N84" s="50">
        <f>SUM(START:END!N84)</f>
        <v>0</v>
      </c>
      <c r="O84" s="39" t="s">
        <v>141</v>
      </c>
      <c r="P84" s="54"/>
      <c r="Q84" s="50">
        <f>SUM(START:END!Q84)</f>
        <v>0</v>
      </c>
      <c r="R84" s="50">
        <f>SUM(START:END!R84)</f>
        <v>0</v>
      </c>
      <c r="S84" s="50">
        <f>SUM(START:END!S84)</f>
        <v>0</v>
      </c>
      <c r="T84" s="50">
        <f>SUM(START:END!T84)</f>
        <v>0</v>
      </c>
      <c r="U84" s="50">
        <f>SUM(START:END!U84)</f>
        <v>0</v>
      </c>
      <c r="V84" s="50">
        <f>SUM(START:END!V84)</f>
        <v>0</v>
      </c>
      <c r="W84" s="50">
        <f>SUM(START:END!W84)</f>
        <v>0</v>
      </c>
      <c r="X84" s="49">
        <f>SUM(START:END!X84)</f>
        <v>1</v>
      </c>
      <c r="Y84" s="50">
        <f t="shared" si="4"/>
        <v>1</v>
      </c>
    </row>
    <row r="85" spans="2:25" ht="18.95" customHeight="1" thickBot="1" x14ac:dyDescent="0.35">
      <c r="B85" s="49"/>
      <c r="C85" s="68" t="s">
        <v>142</v>
      </c>
      <c r="D85" s="54"/>
      <c r="E85" s="50">
        <f>SUM(START:END!E85)</f>
        <v>0</v>
      </c>
      <c r="F85" s="50">
        <f>SUM(START:END!F85)</f>
        <v>0</v>
      </c>
      <c r="G85" s="50">
        <f>SUM(START:END!G85)</f>
        <v>0</v>
      </c>
      <c r="H85" s="50">
        <f>SUM(START:END!H85)</f>
        <v>0</v>
      </c>
      <c r="I85" s="50">
        <f>SUM(START:END!I85)</f>
        <v>0</v>
      </c>
      <c r="J85" s="50">
        <f>SUM(START:END!J85)</f>
        <v>0</v>
      </c>
      <c r="K85" s="50">
        <f>SUM(START:END!K85)</f>
        <v>0</v>
      </c>
      <c r="L85" s="50">
        <f>SUM(START:END!L85)</f>
        <v>0</v>
      </c>
      <c r="M85" s="50">
        <f>SUM(START:END!M85)</f>
        <v>0</v>
      </c>
      <c r="N85" s="50">
        <f>SUM(START:END!N85)</f>
        <v>0</v>
      </c>
      <c r="O85" s="39" t="s">
        <v>142</v>
      </c>
      <c r="P85" s="54"/>
      <c r="Q85" s="50">
        <f>SUM(START:END!Q85)</f>
        <v>0</v>
      </c>
      <c r="R85" s="50">
        <f>SUM(START:END!R85)</f>
        <v>0</v>
      </c>
      <c r="S85" s="50">
        <f>SUM(START:END!S85)</f>
        <v>0</v>
      </c>
      <c r="T85" s="50">
        <f>SUM(START:END!T85)</f>
        <v>0</v>
      </c>
      <c r="U85" s="50">
        <f>SUM(START:END!U85)</f>
        <v>0</v>
      </c>
      <c r="V85" s="50">
        <f>SUM(START:END!V85)</f>
        <v>0</v>
      </c>
      <c r="W85" s="50">
        <f>SUM(START:END!W85)</f>
        <v>0</v>
      </c>
      <c r="X85" s="49">
        <f>SUM(START:END!X85)</f>
        <v>1</v>
      </c>
      <c r="Y85" s="50">
        <f t="shared" si="4"/>
        <v>1</v>
      </c>
    </row>
    <row r="86" spans="2:25" ht="18.95" customHeight="1" thickBot="1" x14ac:dyDescent="0.35">
      <c r="B86" s="49"/>
      <c r="C86" s="68" t="s">
        <v>143</v>
      </c>
      <c r="D86" s="54"/>
      <c r="E86" s="50">
        <f>SUM(START:END!E86)</f>
        <v>0</v>
      </c>
      <c r="F86" s="50">
        <f>SUM(START:END!F86)</f>
        <v>0</v>
      </c>
      <c r="G86" s="50">
        <f>SUM(START:END!G86)</f>
        <v>0</v>
      </c>
      <c r="H86" s="50">
        <f>SUM(START:END!H86)</f>
        <v>0</v>
      </c>
      <c r="I86" s="50">
        <f>SUM(START:END!I86)</f>
        <v>0</v>
      </c>
      <c r="J86" s="50">
        <f>SUM(START:END!J86)</f>
        <v>0</v>
      </c>
      <c r="K86" s="50">
        <f>SUM(START:END!K86)</f>
        <v>0</v>
      </c>
      <c r="L86" s="50">
        <f>SUM(START:END!L86)</f>
        <v>0</v>
      </c>
      <c r="M86" s="50">
        <f>SUM(START:END!M86)</f>
        <v>0</v>
      </c>
      <c r="N86" s="50">
        <f>SUM(START:END!N86)</f>
        <v>0</v>
      </c>
      <c r="O86" s="39" t="s">
        <v>143</v>
      </c>
      <c r="P86" s="54"/>
      <c r="Q86" s="50">
        <f>SUM(START:END!Q86)</f>
        <v>0</v>
      </c>
      <c r="R86" s="50">
        <f>SUM(START:END!R86)</f>
        <v>0</v>
      </c>
      <c r="S86" s="50">
        <f>SUM(START:END!S86)</f>
        <v>0</v>
      </c>
      <c r="T86" s="50">
        <f>SUM(START:END!T86)</f>
        <v>0</v>
      </c>
      <c r="U86" s="50">
        <f>SUM(START:END!U86)</f>
        <v>0</v>
      </c>
      <c r="V86" s="50">
        <f>SUM(START:END!V86)</f>
        <v>0</v>
      </c>
      <c r="W86" s="50">
        <f>SUM(START:END!W86)</f>
        <v>0</v>
      </c>
      <c r="X86" s="49">
        <f>SUM(START:END!X86)</f>
        <v>1</v>
      </c>
      <c r="Y86" s="50">
        <f t="shared" si="4"/>
        <v>1</v>
      </c>
    </row>
    <row r="87" spans="2:25" ht="18.95" customHeight="1" thickBot="1" x14ac:dyDescent="0.35">
      <c r="B87" s="49"/>
      <c r="C87" s="68" t="s">
        <v>144</v>
      </c>
      <c r="D87" s="54"/>
      <c r="E87" s="50">
        <f>SUM(START:END!E87)</f>
        <v>0</v>
      </c>
      <c r="F87" s="50">
        <f>SUM(START:END!F87)</f>
        <v>0</v>
      </c>
      <c r="G87" s="50">
        <f>SUM(START:END!G87)</f>
        <v>0</v>
      </c>
      <c r="H87" s="50">
        <f>SUM(START:END!H87)</f>
        <v>0</v>
      </c>
      <c r="I87" s="50">
        <f>SUM(START:END!I87)</f>
        <v>0</v>
      </c>
      <c r="J87" s="50">
        <f>SUM(START:END!J87)</f>
        <v>0</v>
      </c>
      <c r="K87" s="50">
        <f>SUM(START:END!K87)</f>
        <v>0</v>
      </c>
      <c r="L87" s="50">
        <f>SUM(START:END!L87)</f>
        <v>0</v>
      </c>
      <c r="M87" s="50">
        <f>SUM(START:END!M87)</f>
        <v>0</v>
      </c>
      <c r="N87" s="50">
        <f>SUM(START:END!N87)</f>
        <v>0</v>
      </c>
      <c r="O87" s="39" t="s">
        <v>144</v>
      </c>
      <c r="P87" s="54"/>
      <c r="Q87" s="50">
        <f>SUM(START:END!Q87)</f>
        <v>0</v>
      </c>
      <c r="R87" s="50">
        <f>SUM(START:END!R87)</f>
        <v>0</v>
      </c>
      <c r="S87" s="50">
        <f>SUM(START:END!S87)</f>
        <v>0</v>
      </c>
      <c r="T87" s="50">
        <f>SUM(START:END!T87)</f>
        <v>0</v>
      </c>
      <c r="U87" s="50">
        <f>SUM(START:END!U87)</f>
        <v>0</v>
      </c>
      <c r="V87" s="50">
        <f>SUM(START:END!V87)</f>
        <v>0</v>
      </c>
      <c r="W87" s="50">
        <f>SUM(START:END!W87)</f>
        <v>0</v>
      </c>
      <c r="X87" s="49">
        <f>SUM(START:END!X87)</f>
        <v>1</v>
      </c>
      <c r="Y87" s="50">
        <f t="shared" si="4"/>
        <v>1</v>
      </c>
    </row>
    <row r="88" spans="2:25" ht="18.95" customHeight="1" thickBot="1" x14ac:dyDescent="0.35">
      <c r="B88" s="49"/>
      <c r="C88" s="68" t="s">
        <v>145</v>
      </c>
      <c r="D88" s="54"/>
      <c r="E88" s="50">
        <f>SUM(START:END!E88)</f>
        <v>0</v>
      </c>
      <c r="F88" s="50">
        <f>SUM(START:END!F88)</f>
        <v>0</v>
      </c>
      <c r="G88" s="50">
        <f>SUM(START:END!G88)</f>
        <v>0</v>
      </c>
      <c r="H88" s="50">
        <f>SUM(START:END!H88)</f>
        <v>0</v>
      </c>
      <c r="I88" s="50">
        <f>SUM(START:END!I88)</f>
        <v>0</v>
      </c>
      <c r="J88" s="50">
        <f>SUM(START:END!J88)</f>
        <v>0</v>
      </c>
      <c r="K88" s="50">
        <f>SUM(START:END!K88)</f>
        <v>0</v>
      </c>
      <c r="L88" s="50">
        <f>SUM(START:END!L88)</f>
        <v>0</v>
      </c>
      <c r="M88" s="50">
        <f>SUM(START:END!M88)</f>
        <v>0</v>
      </c>
      <c r="N88" s="50">
        <f>SUM(START:END!N88)</f>
        <v>0</v>
      </c>
      <c r="O88" s="39" t="s">
        <v>145</v>
      </c>
      <c r="P88" s="54"/>
      <c r="Q88" s="50">
        <f>SUM(START:END!Q88)</f>
        <v>0</v>
      </c>
      <c r="R88" s="50">
        <f>SUM(START:END!R88)</f>
        <v>0</v>
      </c>
      <c r="S88" s="50">
        <f>SUM(START:END!S88)</f>
        <v>0</v>
      </c>
      <c r="T88" s="50">
        <f>SUM(START:END!T88)</f>
        <v>0</v>
      </c>
      <c r="U88" s="50">
        <f>SUM(START:END!U88)</f>
        <v>0</v>
      </c>
      <c r="V88" s="50">
        <f>SUM(START:END!V88)</f>
        <v>0</v>
      </c>
      <c r="W88" s="50">
        <f>SUM(START:END!W88)</f>
        <v>0</v>
      </c>
      <c r="X88" s="49">
        <f>SUM(START:END!X88)</f>
        <v>1</v>
      </c>
      <c r="Y88" s="50">
        <f t="shared" si="4"/>
        <v>1</v>
      </c>
    </row>
    <row r="89" spans="2:25" ht="18.95" customHeight="1" thickBot="1" x14ac:dyDescent="0.35">
      <c r="B89" s="49"/>
      <c r="C89" s="68" t="s">
        <v>146</v>
      </c>
      <c r="D89" s="54"/>
      <c r="E89" s="50">
        <f>SUM(START:END!E89)</f>
        <v>0</v>
      </c>
      <c r="F89" s="50">
        <f>SUM(START:END!F89)</f>
        <v>0</v>
      </c>
      <c r="G89" s="50">
        <f>SUM(START:END!G89)</f>
        <v>0</v>
      </c>
      <c r="H89" s="50">
        <f>SUM(START:END!H89)</f>
        <v>0</v>
      </c>
      <c r="I89" s="50">
        <f>SUM(START:END!I89)</f>
        <v>0</v>
      </c>
      <c r="J89" s="50">
        <f>SUM(START:END!J89)</f>
        <v>0</v>
      </c>
      <c r="K89" s="50">
        <f>SUM(START:END!K89)</f>
        <v>0</v>
      </c>
      <c r="L89" s="50">
        <f>SUM(START:END!L89)</f>
        <v>0</v>
      </c>
      <c r="M89" s="50">
        <f>SUM(START:END!M89)</f>
        <v>0</v>
      </c>
      <c r="N89" s="50">
        <f>SUM(START:END!N89)</f>
        <v>0</v>
      </c>
      <c r="O89" s="39" t="s">
        <v>146</v>
      </c>
      <c r="P89" s="54"/>
      <c r="Q89" s="50">
        <f>SUM(START:END!Q89)</f>
        <v>0</v>
      </c>
      <c r="R89" s="50">
        <f>SUM(START:END!R89)</f>
        <v>0</v>
      </c>
      <c r="S89" s="50">
        <f>SUM(START:END!S89)</f>
        <v>0</v>
      </c>
      <c r="T89" s="50">
        <f>SUM(START:END!T89)</f>
        <v>0</v>
      </c>
      <c r="U89" s="50">
        <f>SUM(START:END!U89)</f>
        <v>0</v>
      </c>
      <c r="V89" s="50">
        <f>SUM(START:END!V89)</f>
        <v>0</v>
      </c>
      <c r="W89" s="50">
        <f>SUM(START:END!W89)</f>
        <v>0</v>
      </c>
      <c r="X89" s="49">
        <f>SUM(START:END!X89)</f>
        <v>1</v>
      </c>
      <c r="Y89" s="50">
        <f t="shared" si="4"/>
        <v>1</v>
      </c>
    </row>
    <row r="90" spans="2:25" ht="18.95" customHeight="1" thickBot="1" x14ac:dyDescent="0.35">
      <c r="B90" s="49"/>
      <c r="C90" s="68" t="s">
        <v>147</v>
      </c>
      <c r="D90" s="54"/>
      <c r="E90" s="50">
        <f>SUM(START:END!E90)</f>
        <v>0</v>
      </c>
      <c r="F90" s="50">
        <f>SUM(START:END!F90)</f>
        <v>0</v>
      </c>
      <c r="G90" s="50">
        <f>SUM(START:END!G90)</f>
        <v>0</v>
      </c>
      <c r="H90" s="50">
        <f>SUM(START:END!H90)</f>
        <v>0</v>
      </c>
      <c r="I90" s="50">
        <f>SUM(START:END!I90)</f>
        <v>0</v>
      </c>
      <c r="J90" s="50">
        <f>SUM(START:END!J90)</f>
        <v>0</v>
      </c>
      <c r="K90" s="50">
        <f>SUM(START:END!K90)</f>
        <v>0</v>
      </c>
      <c r="L90" s="50">
        <f>SUM(START:END!L90)</f>
        <v>0</v>
      </c>
      <c r="M90" s="50">
        <f>SUM(START:END!M90)</f>
        <v>0</v>
      </c>
      <c r="N90" s="50">
        <f>SUM(START:END!N90)</f>
        <v>0</v>
      </c>
      <c r="O90" s="39" t="s">
        <v>147</v>
      </c>
      <c r="P90" s="54"/>
      <c r="Q90" s="50">
        <f>SUM(START:END!Q90)</f>
        <v>0</v>
      </c>
      <c r="R90" s="50">
        <f>SUM(START:END!R90)</f>
        <v>0</v>
      </c>
      <c r="S90" s="50">
        <f>SUM(START:END!S90)</f>
        <v>0</v>
      </c>
      <c r="T90" s="50">
        <f>SUM(START:END!T90)</f>
        <v>0</v>
      </c>
      <c r="U90" s="50">
        <f>SUM(START:END!U90)</f>
        <v>0</v>
      </c>
      <c r="V90" s="50">
        <f>SUM(START:END!V90)</f>
        <v>0</v>
      </c>
      <c r="W90" s="50">
        <f>SUM(START:END!W90)</f>
        <v>0</v>
      </c>
      <c r="X90" s="49">
        <f>SUM(START:END!X90)</f>
        <v>1</v>
      </c>
      <c r="Y90" s="50">
        <f t="shared" si="4"/>
        <v>1</v>
      </c>
    </row>
    <row r="91" spans="2:25" ht="18.95" customHeight="1" thickBot="1" x14ac:dyDescent="0.35">
      <c r="B91" s="49"/>
      <c r="C91" s="68"/>
      <c r="D91" s="54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39"/>
      <c r="P91" s="54"/>
      <c r="Q91" s="50"/>
      <c r="R91" s="50"/>
      <c r="S91" s="50"/>
      <c r="T91" s="50"/>
      <c r="U91" s="50"/>
      <c r="V91" s="50"/>
      <c r="W91" s="50"/>
      <c r="X91" s="49"/>
      <c r="Y91" s="50"/>
    </row>
    <row r="92" spans="2:25" ht="18.95" customHeight="1" thickBot="1" x14ac:dyDescent="0.35">
      <c r="B92" s="55" t="s">
        <v>40</v>
      </c>
      <c r="C92" s="81"/>
      <c r="D92" s="56"/>
      <c r="E92" s="57"/>
      <c r="F92" s="57"/>
      <c r="G92" s="56"/>
      <c r="H92" s="56"/>
      <c r="I92" s="56"/>
      <c r="J92" s="56"/>
      <c r="K92" s="56"/>
      <c r="L92" s="56"/>
      <c r="M92" s="56"/>
      <c r="N92" s="58"/>
      <c r="O92" s="72" t="s">
        <v>40</v>
      </c>
      <c r="P92" s="59"/>
      <c r="Q92" s="56"/>
      <c r="R92" s="56"/>
      <c r="S92" s="57"/>
      <c r="T92" s="56"/>
      <c r="U92" s="56"/>
      <c r="V92" s="56"/>
      <c r="W92" s="56"/>
      <c r="X92" s="56"/>
      <c r="Y92" s="48"/>
    </row>
    <row r="93" spans="2:25" ht="18.95" customHeight="1" thickBot="1" x14ac:dyDescent="0.35">
      <c r="B93" s="49"/>
      <c r="C93" s="68" t="s">
        <v>61</v>
      </c>
      <c r="D93" s="41"/>
      <c r="E93" s="50">
        <f>SUM(START:END!E93)</f>
        <v>0</v>
      </c>
      <c r="F93" s="50">
        <f>SUM(START:END!F93)</f>
        <v>0</v>
      </c>
      <c r="G93" s="50">
        <f>SUM(START:END!G93)</f>
        <v>0</v>
      </c>
      <c r="H93" s="50">
        <f>SUM(START:END!H93)</f>
        <v>0</v>
      </c>
      <c r="I93" s="50">
        <f>SUM(START:END!I93)</f>
        <v>0</v>
      </c>
      <c r="J93" s="50">
        <f>SUM(START:END!J93)</f>
        <v>0</v>
      </c>
      <c r="K93" s="50">
        <f>SUM(START:END!K93)</f>
        <v>1</v>
      </c>
      <c r="L93" s="50">
        <f>SUM(START:END!L93)</f>
        <v>0</v>
      </c>
      <c r="M93" s="50">
        <f>SUM(START:END!M93)</f>
        <v>0</v>
      </c>
      <c r="N93" s="50">
        <f>SUM(START:END!N93)</f>
        <v>0</v>
      </c>
      <c r="O93" s="39" t="s">
        <v>61</v>
      </c>
      <c r="P93" s="41"/>
      <c r="Q93" s="50">
        <f>SUM(START:END!Q93)</f>
        <v>0</v>
      </c>
      <c r="R93" s="50">
        <f>SUM(START:END!R93)</f>
        <v>0</v>
      </c>
      <c r="S93" s="50">
        <f>SUM(START:END!S93)</f>
        <v>0</v>
      </c>
      <c r="T93" s="50">
        <f>SUM(START:END!T93)</f>
        <v>0</v>
      </c>
      <c r="U93" s="50">
        <f>SUM(START:END!U93)</f>
        <v>0</v>
      </c>
      <c r="V93" s="50">
        <f>SUM(START:END!V93)</f>
        <v>0</v>
      </c>
      <c r="W93" s="50">
        <f>SUM(START:END!W93)</f>
        <v>0</v>
      </c>
      <c r="X93" s="49">
        <f>SUM(START:END!X93)</f>
        <v>0</v>
      </c>
      <c r="Y93" s="50">
        <f t="shared" ref="Y93:Y110" si="5">SUM(E93:X93)</f>
        <v>1</v>
      </c>
    </row>
    <row r="94" spans="2:25" ht="18.95" customHeight="1" thickBot="1" x14ac:dyDescent="0.35">
      <c r="B94" s="49"/>
      <c r="C94" s="68" t="s">
        <v>75</v>
      </c>
      <c r="D94" s="41"/>
      <c r="E94" s="50">
        <f>SUM(START:END!E94)</f>
        <v>0</v>
      </c>
      <c r="F94" s="50">
        <f>SUM(START:END!F94)</f>
        <v>0</v>
      </c>
      <c r="G94" s="50">
        <f>SUM(START:END!G94)</f>
        <v>0</v>
      </c>
      <c r="H94" s="50">
        <f>SUM(START:END!H94)</f>
        <v>0</v>
      </c>
      <c r="I94" s="50">
        <f>SUM(START:END!I94)</f>
        <v>0</v>
      </c>
      <c r="J94" s="50">
        <f>SUM(START:END!J94)</f>
        <v>0</v>
      </c>
      <c r="K94" s="50">
        <f>SUM(START:END!K94)</f>
        <v>1</v>
      </c>
      <c r="L94" s="50">
        <f>SUM(START:END!L94)</f>
        <v>0</v>
      </c>
      <c r="M94" s="50">
        <f>SUM(START:END!M94)</f>
        <v>0</v>
      </c>
      <c r="N94" s="50">
        <f>SUM(START:END!N94)</f>
        <v>0</v>
      </c>
      <c r="O94" s="39" t="s">
        <v>75</v>
      </c>
      <c r="P94" s="41"/>
      <c r="Q94" s="50">
        <f>SUM(START:END!Q94)</f>
        <v>0</v>
      </c>
      <c r="R94" s="50">
        <f>SUM(START:END!R94)</f>
        <v>0</v>
      </c>
      <c r="S94" s="50">
        <f>SUM(START:END!S94)</f>
        <v>0</v>
      </c>
      <c r="T94" s="50">
        <f>SUM(START:END!T94)</f>
        <v>0</v>
      </c>
      <c r="U94" s="50">
        <f>SUM(START:END!U94)</f>
        <v>0</v>
      </c>
      <c r="V94" s="50">
        <f>SUM(START:END!V94)</f>
        <v>0</v>
      </c>
      <c r="W94" s="50">
        <f>SUM(START:END!W94)</f>
        <v>0</v>
      </c>
      <c r="X94" s="49">
        <f>SUM(START:END!X94)</f>
        <v>0</v>
      </c>
      <c r="Y94" s="50">
        <f t="shared" si="5"/>
        <v>1</v>
      </c>
    </row>
    <row r="95" spans="2:25" ht="18.95" customHeight="1" thickBot="1" x14ac:dyDescent="0.35">
      <c r="B95" s="49"/>
      <c r="C95" s="68" t="s">
        <v>76</v>
      </c>
      <c r="D95" s="41"/>
      <c r="E95" s="50">
        <f>SUM(START:END!E95)</f>
        <v>0</v>
      </c>
      <c r="F95" s="50">
        <f>SUM(START:END!F95)</f>
        <v>0</v>
      </c>
      <c r="G95" s="50">
        <f>SUM(START:END!G95)</f>
        <v>0</v>
      </c>
      <c r="H95" s="50">
        <f>SUM(START:END!H95)</f>
        <v>0</v>
      </c>
      <c r="I95" s="50">
        <f>SUM(START:END!I95)</f>
        <v>0</v>
      </c>
      <c r="J95" s="50">
        <f>SUM(START:END!J95)</f>
        <v>1</v>
      </c>
      <c r="K95" s="50">
        <f>SUM(START:END!K95)</f>
        <v>1</v>
      </c>
      <c r="L95" s="50">
        <f>SUM(START:END!L95)</f>
        <v>0</v>
      </c>
      <c r="M95" s="50">
        <f>SUM(START:END!M95)</f>
        <v>0</v>
      </c>
      <c r="N95" s="50">
        <f>SUM(START:END!N95)</f>
        <v>0</v>
      </c>
      <c r="O95" s="39" t="s">
        <v>76</v>
      </c>
      <c r="P95" s="41"/>
      <c r="Q95" s="50">
        <f>SUM(START:END!Q95)</f>
        <v>0</v>
      </c>
      <c r="R95" s="50">
        <f>SUM(START:END!R95)</f>
        <v>0</v>
      </c>
      <c r="S95" s="50">
        <f>SUM(START:END!S95)</f>
        <v>0</v>
      </c>
      <c r="T95" s="50">
        <f>SUM(START:END!T95)</f>
        <v>0</v>
      </c>
      <c r="U95" s="50">
        <f>SUM(START:END!U95)</f>
        <v>0</v>
      </c>
      <c r="V95" s="50">
        <f>SUM(START:END!V95)</f>
        <v>0</v>
      </c>
      <c r="W95" s="50">
        <f>SUM(START:END!W95)</f>
        <v>0</v>
      </c>
      <c r="X95" s="49">
        <f>SUM(START:END!X95)</f>
        <v>0</v>
      </c>
      <c r="Y95" s="50">
        <f t="shared" ref="Y95:Y103" si="6">SUM(E95:X95)</f>
        <v>2</v>
      </c>
    </row>
    <row r="96" spans="2:25" ht="18.95" customHeight="1" thickBot="1" x14ac:dyDescent="0.35">
      <c r="B96" s="49"/>
      <c r="C96" s="68" t="s">
        <v>83</v>
      </c>
      <c r="D96" s="41"/>
      <c r="E96" s="50">
        <f>SUM(START:END!E96)</f>
        <v>0</v>
      </c>
      <c r="F96" s="50">
        <f>SUM(START:END!F96)</f>
        <v>0</v>
      </c>
      <c r="G96" s="50">
        <f>SUM(START:END!G96)</f>
        <v>0</v>
      </c>
      <c r="H96" s="50">
        <f>SUM(START:END!H96)</f>
        <v>0</v>
      </c>
      <c r="I96" s="50">
        <f>SUM(START:END!I96)</f>
        <v>0</v>
      </c>
      <c r="J96" s="50">
        <f>SUM(START:END!J96)</f>
        <v>0</v>
      </c>
      <c r="K96" s="50">
        <f>SUM(START:END!K96)</f>
        <v>0</v>
      </c>
      <c r="L96" s="50">
        <f>SUM(START:END!L96)</f>
        <v>1</v>
      </c>
      <c r="M96" s="50">
        <f>SUM(START:END!M96)</f>
        <v>0</v>
      </c>
      <c r="N96" s="50">
        <f>SUM(START:END!N96)</f>
        <v>0</v>
      </c>
      <c r="O96" s="39" t="s">
        <v>83</v>
      </c>
      <c r="P96" s="41"/>
      <c r="Q96" s="50">
        <f>SUM(START:END!Q96)</f>
        <v>0</v>
      </c>
      <c r="R96" s="50">
        <f>SUM(START:END!R96)</f>
        <v>0</v>
      </c>
      <c r="S96" s="50">
        <f>SUM(START:END!S96)</f>
        <v>0</v>
      </c>
      <c r="T96" s="50">
        <f>SUM(START:END!T96)</f>
        <v>0</v>
      </c>
      <c r="U96" s="50">
        <f>SUM(START:END!U96)</f>
        <v>0</v>
      </c>
      <c r="V96" s="50">
        <f>SUM(START:END!V96)</f>
        <v>0</v>
      </c>
      <c r="W96" s="50">
        <f>SUM(START:END!W96)</f>
        <v>0</v>
      </c>
      <c r="X96" s="49">
        <f>SUM(START:END!X96)</f>
        <v>0</v>
      </c>
      <c r="Y96" s="50">
        <f t="shared" si="6"/>
        <v>1</v>
      </c>
    </row>
    <row r="97" spans="2:25" ht="18.95" customHeight="1" thickBot="1" x14ac:dyDescent="0.35">
      <c r="B97" s="49"/>
      <c r="C97" s="68" t="s">
        <v>108</v>
      </c>
      <c r="D97" s="41"/>
      <c r="E97" s="50">
        <f>SUM(START:END!E97)</f>
        <v>0</v>
      </c>
      <c r="F97" s="50">
        <f>SUM(START:END!F97)</f>
        <v>0</v>
      </c>
      <c r="G97" s="50">
        <f>SUM(START:END!G97)</f>
        <v>0</v>
      </c>
      <c r="H97" s="50">
        <f>SUM(START:END!H97)</f>
        <v>0</v>
      </c>
      <c r="I97" s="50">
        <f>SUM(START:END!I97)</f>
        <v>0</v>
      </c>
      <c r="J97" s="50">
        <f>SUM(START:END!J97)</f>
        <v>1</v>
      </c>
      <c r="K97" s="50">
        <f>SUM(START:END!K97)</f>
        <v>1</v>
      </c>
      <c r="L97" s="50">
        <f>SUM(START:END!L97)</f>
        <v>0</v>
      </c>
      <c r="M97" s="50">
        <f>SUM(START:END!M97)</f>
        <v>0</v>
      </c>
      <c r="N97" s="50">
        <f>SUM(START:END!N97)</f>
        <v>0</v>
      </c>
      <c r="O97" s="39" t="s">
        <v>108</v>
      </c>
      <c r="P97" s="41"/>
      <c r="Q97" s="50">
        <f>SUM(START:END!Q97)</f>
        <v>0</v>
      </c>
      <c r="R97" s="50">
        <f>SUM(START:END!R97)</f>
        <v>0</v>
      </c>
      <c r="S97" s="50">
        <f>SUM(START:END!S97)</f>
        <v>0</v>
      </c>
      <c r="T97" s="50">
        <f>SUM(START:END!T97)</f>
        <v>0</v>
      </c>
      <c r="U97" s="50">
        <f>SUM(START:END!U97)</f>
        <v>0</v>
      </c>
      <c r="V97" s="50">
        <f>SUM(START:END!V97)</f>
        <v>0</v>
      </c>
      <c r="W97" s="50">
        <f>SUM(START:END!W97)</f>
        <v>0</v>
      </c>
      <c r="X97" s="49">
        <f>SUM(START:END!X97)</f>
        <v>0</v>
      </c>
      <c r="Y97" s="50">
        <f t="shared" si="6"/>
        <v>2</v>
      </c>
    </row>
    <row r="98" spans="2:25" ht="18.95" customHeight="1" thickBot="1" x14ac:dyDescent="0.35">
      <c r="B98" s="49"/>
      <c r="C98" s="68" t="s">
        <v>109</v>
      </c>
      <c r="D98" s="41"/>
      <c r="E98" s="50">
        <f>SUM(START:END!E98)</f>
        <v>0</v>
      </c>
      <c r="F98" s="50">
        <f>SUM(START:END!F98)</f>
        <v>0</v>
      </c>
      <c r="G98" s="50">
        <f>SUM(START:END!G98)</f>
        <v>0</v>
      </c>
      <c r="H98" s="50">
        <f>SUM(START:END!H98)</f>
        <v>0</v>
      </c>
      <c r="I98" s="50">
        <f>SUM(START:END!I98)</f>
        <v>0</v>
      </c>
      <c r="J98" s="50">
        <f>SUM(START:END!J98)</f>
        <v>0</v>
      </c>
      <c r="K98" s="50">
        <f>SUM(START:END!K98)</f>
        <v>1</v>
      </c>
      <c r="L98" s="50">
        <f>SUM(START:END!L98)</f>
        <v>0</v>
      </c>
      <c r="M98" s="50">
        <f>SUM(START:END!M98)</f>
        <v>0</v>
      </c>
      <c r="N98" s="50">
        <f>SUM(START:END!N98)</f>
        <v>0</v>
      </c>
      <c r="O98" s="39" t="s">
        <v>109</v>
      </c>
      <c r="P98" s="41"/>
      <c r="Q98" s="50">
        <f>SUM(START:END!Q98)</f>
        <v>0</v>
      </c>
      <c r="R98" s="50">
        <f>SUM(START:END!R98)</f>
        <v>0</v>
      </c>
      <c r="S98" s="50">
        <f>SUM(START:END!S98)</f>
        <v>0</v>
      </c>
      <c r="T98" s="50">
        <f>SUM(START:END!T98)</f>
        <v>0</v>
      </c>
      <c r="U98" s="50">
        <f>SUM(START:END!U98)</f>
        <v>0</v>
      </c>
      <c r="V98" s="50">
        <f>SUM(START:END!V98)</f>
        <v>0</v>
      </c>
      <c r="W98" s="50">
        <f>SUM(START:END!W98)</f>
        <v>0</v>
      </c>
      <c r="X98" s="49">
        <f>SUM(START:END!X98)</f>
        <v>0</v>
      </c>
      <c r="Y98" s="50">
        <f t="shared" si="6"/>
        <v>1</v>
      </c>
    </row>
    <row r="99" spans="2:25" ht="18.95" customHeight="1" thickBot="1" x14ac:dyDescent="0.35">
      <c r="B99" s="49"/>
      <c r="C99" s="68" t="s">
        <v>123</v>
      </c>
      <c r="D99" s="41"/>
      <c r="E99" s="50">
        <f>SUM(START:END!E99)</f>
        <v>0</v>
      </c>
      <c r="F99" s="50">
        <f>SUM(START:END!F99)</f>
        <v>0</v>
      </c>
      <c r="G99" s="50">
        <f>SUM(START:END!G99)</f>
        <v>0</v>
      </c>
      <c r="H99" s="50">
        <f>SUM(START:END!H99)</f>
        <v>0</v>
      </c>
      <c r="I99" s="50">
        <f>SUM(START:END!I99)</f>
        <v>0</v>
      </c>
      <c r="J99" s="50">
        <f>SUM(START:END!J99)</f>
        <v>0</v>
      </c>
      <c r="K99" s="50">
        <f>SUM(START:END!K99)</f>
        <v>0</v>
      </c>
      <c r="L99" s="50">
        <f>SUM(START:END!L99)</f>
        <v>1</v>
      </c>
      <c r="M99" s="50">
        <f>SUM(START:END!M99)</f>
        <v>0</v>
      </c>
      <c r="N99" s="50">
        <f>SUM(START:END!N99)</f>
        <v>0</v>
      </c>
      <c r="O99" s="39" t="s">
        <v>123</v>
      </c>
      <c r="P99" s="41"/>
      <c r="Q99" s="50">
        <f>SUM(START:END!Q99)</f>
        <v>0</v>
      </c>
      <c r="R99" s="50">
        <f>SUM(START:END!R99)</f>
        <v>0</v>
      </c>
      <c r="S99" s="50">
        <f>SUM(START:END!S99)</f>
        <v>0</v>
      </c>
      <c r="T99" s="50">
        <f>SUM(START:END!T99)</f>
        <v>0</v>
      </c>
      <c r="U99" s="50">
        <f>SUM(START:END!U99)</f>
        <v>0</v>
      </c>
      <c r="V99" s="50">
        <f>SUM(START:END!V99)</f>
        <v>0</v>
      </c>
      <c r="W99" s="50">
        <f>SUM(START:END!W99)</f>
        <v>0</v>
      </c>
      <c r="X99" s="49">
        <f>SUM(START:END!X99)</f>
        <v>0</v>
      </c>
      <c r="Y99" s="50">
        <f t="shared" si="6"/>
        <v>1</v>
      </c>
    </row>
    <row r="100" spans="2:25" ht="18.95" customHeight="1" thickBot="1" x14ac:dyDescent="0.35">
      <c r="B100" s="49"/>
      <c r="C100" s="68" t="s">
        <v>124</v>
      </c>
      <c r="D100" s="41"/>
      <c r="E100" s="50">
        <f>SUM(START:END!E100)</f>
        <v>0</v>
      </c>
      <c r="F100" s="50">
        <f>SUM(START:END!F100)</f>
        <v>0</v>
      </c>
      <c r="G100" s="50">
        <f>SUM(START:END!G100)</f>
        <v>0</v>
      </c>
      <c r="H100" s="50">
        <f>SUM(START:END!H100)</f>
        <v>0</v>
      </c>
      <c r="I100" s="50">
        <f>SUM(START:END!I100)</f>
        <v>0</v>
      </c>
      <c r="J100" s="50">
        <f>SUM(START:END!J100)</f>
        <v>0</v>
      </c>
      <c r="K100" s="50">
        <f>SUM(START:END!K100)</f>
        <v>0</v>
      </c>
      <c r="L100" s="50">
        <f>SUM(START:END!L100)</f>
        <v>1</v>
      </c>
      <c r="M100" s="50">
        <f>SUM(START:END!M100)</f>
        <v>0</v>
      </c>
      <c r="N100" s="50">
        <f>SUM(START:END!N100)</f>
        <v>0</v>
      </c>
      <c r="O100" s="39" t="s">
        <v>124</v>
      </c>
      <c r="P100" s="41"/>
      <c r="Q100" s="50">
        <f>SUM(START:END!Q100)</f>
        <v>0</v>
      </c>
      <c r="R100" s="50">
        <f>SUM(START:END!R100)</f>
        <v>0</v>
      </c>
      <c r="S100" s="50">
        <f>SUM(START:END!S100)</f>
        <v>0</v>
      </c>
      <c r="T100" s="50">
        <f>SUM(START:END!T100)</f>
        <v>0</v>
      </c>
      <c r="U100" s="50">
        <f>SUM(START:END!U100)</f>
        <v>0</v>
      </c>
      <c r="V100" s="50">
        <f>SUM(START:END!V100)</f>
        <v>0</v>
      </c>
      <c r="W100" s="50">
        <f>SUM(START:END!W100)</f>
        <v>0</v>
      </c>
      <c r="X100" s="49">
        <f>SUM(START:END!X100)</f>
        <v>0</v>
      </c>
      <c r="Y100" s="50">
        <f t="shared" si="6"/>
        <v>1</v>
      </c>
    </row>
    <row r="101" spans="2:25" ht="18.95" customHeight="1" thickBot="1" x14ac:dyDescent="0.35">
      <c r="B101" s="49"/>
      <c r="C101" s="68" t="s">
        <v>125</v>
      </c>
      <c r="D101" s="41"/>
      <c r="E101" s="50">
        <f>SUM(START:END!E101)</f>
        <v>0</v>
      </c>
      <c r="F101" s="50">
        <f>SUM(START:END!F101)</f>
        <v>0</v>
      </c>
      <c r="G101" s="50">
        <f>SUM(START:END!G101)</f>
        <v>0</v>
      </c>
      <c r="H101" s="50">
        <f>SUM(START:END!H101)</f>
        <v>0</v>
      </c>
      <c r="I101" s="50">
        <f>SUM(START:END!I101)</f>
        <v>0</v>
      </c>
      <c r="J101" s="50">
        <f>SUM(START:END!J101)</f>
        <v>0</v>
      </c>
      <c r="K101" s="50">
        <f>SUM(START:END!K101)</f>
        <v>0</v>
      </c>
      <c r="L101" s="50">
        <f>SUM(START:END!L101)</f>
        <v>1</v>
      </c>
      <c r="M101" s="50">
        <f>SUM(START:END!M101)</f>
        <v>0</v>
      </c>
      <c r="N101" s="50">
        <f>SUM(START:END!N101)</f>
        <v>0</v>
      </c>
      <c r="O101" s="39" t="s">
        <v>125</v>
      </c>
      <c r="P101" s="41"/>
      <c r="Q101" s="50">
        <f>SUM(START:END!Q101)</f>
        <v>0</v>
      </c>
      <c r="R101" s="50">
        <f>SUM(START:END!R101)</f>
        <v>0</v>
      </c>
      <c r="S101" s="50">
        <f>SUM(START:END!S101)</f>
        <v>0</v>
      </c>
      <c r="T101" s="50">
        <f>SUM(START:END!T101)</f>
        <v>0</v>
      </c>
      <c r="U101" s="50">
        <f>SUM(START:END!U101)</f>
        <v>0</v>
      </c>
      <c r="V101" s="50">
        <f>SUM(START:END!V101)</f>
        <v>0</v>
      </c>
      <c r="W101" s="50">
        <f>SUM(START:END!W101)</f>
        <v>0</v>
      </c>
      <c r="X101" s="49">
        <f>SUM(START:END!X101)</f>
        <v>0</v>
      </c>
      <c r="Y101" s="50">
        <f t="shared" si="6"/>
        <v>1</v>
      </c>
    </row>
    <row r="102" spans="2:25" ht="18.95" customHeight="1" thickBot="1" x14ac:dyDescent="0.35">
      <c r="B102" s="49"/>
      <c r="C102" s="68" t="s">
        <v>126</v>
      </c>
      <c r="D102" s="41"/>
      <c r="E102" s="50">
        <f>SUM(START:END!E102)</f>
        <v>0</v>
      </c>
      <c r="F102" s="50">
        <f>SUM(START:END!F102)</f>
        <v>0</v>
      </c>
      <c r="G102" s="50">
        <f>SUM(START:END!G102)</f>
        <v>0</v>
      </c>
      <c r="H102" s="50">
        <f>SUM(START:END!H102)</f>
        <v>0</v>
      </c>
      <c r="I102" s="50">
        <f>SUM(START:END!I102)</f>
        <v>0</v>
      </c>
      <c r="J102" s="50">
        <f>SUM(START:END!J102)</f>
        <v>0</v>
      </c>
      <c r="K102" s="50">
        <f>SUM(START:END!K102)</f>
        <v>0</v>
      </c>
      <c r="L102" s="50">
        <f>SUM(START:END!L102)</f>
        <v>1</v>
      </c>
      <c r="M102" s="50">
        <f>SUM(START:END!M102)</f>
        <v>0</v>
      </c>
      <c r="N102" s="50">
        <f>SUM(START:END!N102)</f>
        <v>0</v>
      </c>
      <c r="O102" s="39" t="s">
        <v>126</v>
      </c>
      <c r="P102" s="41"/>
      <c r="Q102" s="50">
        <f>SUM(START:END!Q102)</f>
        <v>0</v>
      </c>
      <c r="R102" s="50">
        <f>SUM(START:END!R102)</f>
        <v>0</v>
      </c>
      <c r="S102" s="50">
        <f>SUM(START:END!S102)</f>
        <v>0</v>
      </c>
      <c r="T102" s="50">
        <f>SUM(START:END!T102)</f>
        <v>0</v>
      </c>
      <c r="U102" s="50">
        <f>SUM(START:END!U102)</f>
        <v>0</v>
      </c>
      <c r="V102" s="50">
        <f>SUM(START:END!V102)</f>
        <v>0</v>
      </c>
      <c r="W102" s="50">
        <f>SUM(START:END!W102)</f>
        <v>0</v>
      </c>
      <c r="X102" s="49">
        <f>SUM(START:END!X102)</f>
        <v>0</v>
      </c>
      <c r="Y102" s="50">
        <f t="shared" si="6"/>
        <v>1</v>
      </c>
    </row>
    <row r="103" spans="2:25" ht="18.95" customHeight="1" thickBot="1" x14ac:dyDescent="0.35">
      <c r="B103" s="49"/>
      <c r="C103" s="68" t="s">
        <v>98</v>
      </c>
      <c r="D103" s="41"/>
      <c r="E103" s="50">
        <f>SUM(START:END!E103)</f>
        <v>0</v>
      </c>
      <c r="F103" s="50">
        <f>SUM(START:END!F103)</f>
        <v>0</v>
      </c>
      <c r="G103" s="50">
        <f>SUM(START:END!G103)</f>
        <v>0</v>
      </c>
      <c r="H103" s="50">
        <f>SUM(START:END!H103)</f>
        <v>0</v>
      </c>
      <c r="I103" s="50">
        <f>SUM(START:END!I103)</f>
        <v>0</v>
      </c>
      <c r="J103" s="50">
        <f>SUM(START:END!J103)</f>
        <v>0</v>
      </c>
      <c r="K103" s="50">
        <f>SUM(START:END!K103)</f>
        <v>1</v>
      </c>
      <c r="L103" s="50">
        <f>SUM(START:END!L103)</f>
        <v>0</v>
      </c>
      <c r="M103" s="50">
        <f>SUM(START:END!M103)</f>
        <v>0</v>
      </c>
      <c r="N103" s="50">
        <f>SUM(START:END!N103)</f>
        <v>0</v>
      </c>
      <c r="O103" s="39"/>
      <c r="P103" s="41"/>
      <c r="Q103" s="50">
        <f>SUM(START:END!Q103)</f>
        <v>0</v>
      </c>
      <c r="R103" s="50">
        <f>SUM(START:END!R103)</f>
        <v>0</v>
      </c>
      <c r="S103" s="50">
        <f>SUM(START:END!S103)</f>
        <v>0</v>
      </c>
      <c r="T103" s="50">
        <f>SUM(START:END!T103)</f>
        <v>0</v>
      </c>
      <c r="U103" s="50">
        <f>SUM(START:END!U103)</f>
        <v>0</v>
      </c>
      <c r="V103" s="50">
        <f>SUM(START:END!V103)</f>
        <v>0</v>
      </c>
      <c r="W103" s="50">
        <f>SUM(START:END!W103)</f>
        <v>0</v>
      </c>
      <c r="X103" s="49">
        <f>SUM(START:END!X103)</f>
        <v>0</v>
      </c>
      <c r="Y103" s="50">
        <f t="shared" si="6"/>
        <v>1</v>
      </c>
    </row>
    <row r="104" spans="2:25" ht="27" x14ac:dyDescent="0.35">
      <c r="B104" s="22" t="s">
        <v>41</v>
      </c>
      <c r="C104" s="78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70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2:25" ht="27.75" x14ac:dyDescent="0.4">
      <c r="B105" s="1" t="s">
        <v>44</v>
      </c>
      <c r="C105" s="78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70"/>
      <c r="P105" s="1"/>
      <c r="Q105" s="1"/>
      <c r="R105" s="2"/>
      <c r="S105" s="1"/>
      <c r="T105" s="1"/>
      <c r="U105" s="1"/>
      <c r="V105" s="1"/>
      <c r="W105" s="7"/>
      <c r="X105" s="1"/>
      <c r="Y105" s="1"/>
    </row>
    <row r="106" spans="2:25" ht="13.5" thickBot="1" x14ac:dyDescent="0.25">
      <c r="B106" s="26"/>
      <c r="C106" s="82"/>
      <c r="D106" s="28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73"/>
      <c r="P106" s="28"/>
      <c r="Q106" s="27"/>
      <c r="R106" s="27"/>
      <c r="S106" s="27"/>
      <c r="T106" s="27"/>
      <c r="U106" s="27"/>
      <c r="V106" s="27"/>
      <c r="W106" s="27"/>
      <c r="X106" s="27"/>
      <c r="Y106" s="27"/>
    </row>
    <row r="107" spans="2:25" s="88" customFormat="1" ht="157.5" thickBot="1" x14ac:dyDescent="0.35">
      <c r="B107" s="86" t="s">
        <v>0</v>
      </c>
      <c r="C107" s="86" t="s">
        <v>1</v>
      </c>
      <c r="D107" s="89" t="s">
        <v>2</v>
      </c>
      <c r="E107" s="89" t="s">
        <v>3</v>
      </c>
      <c r="F107" s="89" t="s">
        <v>4</v>
      </c>
      <c r="G107" s="89" t="s">
        <v>5</v>
      </c>
      <c r="H107" s="89" t="s">
        <v>6</v>
      </c>
      <c r="I107" s="89" t="s">
        <v>7</v>
      </c>
      <c r="J107" s="89" t="s">
        <v>23</v>
      </c>
      <c r="K107" s="89" t="s">
        <v>24</v>
      </c>
      <c r="L107" s="89" t="s">
        <v>25</v>
      </c>
      <c r="M107" s="90" t="s">
        <v>26</v>
      </c>
      <c r="N107" s="89" t="s">
        <v>27</v>
      </c>
      <c r="O107" s="87" t="s">
        <v>1</v>
      </c>
      <c r="P107" s="89" t="s">
        <v>2</v>
      </c>
      <c r="Q107" s="89" t="s">
        <v>28</v>
      </c>
      <c r="R107" s="89" t="s">
        <v>8</v>
      </c>
      <c r="S107" s="89" t="s">
        <v>9</v>
      </c>
      <c r="T107" s="89" t="s">
        <v>10</v>
      </c>
      <c r="U107" s="89" t="s">
        <v>29</v>
      </c>
      <c r="V107" s="89" t="s">
        <v>11</v>
      </c>
      <c r="W107" s="89" t="s">
        <v>12</v>
      </c>
      <c r="X107" s="89" t="s">
        <v>13</v>
      </c>
      <c r="Y107" s="89" t="s">
        <v>14</v>
      </c>
    </row>
    <row r="108" spans="2:25" s="43" customFormat="1" ht="18.95" customHeight="1" thickBot="1" x14ac:dyDescent="0.35">
      <c r="B108" s="44" t="s">
        <v>31</v>
      </c>
      <c r="C108" s="83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6"/>
      <c r="O108" s="74" t="s">
        <v>31</v>
      </c>
      <c r="P108" s="45"/>
      <c r="Q108" s="47"/>
      <c r="R108" s="45"/>
      <c r="S108" s="47"/>
      <c r="T108" s="45"/>
      <c r="U108" s="45"/>
      <c r="V108" s="45"/>
      <c r="W108" s="45"/>
      <c r="X108" s="45"/>
      <c r="Y108" s="48"/>
    </row>
    <row r="109" spans="2:25" s="43" customFormat="1" ht="18.95" customHeight="1" thickBot="1" x14ac:dyDescent="0.35">
      <c r="B109" s="44" t="s">
        <v>149</v>
      </c>
      <c r="C109" s="83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6"/>
      <c r="O109" s="74" t="s">
        <v>149</v>
      </c>
      <c r="P109" s="45"/>
      <c r="Q109" s="47"/>
      <c r="R109" s="45"/>
      <c r="S109" s="47"/>
      <c r="T109" s="45"/>
      <c r="U109" s="45"/>
      <c r="V109" s="45"/>
      <c r="W109" s="45"/>
      <c r="X109" s="45"/>
      <c r="Y109" s="48"/>
    </row>
    <row r="110" spans="2:25" s="43" customFormat="1" ht="18.95" customHeight="1" thickBot="1" x14ac:dyDescent="0.35">
      <c r="B110" s="49"/>
      <c r="C110" s="68" t="s">
        <v>48</v>
      </c>
      <c r="D110" s="41"/>
      <c r="E110" s="50">
        <f>SUM(START:END!E110)</f>
        <v>1</v>
      </c>
      <c r="F110" s="50">
        <f>SUM(START:END!F110)</f>
        <v>0</v>
      </c>
      <c r="G110" s="50">
        <f>SUM(START:END!G110)</f>
        <v>0</v>
      </c>
      <c r="H110" s="50">
        <f>SUM(START:END!H110)</f>
        <v>0</v>
      </c>
      <c r="I110" s="50">
        <f>SUM(START:END!I110)</f>
        <v>0</v>
      </c>
      <c r="J110" s="50">
        <f>SUM(START:END!J110)</f>
        <v>0</v>
      </c>
      <c r="K110" s="50">
        <f>SUM(START:END!K110)</f>
        <v>0</v>
      </c>
      <c r="L110" s="50">
        <f>SUM(START:END!L110)</f>
        <v>0</v>
      </c>
      <c r="M110" s="50">
        <f>SUM(START:END!M110)</f>
        <v>0</v>
      </c>
      <c r="N110" s="50">
        <f>SUM(START:END!N110)</f>
        <v>0</v>
      </c>
      <c r="O110" s="39" t="s">
        <v>48</v>
      </c>
      <c r="P110" s="41"/>
      <c r="Q110" s="50">
        <f>SUM(START:END!Q110)</f>
        <v>0</v>
      </c>
      <c r="R110" s="50">
        <f>SUM(START:END!R110)</f>
        <v>0</v>
      </c>
      <c r="S110" s="50">
        <f>SUM(START:END!S110)</f>
        <v>0</v>
      </c>
      <c r="T110" s="50">
        <f>SUM(START:END!T110)</f>
        <v>0</v>
      </c>
      <c r="U110" s="50">
        <f>SUM(START:END!U110)</f>
        <v>0</v>
      </c>
      <c r="V110" s="50">
        <f>SUM(START:END!V110)</f>
        <v>0</v>
      </c>
      <c r="W110" s="50">
        <f>SUM(START:END!W110)</f>
        <v>0</v>
      </c>
      <c r="X110" s="49">
        <f>SUM(START:END!X110)</f>
        <v>0</v>
      </c>
      <c r="Y110" s="50">
        <f t="shared" si="5"/>
        <v>1</v>
      </c>
    </row>
    <row r="111" spans="2:25" s="43" customFormat="1" ht="18.95" customHeight="1" thickBot="1" x14ac:dyDescent="0.35">
      <c r="B111" s="49"/>
      <c r="C111" s="68"/>
      <c r="D111" s="41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39"/>
      <c r="P111" s="41"/>
      <c r="Q111" s="50"/>
      <c r="R111" s="50"/>
      <c r="S111" s="50"/>
      <c r="T111" s="50"/>
      <c r="U111" s="50"/>
      <c r="V111" s="50"/>
      <c r="W111" s="50"/>
      <c r="X111" s="49"/>
      <c r="Y111" s="50"/>
    </row>
    <row r="112" spans="2:25" s="43" customFormat="1" ht="18.95" customHeight="1" thickBot="1" x14ac:dyDescent="0.35">
      <c r="B112" s="44" t="s">
        <v>150</v>
      </c>
      <c r="C112" s="83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6"/>
      <c r="O112" s="74" t="s">
        <v>150</v>
      </c>
      <c r="P112" s="45"/>
      <c r="Q112" s="47"/>
      <c r="R112" s="45"/>
      <c r="S112" s="47"/>
      <c r="T112" s="45"/>
      <c r="U112" s="45"/>
      <c r="V112" s="45"/>
      <c r="W112" s="45"/>
      <c r="X112" s="45"/>
      <c r="Y112" s="48"/>
    </row>
    <row r="113" spans="2:25" s="43" customFormat="1" ht="18.95" customHeight="1" thickBot="1" x14ac:dyDescent="0.35">
      <c r="B113" s="49"/>
      <c r="C113" s="68" t="s">
        <v>51</v>
      </c>
      <c r="D113" s="41"/>
      <c r="E113" s="50">
        <f>SUM(START:END!E113)</f>
        <v>0</v>
      </c>
      <c r="F113" s="50">
        <f>SUM(START:END!F113)</f>
        <v>4</v>
      </c>
      <c r="G113" s="50">
        <f>SUM(START:END!G113)</f>
        <v>0</v>
      </c>
      <c r="H113" s="50">
        <f>SUM(START:END!H113)</f>
        <v>0</v>
      </c>
      <c r="I113" s="50">
        <f>SUM(START:END!I113)</f>
        <v>0</v>
      </c>
      <c r="J113" s="50">
        <f>SUM(START:END!J113)</f>
        <v>0</v>
      </c>
      <c r="K113" s="50">
        <f>SUM(START:END!K113)</f>
        <v>0</v>
      </c>
      <c r="L113" s="50">
        <f>SUM(START:END!L113)</f>
        <v>0</v>
      </c>
      <c r="M113" s="50">
        <f>SUM(START:END!M113)</f>
        <v>0</v>
      </c>
      <c r="N113" s="50">
        <f>SUM(START:END!N113)</f>
        <v>0</v>
      </c>
      <c r="O113" s="39" t="s">
        <v>51</v>
      </c>
      <c r="P113" s="41"/>
      <c r="Q113" s="50">
        <f>SUM(START:END!Q113)</f>
        <v>0</v>
      </c>
      <c r="R113" s="50">
        <f>SUM(START:END!R113)</f>
        <v>0</v>
      </c>
      <c r="S113" s="50">
        <f>SUM(START:END!S113)</f>
        <v>0</v>
      </c>
      <c r="T113" s="50">
        <f>SUM(START:END!T113)</f>
        <v>0</v>
      </c>
      <c r="U113" s="50">
        <f>SUM(START:END!U113)</f>
        <v>0</v>
      </c>
      <c r="V113" s="50">
        <f>SUM(START:END!V113)</f>
        <v>0</v>
      </c>
      <c r="W113" s="50">
        <f>SUM(START:END!W113)</f>
        <v>0</v>
      </c>
      <c r="X113" s="49">
        <f>SUM(START:END!X113)</f>
        <v>0</v>
      </c>
      <c r="Y113" s="50">
        <f>SUM(E113:X113)</f>
        <v>4</v>
      </c>
    </row>
    <row r="114" spans="2:25" s="43" customFormat="1" ht="18.95" customHeight="1" thickBot="1" x14ac:dyDescent="0.35">
      <c r="B114" s="44" t="s">
        <v>151</v>
      </c>
      <c r="C114" s="83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6"/>
      <c r="O114" s="74" t="s">
        <v>151</v>
      </c>
      <c r="P114" s="45"/>
      <c r="Q114" s="47"/>
      <c r="R114" s="45"/>
      <c r="S114" s="47"/>
      <c r="T114" s="45"/>
      <c r="U114" s="45"/>
      <c r="V114" s="45"/>
      <c r="W114" s="45"/>
      <c r="X114" s="45"/>
      <c r="Y114" s="48"/>
    </row>
    <row r="115" spans="2:25" s="43" customFormat="1" ht="18.95" customHeight="1" thickBot="1" x14ac:dyDescent="0.35">
      <c r="B115" s="49"/>
      <c r="C115" s="68" t="s">
        <v>53</v>
      </c>
      <c r="D115" s="41"/>
      <c r="E115" s="50">
        <f>SUM(START:END!E115)</f>
        <v>0</v>
      </c>
      <c r="F115" s="50">
        <f>SUM(START:END!F115)</f>
        <v>0</v>
      </c>
      <c r="G115" s="50">
        <f>SUM(START:END!G115)</f>
        <v>0</v>
      </c>
      <c r="H115" s="50">
        <f>SUM(START:END!H115)</f>
        <v>1</v>
      </c>
      <c r="I115" s="50">
        <f>SUM(START:END!I115)</f>
        <v>0</v>
      </c>
      <c r="J115" s="50">
        <f>SUM(START:END!J115)</f>
        <v>0</v>
      </c>
      <c r="K115" s="50">
        <f>SUM(START:END!K115)</f>
        <v>0</v>
      </c>
      <c r="L115" s="50">
        <f>SUM(START:END!L115)</f>
        <v>0</v>
      </c>
      <c r="M115" s="50">
        <f>SUM(START:END!M115)</f>
        <v>0</v>
      </c>
      <c r="N115" s="50">
        <f>SUM(START:END!N115)</f>
        <v>0</v>
      </c>
      <c r="O115" s="39" t="s">
        <v>53</v>
      </c>
      <c r="P115" s="41"/>
      <c r="Q115" s="50">
        <f>SUM(START:END!Q115)</f>
        <v>0</v>
      </c>
      <c r="R115" s="50">
        <f>SUM(START:END!R115)</f>
        <v>0</v>
      </c>
      <c r="S115" s="50">
        <f>SUM(START:END!S115)</f>
        <v>0</v>
      </c>
      <c r="T115" s="50">
        <f>SUM(START:END!T115)</f>
        <v>0</v>
      </c>
      <c r="U115" s="50">
        <f>SUM(START:END!U115)</f>
        <v>0</v>
      </c>
      <c r="V115" s="50">
        <f>SUM(START:END!V115)</f>
        <v>0</v>
      </c>
      <c r="W115" s="50">
        <f>SUM(START:END!W115)</f>
        <v>0</v>
      </c>
      <c r="X115" s="49">
        <f>SUM(START:END!X115)</f>
        <v>0</v>
      </c>
      <c r="Y115" s="50">
        <f>SUM(E115:X115)</f>
        <v>1</v>
      </c>
    </row>
    <row r="116" spans="2:25" s="43" customFormat="1" ht="18.95" customHeight="1" thickBot="1" x14ac:dyDescent="0.35">
      <c r="B116" s="49"/>
      <c r="C116" s="68" t="s">
        <v>105</v>
      </c>
      <c r="D116" s="41"/>
      <c r="E116" s="50">
        <f>SUM(START:END!E116)</f>
        <v>0</v>
      </c>
      <c r="F116" s="50">
        <f>SUM(START:END!F116)</f>
        <v>0</v>
      </c>
      <c r="G116" s="50">
        <f>SUM(START:END!G116)</f>
        <v>0</v>
      </c>
      <c r="H116" s="50">
        <f>SUM(START:END!H116)</f>
        <v>3</v>
      </c>
      <c r="I116" s="50">
        <f>SUM(START:END!I116)</f>
        <v>0</v>
      </c>
      <c r="J116" s="50">
        <f>SUM(START:END!J116)</f>
        <v>0</v>
      </c>
      <c r="K116" s="50">
        <f>SUM(START:END!K116)</f>
        <v>0</v>
      </c>
      <c r="L116" s="50">
        <f>SUM(START:END!L116)</f>
        <v>0</v>
      </c>
      <c r="M116" s="50">
        <f>SUM(START:END!M116)</f>
        <v>0</v>
      </c>
      <c r="N116" s="50">
        <f>SUM(START:END!N116)</f>
        <v>0</v>
      </c>
      <c r="O116" s="39" t="s">
        <v>105</v>
      </c>
      <c r="P116" s="41"/>
      <c r="Q116" s="50">
        <f>SUM(START:END!Q116)</f>
        <v>0</v>
      </c>
      <c r="R116" s="50">
        <f>SUM(START:END!R116)</f>
        <v>0</v>
      </c>
      <c r="S116" s="50">
        <f>SUM(START:END!S116)</f>
        <v>0</v>
      </c>
      <c r="T116" s="50">
        <f>SUM(START:END!T116)</f>
        <v>0</v>
      </c>
      <c r="U116" s="50">
        <f>SUM(START:END!U116)</f>
        <v>0</v>
      </c>
      <c r="V116" s="50">
        <f>SUM(START:END!V116)</f>
        <v>0</v>
      </c>
      <c r="W116" s="50">
        <f>SUM(START:END!W116)</f>
        <v>0</v>
      </c>
      <c r="X116" s="49">
        <f>SUM(START:END!X116)</f>
        <v>0</v>
      </c>
      <c r="Y116" s="50">
        <f>SUM(E116:X116)</f>
        <v>3</v>
      </c>
    </row>
    <row r="117" spans="2:25" s="43" customFormat="1" ht="18.95" customHeight="1" thickBot="1" x14ac:dyDescent="0.35">
      <c r="B117" s="49"/>
      <c r="C117" s="68" t="s">
        <v>54</v>
      </c>
      <c r="D117" s="41"/>
      <c r="E117" s="50">
        <f>SUM(START:END!E117)</f>
        <v>0</v>
      </c>
      <c r="F117" s="50">
        <f>SUM(START:END!F117)</f>
        <v>0</v>
      </c>
      <c r="G117" s="50">
        <f>SUM(START:END!G117)</f>
        <v>0</v>
      </c>
      <c r="H117" s="50">
        <f>SUM(START:END!H117)</f>
        <v>8</v>
      </c>
      <c r="I117" s="50">
        <f>SUM(START:END!I117)</f>
        <v>0</v>
      </c>
      <c r="J117" s="50">
        <f>SUM(START:END!J117)</f>
        <v>0</v>
      </c>
      <c r="K117" s="50">
        <f>SUM(START:END!K117)</f>
        <v>0</v>
      </c>
      <c r="L117" s="50">
        <f>SUM(START:END!L117)</f>
        <v>0</v>
      </c>
      <c r="M117" s="50">
        <f>SUM(START:END!M117)</f>
        <v>0</v>
      </c>
      <c r="N117" s="50">
        <f>SUM(START:END!N117)</f>
        <v>0</v>
      </c>
      <c r="O117" s="39" t="s">
        <v>54</v>
      </c>
      <c r="P117" s="41"/>
      <c r="Q117" s="50">
        <f>SUM(START:END!Q117)</f>
        <v>0</v>
      </c>
      <c r="R117" s="50">
        <f>SUM(START:END!R117)</f>
        <v>0</v>
      </c>
      <c r="S117" s="50">
        <f>SUM(START:END!S117)</f>
        <v>0</v>
      </c>
      <c r="T117" s="50">
        <f>SUM(START:END!T117)</f>
        <v>0</v>
      </c>
      <c r="U117" s="50">
        <f>SUM(START:END!U117)</f>
        <v>0</v>
      </c>
      <c r="V117" s="50">
        <f>SUM(START:END!V117)</f>
        <v>0</v>
      </c>
      <c r="W117" s="50">
        <f>SUM(START:END!W117)</f>
        <v>0</v>
      </c>
      <c r="X117" s="49">
        <f>SUM(START:END!X117)</f>
        <v>0</v>
      </c>
      <c r="Y117" s="50">
        <f>SUM(E117:X117)</f>
        <v>8</v>
      </c>
    </row>
    <row r="118" spans="2:25" s="43" customFormat="1" ht="18.95" customHeight="1" thickBot="1" x14ac:dyDescent="0.35">
      <c r="B118" s="44" t="s">
        <v>155</v>
      </c>
      <c r="C118" s="83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6"/>
      <c r="O118" s="74" t="s">
        <v>155</v>
      </c>
      <c r="P118" s="45"/>
      <c r="Q118" s="47"/>
      <c r="R118" s="45"/>
      <c r="S118" s="47"/>
      <c r="T118" s="45"/>
      <c r="U118" s="45"/>
      <c r="V118" s="45"/>
      <c r="W118" s="45"/>
      <c r="X118" s="45"/>
      <c r="Y118" s="48"/>
    </row>
    <row r="119" spans="2:25" s="43" customFormat="1" ht="18.95" customHeight="1" thickBot="1" x14ac:dyDescent="0.35">
      <c r="B119" s="49"/>
      <c r="C119" s="68" t="s">
        <v>129</v>
      </c>
      <c r="D119" s="41"/>
      <c r="E119" s="50">
        <f>SUM(START:END!E119)</f>
        <v>0</v>
      </c>
      <c r="F119" s="50">
        <f>SUM(START:END!F119)</f>
        <v>0</v>
      </c>
      <c r="G119" s="50">
        <f>SUM(START:END!G119)</f>
        <v>0</v>
      </c>
      <c r="H119" s="50">
        <f>SUM(START:END!H119)</f>
        <v>0</v>
      </c>
      <c r="I119" s="50">
        <f>SUM(START:END!I119)</f>
        <v>0</v>
      </c>
      <c r="J119" s="50">
        <f>SUM(START:END!J119)</f>
        <v>0</v>
      </c>
      <c r="K119" s="50">
        <f>SUM(START:END!K119)</f>
        <v>0</v>
      </c>
      <c r="L119" s="50">
        <f>SUM(START:END!L119)</f>
        <v>0</v>
      </c>
      <c r="M119" s="50">
        <f>SUM(START:END!M119)</f>
        <v>0</v>
      </c>
      <c r="N119" s="50">
        <f>SUM(START:END!N119)</f>
        <v>0</v>
      </c>
      <c r="O119" s="39"/>
      <c r="P119" s="41"/>
      <c r="Q119" s="50">
        <f>SUM(START:END!Q119)</f>
        <v>0</v>
      </c>
      <c r="R119" s="50">
        <f>SUM(START:END!R119)</f>
        <v>1</v>
      </c>
      <c r="S119" s="50">
        <f>SUM(START:END!S119)</f>
        <v>0</v>
      </c>
      <c r="T119" s="50">
        <f>SUM(START:END!T119)</f>
        <v>0</v>
      </c>
      <c r="U119" s="50">
        <f>SUM(START:END!U119)</f>
        <v>0</v>
      </c>
      <c r="V119" s="50">
        <f>SUM(START:END!V119)</f>
        <v>0</v>
      </c>
      <c r="W119" s="50">
        <f>SUM(START:END!W119)</f>
        <v>0</v>
      </c>
      <c r="X119" s="49">
        <f>SUM(START:END!X119)</f>
        <v>0</v>
      </c>
      <c r="Y119" s="50">
        <f>SUM(E119:X119)</f>
        <v>1</v>
      </c>
    </row>
    <row r="120" spans="2:25" s="43" customFormat="1" ht="18.95" customHeight="1" thickBot="1" x14ac:dyDescent="0.35">
      <c r="B120" s="44" t="s">
        <v>152</v>
      </c>
      <c r="C120" s="83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6"/>
      <c r="O120" s="74" t="s">
        <v>152</v>
      </c>
      <c r="P120" s="45"/>
      <c r="Q120" s="47"/>
      <c r="R120" s="45"/>
      <c r="S120" s="47"/>
      <c r="T120" s="45"/>
      <c r="U120" s="45"/>
      <c r="V120" s="45"/>
      <c r="W120" s="45"/>
      <c r="X120" s="45"/>
      <c r="Y120" s="48"/>
    </row>
    <row r="121" spans="2:25" s="43" customFormat="1" ht="18.95" customHeight="1" thickBot="1" x14ac:dyDescent="0.35">
      <c r="B121" s="49"/>
      <c r="C121" s="68" t="s">
        <v>96</v>
      </c>
      <c r="D121" s="41"/>
      <c r="E121" s="50">
        <f>SUM(START:END!E121)</f>
        <v>0</v>
      </c>
      <c r="F121" s="50">
        <f>SUM(START:END!F121)</f>
        <v>0</v>
      </c>
      <c r="G121" s="50">
        <f>SUM(START:END!G121)</f>
        <v>0</v>
      </c>
      <c r="H121" s="50">
        <f>SUM(START:END!H121)</f>
        <v>0</v>
      </c>
      <c r="I121" s="50">
        <f>SUM(START:END!I121)</f>
        <v>0</v>
      </c>
      <c r="J121" s="50">
        <f>SUM(START:END!J121)</f>
        <v>0</v>
      </c>
      <c r="K121" s="50">
        <f>SUM(START:END!K121)</f>
        <v>0</v>
      </c>
      <c r="L121" s="50">
        <f>SUM(START:END!L121)</f>
        <v>0</v>
      </c>
      <c r="M121" s="50">
        <f>SUM(START:END!M121)</f>
        <v>0</v>
      </c>
      <c r="N121" s="50">
        <f>SUM(START:END!N121)</f>
        <v>0</v>
      </c>
      <c r="O121" s="39" t="s">
        <v>96</v>
      </c>
      <c r="P121" s="41"/>
      <c r="Q121" s="50">
        <f>SUM(START:END!Q121)</f>
        <v>0</v>
      </c>
      <c r="R121" s="50">
        <f>SUM(START:END!R121)</f>
        <v>0</v>
      </c>
      <c r="S121" s="50">
        <f>SUM(START:END!S121)</f>
        <v>0</v>
      </c>
      <c r="T121" s="50">
        <f>SUM(START:END!T121)</f>
        <v>0</v>
      </c>
      <c r="U121" s="50">
        <f>SUM(START:END!U121)</f>
        <v>2</v>
      </c>
      <c r="V121" s="50">
        <f>SUM(START:END!V121)</f>
        <v>0</v>
      </c>
      <c r="W121" s="50">
        <f>SUM(START:END!W121)</f>
        <v>0</v>
      </c>
      <c r="X121" s="49">
        <f>SUM(START:END!X121)</f>
        <v>0</v>
      </c>
      <c r="Y121" s="50">
        <f>SUM(E121:X121)</f>
        <v>2</v>
      </c>
    </row>
    <row r="122" spans="2:25" s="43" customFormat="1" ht="18.95" customHeight="1" thickBot="1" x14ac:dyDescent="0.35">
      <c r="B122" s="49"/>
      <c r="C122" s="68" t="s">
        <v>158</v>
      </c>
      <c r="D122" s="41"/>
      <c r="E122" s="50">
        <f>SUM(START:END!E122)</f>
        <v>0</v>
      </c>
      <c r="F122" s="50">
        <f>SUM(START:END!F122)</f>
        <v>0</v>
      </c>
      <c r="G122" s="50">
        <f>SUM(START:END!G122)</f>
        <v>0</v>
      </c>
      <c r="H122" s="50">
        <f>SUM(START:END!H122)</f>
        <v>0</v>
      </c>
      <c r="I122" s="50">
        <f>SUM(START:END!I122)</f>
        <v>0</v>
      </c>
      <c r="J122" s="50">
        <f>SUM(START:END!J122)</f>
        <v>0</v>
      </c>
      <c r="K122" s="50">
        <f>SUM(START:END!K122)</f>
        <v>0</v>
      </c>
      <c r="L122" s="50">
        <f>SUM(START:END!L122)</f>
        <v>0</v>
      </c>
      <c r="M122" s="50">
        <f>SUM(START:END!M122)</f>
        <v>0</v>
      </c>
      <c r="N122" s="50">
        <f>SUM(START:END!N122)</f>
        <v>0</v>
      </c>
      <c r="O122" s="39" t="s">
        <v>158</v>
      </c>
      <c r="P122" s="41"/>
      <c r="Q122" s="50">
        <f>SUM(START:END!Q122)</f>
        <v>0</v>
      </c>
      <c r="R122" s="50">
        <f>SUM(START:END!R122)</f>
        <v>0</v>
      </c>
      <c r="S122" s="50">
        <f>SUM(START:END!S122)</f>
        <v>0</v>
      </c>
      <c r="T122" s="50">
        <f>SUM(START:END!T122)</f>
        <v>0</v>
      </c>
      <c r="U122" s="50">
        <f>SUM(START:END!U122)</f>
        <v>1</v>
      </c>
      <c r="V122" s="50">
        <f>SUM(START:END!V122)</f>
        <v>0</v>
      </c>
      <c r="W122" s="50">
        <f>SUM(START:END!W122)</f>
        <v>0</v>
      </c>
      <c r="X122" s="49">
        <f>SUM(START:END!X122)</f>
        <v>0</v>
      </c>
      <c r="Y122" s="50">
        <f>SUM(E122:X122)</f>
        <v>1</v>
      </c>
    </row>
    <row r="123" spans="2:25" s="43" customFormat="1" ht="18.95" customHeight="1" thickBot="1" x14ac:dyDescent="0.35">
      <c r="B123" s="49"/>
      <c r="C123" s="68" t="s">
        <v>95</v>
      </c>
      <c r="D123" s="41"/>
      <c r="E123" s="50">
        <f>SUM(START:END!E123)</f>
        <v>0</v>
      </c>
      <c r="F123" s="50">
        <f>SUM(START:END!F123)</f>
        <v>0</v>
      </c>
      <c r="G123" s="50">
        <f>SUM(START:END!G123)</f>
        <v>0</v>
      </c>
      <c r="H123" s="50">
        <f>SUM(START:END!H123)</f>
        <v>0</v>
      </c>
      <c r="I123" s="50">
        <f>SUM(START:END!I123)</f>
        <v>0</v>
      </c>
      <c r="J123" s="50">
        <f>SUM(START:END!J123)</f>
        <v>0</v>
      </c>
      <c r="K123" s="50">
        <f>SUM(START:END!K123)</f>
        <v>0</v>
      </c>
      <c r="L123" s="50">
        <f>SUM(START:END!L123)</f>
        <v>0</v>
      </c>
      <c r="M123" s="50">
        <f>SUM(START:END!M123)</f>
        <v>0</v>
      </c>
      <c r="N123" s="50">
        <f>SUM(START:END!N123)</f>
        <v>0</v>
      </c>
      <c r="O123" s="39" t="s">
        <v>95</v>
      </c>
      <c r="P123" s="41"/>
      <c r="Q123" s="50">
        <f>SUM(START:END!Q123)</f>
        <v>0</v>
      </c>
      <c r="R123" s="50">
        <f>SUM(START:END!R123)</f>
        <v>0</v>
      </c>
      <c r="S123" s="50">
        <f>SUM(START:END!S123)</f>
        <v>0</v>
      </c>
      <c r="T123" s="50">
        <f>SUM(START:END!T123)</f>
        <v>0</v>
      </c>
      <c r="U123" s="50">
        <f>SUM(START:END!U123)</f>
        <v>10</v>
      </c>
      <c r="V123" s="50">
        <f>SUM(START:END!V123)</f>
        <v>0</v>
      </c>
      <c r="W123" s="50">
        <f>SUM(START:END!W123)</f>
        <v>0</v>
      </c>
      <c r="X123" s="49">
        <f>SUM(START:END!X123)</f>
        <v>0</v>
      </c>
      <c r="Y123" s="50">
        <f>SUM(E123:X123)</f>
        <v>10</v>
      </c>
    </row>
    <row r="124" spans="2:25" s="43" customFormat="1" ht="18.95" customHeight="1" thickBot="1" x14ac:dyDescent="0.35">
      <c r="B124" s="44" t="s">
        <v>153</v>
      </c>
      <c r="C124" s="83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6"/>
      <c r="O124" s="74" t="s">
        <v>153</v>
      </c>
      <c r="P124" s="45"/>
      <c r="Q124" s="47"/>
      <c r="R124" s="45"/>
      <c r="S124" s="47"/>
      <c r="T124" s="45"/>
      <c r="U124" s="45"/>
      <c r="V124" s="45"/>
      <c r="W124" s="45"/>
      <c r="X124" s="45"/>
      <c r="Y124" s="48"/>
    </row>
    <row r="125" spans="2:25" s="43" customFormat="1" ht="18.95" customHeight="1" thickBot="1" x14ac:dyDescent="0.35">
      <c r="B125" s="49"/>
      <c r="C125" s="68" t="s">
        <v>56</v>
      </c>
      <c r="D125" s="41"/>
      <c r="E125" s="50">
        <f>SUM(START:END!E125)</f>
        <v>0</v>
      </c>
      <c r="F125" s="50">
        <f>SUM(START:END!F125)</f>
        <v>0</v>
      </c>
      <c r="G125" s="50">
        <f>SUM(START:END!G125)</f>
        <v>0</v>
      </c>
      <c r="H125" s="50">
        <f>SUM(START:END!H125)</f>
        <v>0</v>
      </c>
      <c r="I125" s="50">
        <f>SUM(START:END!I125)</f>
        <v>0</v>
      </c>
      <c r="J125" s="50">
        <f>SUM(START:END!J125)</f>
        <v>0</v>
      </c>
      <c r="K125" s="50">
        <f>SUM(START:END!K125)</f>
        <v>0</v>
      </c>
      <c r="L125" s="50">
        <f>SUM(START:END!L125)</f>
        <v>0</v>
      </c>
      <c r="M125" s="50">
        <f>SUM(START:END!M125)</f>
        <v>0</v>
      </c>
      <c r="N125" s="50">
        <f>SUM(START:END!N125)</f>
        <v>0</v>
      </c>
      <c r="O125" s="39" t="s">
        <v>56</v>
      </c>
      <c r="P125" s="41"/>
      <c r="Q125" s="50">
        <f>SUM(START:END!Q125)</f>
        <v>0</v>
      </c>
      <c r="R125" s="50">
        <f>SUM(START:END!R125)</f>
        <v>0</v>
      </c>
      <c r="S125" s="50">
        <f>SUM(START:END!S125)</f>
        <v>0</v>
      </c>
      <c r="T125" s="50">
        <f>SUM(START:END!T125)</f>
        <v>0</v>
      </c>
      <c r="U125" s="50">
        <f>SUM(START:END!U125)</f>
        <v>0</v>
      </c>
      <c r="V125" s="50">
        <f>SUM(START:END!V125)</f>
        <v>1</v>
      </c>
      <c r="W125" s="50">
        <f>SUM(START:END!W125)</f>
        <v>0</v>
      </c>
      <c r="X125" s="49">
        <f>SUM(START:END!X125)</f>
        <v>0</v>
      </c>
      <c r="Y125" s="50">
        <f>SUM(E125:X125)</f>
        <v>1</v>
      </c>
    </row>
    <row r="126" spans="2:25" s="43" customFormat="1" ht="18.95" customHeight="1" thickBot="1" x14ac:dyDescent="0.35">
      <c r="B126" s="49"/>
      <c r="C126" s="68" t="s">
        <v>139</v>
      </c>
      <c r="D126" s="41"/>
      <c r="E126" s="50">
        <f>SUM(START:END!E126)</f>
        <v>0</v>
      </c>
      <c r="F126" s="50">
        <f>SUM(START:END!F126)</f>
        <v>0</v>
      </c>
      <c r="G126" s="50">
        <f>SUM(START:END!G126)</f>
        <v>0</v>
      </c>
      <c r="H126" s="50">
        <f>SUM(START:END!H126)</f>
        <v>0</v>
      </c>
      <c r="I126" s="50">
        <f>SUM(START:END!I126)</f>
        <v>0</v>
      </c>
      <c r="J126" s="50">
        <f>SUM(START:END!J126)</f>
        <v>0</v>
      </c>
      <c r="K126" s="50">
        <f>SUM(START:END!K126)</f>
        <v>0</v>
      </c>
      <c r="L126" s="50">
        <f>SUM(START:END!L126)</f>
        <v>0</v>
      </c>
      <c r="M126" s="50">
        <f>SUM(START:END!M126)</f>
        <v>0</v>
      </c>
      <c r="N126" s="50">
        <f>SUM(START:END!N126)</f>
        <v>0</v>
      </c>
      <c r="O126" s="39" t="s">
        <v>139</v>
      </c>
      <c r="P126" s="41"/>
      <c r="Q126" s="50">
        <f>SUM(START:END!Q126)</f>
        <v>0</v>
      </c>
      <c r="R126" s="50">
        <f>SUM(START:END!R126)</f>
        <v>0</v>
      </c>
      <c r="S126" s="50">
        <f>SUM(START:END!S126)</f>
        <v>0</v>
      </c>
      <c r="T126" s="50">
        <f>SUM(START:END!T126)</f>
        <v>0</v>
      </c>
      <c r="U126" s="50">
        <f>SUM(START:END!U126)</f>
        <v>0</v>
      </c>
      <c r="V126" s="50">
        <f>SUM(START:END!V126)</f>
        <v>1</v>
      </c>
      <c r="W126" s="50">
        <f>SUM(START:END!W126)</f>
        <v>0</v>
      </c>
      <c r="X126" s="49">
        <f>SUM(START:END!X126)</f>
        <v>0</v>
      </c>
      <c r="Y126" s="50">
        <f>SUM(E126:X126)</f>
        <v>1</v>
      </c>
    </row>
    <row r="127" spans="2:25" s="43" customFormat="1" ht="18.95" customHeight="1" thickBot="1" x14ac:dyDescent="0.35">
      <c r="B127" s="49"/>
      <c r="C127" s="68" t="s">
        <v>38</v>
      </c>
      <c r="D127" s="41"/>
      <c r="E127" s="50">
        <f>SUM(START:END!E127)</f>
        <v>0</v>
      </c>
      <c r="F127" s="50">
        <f>SUM(START:END!F127)</f>
        <v>0</v>
      </c>
      <c r="G127" s="50">
        <f>SUM(START:END!G127)</f>
        <v>0</v>
      </c>
      <c r="H127" s="50">
        <f>SUM(START:END!H127)</f>
        <v>0</v>
      </c>
      <c r="I127" s="50">
        <f>SUM(START:END!I127)</f>
        <v>0</v>
      </c>
      <c r="J127" s="50">
        <f>SUM(START:END!J127)</f>
        <v>0</v>
      </c>
      <c r="K127" s="50">
        <f>SUM(START:END!K127)</f>
        <v>0</v>
      </c>
      <c r="L127" s="50">
        <f>SUM(START:END!L127)</f>
        <v>0</v>
      </c>
      <c r="M127" s="50">
        <f>SUM(START:END!M127)</f>
        <v>0</v>
      </c>
      <c r="N127" s="50">
        <f>SUM(START:END!N127)</f>
        <v>0</v>
      </c>
      <c r="O127" s="39" t="s">
        <v>38</v>
      </c>
      <c r="P127" s="41"/>
      <c r="Q127" s="50">
        <f>SUM(START:END!Q127)</f>
        <v>0</v>
      </c>
      <c r="R127" s="50">
        <f>SUM(START:END!R127)</f>
        <v>0</v>
      </c>
      <c r="S127" s="50">
        <f>SUM(START:END!S127)</f>
        <v>0</v>
      </c>
      <c r="T127" s="50">
        <f>SUM(START:END!T127)</f>
        <v>0</v>
      </c>
      <c r="U127" s="50">
        <f>SUM(START:END!U127)</f>
        <v>0</v>
      </c>
      <c r="V127" s="50">
        <f>SUM(START:END!V127)</f>
        <v>3</v>
      </c>
      <c r="W127" s="50">
        <f>SUM(START:END!W127)</f>
        <v>0</v>
      </c>
      <c r="X127" s="49">
        <f>SUM(START:END!X127)</f>
        <v>0</v>
      </c>
      <c r="Y127" s="50">
        <f>SUM(E127:X127)</f>
        <v>3</v>
      </c>
    </row>
    <row r="128" spans="2:25" s="43" customFormat="1" ht="18.95" customHeight="1" thickBot="1" x14ac:dyDescent="0.35">
      <c r="B128" s="44" t="s">
        <v>159</v>
      </c>
      <c r="C128" s="83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6"/>
      <c r="O128" s="74" t="s">
        <v>159</v>
      </c>
      <c r="P128" s="45"/>
      <c r="Q128" s="47"/>
      <c r="R128" s="45"/>
      <c r="S128" s="47"/>
      <c r="T128" s="45"/>
      <c r="U128" s="45"/>
      <c r="V128" s="45"/>
      <c r="W128" s="45"/>
      <c r="X128" s="45"/>
      <c r="Y128" s="48"/>
    </row>
    <row r="129" spans="2:25" s="43" customFormat="1" ht="18.95" customHeight="1" thickBot="1" x14ac:dyDescent="0.35">
      <c r="B129" s="49"/>
      <c r="C129" s="68" t="s">
        <v>141</v>
      </c>
      <c r="D129" s="41"/>
      <c r="E129" s="50">
        <f>SUM(START:END!E129)</f>
        <v>0</v>
      </c>
      <c r="F129" s="50">
        <f>SUM(START:END!F129)</f>
        <v>0</v>
      </c>
      <c r="G129" s="50">
        <f>SUM(START:END!G129)</f>
        <v>0</v>
      </c>
      <c r="H129" s="50">
        <f>SUM(START:END!H129)</f>
        <v>0</v>
      </c>
      <c r="I129" s="50">
        <f>SUM(START:END!I129)</f>
        <v>0</v>
      </c>
      <c r="J129" s="50">
        <f>SUM(START:END!J129)</f>
        <v>0</v>
      </c>
      <c r="K129" s="50">
        <f>SUM(START:END!K129)</f>
        <v>0</v>
      </c>
      <c r="L129" s="50">
        <f>SUM(START:END!L129)</f>
        <v>0</v>
      </c>
      <c r="M129" s="50">
        <f>SUM(START:END!M129)</f>
        <v>0</v>
      </c>
      <c r="N129" s="50">
        <f>SUM(START:END!N129)</f>
        <v>0</v>
      </c>
      <c r="O129" s="39" t="s">
        <v>141</v>
      </c>
      <c r="P129" s="41"/>
      <c r="Q129" s="50">
        <f>SUM(START:END!Q129)</f>
        <v>0</v>
      </c>
      <c r="R129" s="50">
        <f>SUM(START:END!R129)</f>
        <v>0</v>
      </c>
      <c r="S129" s="50">
        <f>SUM(START:END!S129)</f>
        <v>0</v>
      </c>
      <c r="T129" s="50">
        <f>SUM(START:END!T129)</f>
        <v>0</v>
      </c>
      <c r="U129" s="50">
        <f>SUM(START:END!U129)</f>
        <v>0</v>
      </c>
      <c r="V129" s="50">
        <f>SUM(START:END!V129)</f>
        <v>0</v>
      </c>
      <c r="W129" s="50">
        <f>SUM(START:END!W129)</f>
        <v>0</v>
      </c>
      <c r="X129" s="49">
        <f>SUM(START:END!X129)</f>
        <v>1</v>
      </c>
      <c r="Y129" s="50">
        <f>SUM(D129:X129)</f>
        <v>1</v>
      </c>
    </row>
    <row r="130" spans="2:25" s="43" customFormat="1" ht="18.95" customHeight="1" thickBot="1" x14ac:dyDescent="0.35">
      <c r="B130" s="49"/>
      <c r="C130" s="68" t="s">
        <v>148</v>
      </c>
      <c r="D130" s="49"/>
      <c r="E130" s="49">
        <f>SUM(START:END!E130)</f>
        <v>0</v>
      </c>
      <c r="F130" s="49">
        <f>SUM(START:END!F130)</f>
        <v>0</v>
      </c>
      <c r="G130" s="49">
        <f>SUM(START:END!G130)</f>
        <v>0</v>
      </c>
      <c r="H130" s="49">
        <f>SUM(START:END!H130)</f>
        <v>0</v>
      </c>
      <c r="I130" s="49">
        <f>SUM(START:END!I130)</f>
        <v>0</v>
      </c>
      <c r="J130" s="49">
        <f>SUM(START:END!J130)</f>
        <v>0</v>
      </c>
      <c r="K130" s="49">
        <f>SUM(START:END!K130)</f>
        <v>0</v>
      </c>
      <c r="L130" s="49">
        <f>SUM(START:END!L130)</f>
        <v>0</v>
      </c>
      <c r="M130" s="49">
        <f>SUM(START:END!M130)</f>
        <v>0</v>
      </c>
      <c r="N130" s="49">
        <f>SUM(START:END!N130)</f>
        <v>0</v>
      </c>
      <c r="O130" s="39" t="s">
        <v>148</v>
      </c>
      <c r="P130" s="49"/>
      <c r="Q130" s="49">
        <f>SUM(START:END!Q130)</f>
        <v>0</v>
      </c>
      <c r="R130" s="49">
        <f>SUM(START:END!R130)</f>
        <v>0</v>
      </c>
      <c r="S130" s="49">
        <f>SUM(START:END!S130)</f>
        <v>0</v>
      </c>
      <c r="T130" s="49">
        <f>SUM(START:END!T130)</f>
        <v>0</v>
      </c>
      <c r="U130" s="49">
        <f>SUM(START:END!U130)</f>
        <v>0</v>
      </c>
      <c r="V130" s="49">
        <f>SUM(START:END!V130)</f>
        <v>0</v>
      </c>
      <c r="W130" s="49">
        <f>SUM(START:END!W130)</f>
        <v>0</v>
      </c>
      <c r="X130" s="49">
        <f>SUM(START:END!X130)</f>
        <v>1</v>
      </c>
      <c r="Y130" s="50">
        <f>SUM(D130:X130)</f>
        <v>1</v>
      </c>
    </row>
    <row r="131" spans="2:25" s="43" customFormat="1" ht="18.95" customHeight="1" thickBot="1" x14ac:dyDescent="0.35">
      <c r="B131" s="49"/>
      <c r="C131" s="68" t="s">
        <v>39</v>
      </c>
      <c r="D131" s="49"/>
      <c r="E131" s="49">
        <f>SUM(START:END!E131)</f>
        <v>0</v>
      </c>
      <c r="F131" s="49">
        <f>SUM(START:END!F131)</f>
        <v>0</v>
      </c>
      <c r="G131" s="49">
        <f>SUM(START:END!G131)</f>
        <v>0</v>
      </c>
      <c r="H131" s="49">
        <f>SUM(START:END!H131)</f>
        <v>0</v>
      </c>
      <c r="I131" s="49">
        <f>SUM(START:END!I131)</f>
        <v>0</v>
      </c>
      <c r="J131" s="49">
        <f>SUM(START:END!J131)</f>
        <v>0</v>
      </c>
      <c r="K131" s="49">
        <f>SUM(START:END!K131)</f>
        <v>0</v>
      </c>
      <c r="L131" s="49">
        <f>SUM(START:END!L131)</f>
        <v>0</v>
      </c>
      <c r="M131" s="49">
        <f>SUM(START:END!M131)</f>
        <v>0</v>
      </c>
      <c r="N131" s="49">
        <f>SUM(START:END!N131)</f>
        <v>0</v>
      </c>
      <c r="O131" s="39" t="s">
        <v>39</v>
      </c>
      <c r="P131" s="49"/>
      <c r="Q131" s="49">
        <f>SUM(START:END!Q131)</f>
        <v>0</v>
      </c>
      <c r="R131" s="49">
        <f>SUM(START:END!R131)</f>
        <v>0</v>
      </c>
      <c r="S131" s="49">
        <f>SUM(START:END!S131)</f>
        <v>0</v>
      </c>
      <c r="T131" s="49">
        <f>SUM(START:END!T131)</f>
        <v>0</v>
      </c>
      <c r="U131" s="49">
        <f>SUM(START:END!U131)</f>
        <v>0</v>
      </c>
      <c r="V131" s="49">
        <f>SUM(START:END!V131)</f>
        <v>0</v>
      </c>
      <c r="W131" s="49">
        <f>SUM(START:END!W131)</f>
        <v>0</v>
      </c>
      <c r="X131" s="49">
        <f>SUM(START:END!X131)</f>
        <v>1</v>
      </c>
      <c r="Y131" s="50">
        <f>SUM(D131:X131)</f>
        <v>1</v>
      </c>
    </row>
    <row r="132" spans="2:25" s="43" customFormat="1" ht="18.95" customHeight="1" x14ac:dyDescent="0.3">
      <c r="B132" s="51"/>
      <c r="C132" s="84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75"/>
      <c r="Q132" s="51"/>
      <c r="R132" s="51"/>
      <c r="S132" s="51"/>
      <c r="T132" s="51"/>
      <c r="U132" s="51"/>
      <c r="V132" s="51"/>
      <c r="W132" s="51"/>
      <c r="X132" s="51"/>
      <c r="Y132" s="51"/>
    </row>
    <row r="133" spans="2:25" s="43" customFormat="1" ht="18.95" customHeight="1" x14ac:dyDescent="0.3">
      <c r="B133" s="51"/>
      <c r="C133" s="84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75"/>
      <c r="Q133" s="51"/>
      <c r="R133" s="51"/>
      <c r="S133" s="51"/>
      <c r="T133" s="51"/>
      <c r="U133" s="51"/>
      <c r="V133" s="51"/>
      <c r="W133" s="51"/>
      <c r="X133" s="51"/>
      <c r="Y133" s="51"/>
    </row>
    <row r="134" spans="2:25" ht="27" x14ac:dyDescent="0.35">
      <c r="B134" s="22" t="s">
        <v>41</v>
      </c>
      <c r="C134" s="78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70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2:25" ht="28.5" thickBot="1" x14ac:dyDescent="0.45">
      <c r="B135" s="1" t="s">
        <v>165</v>
      </c>
      <c r="C135" s="78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70"/>
      <c r="P135" s="1"/>
      <c r="Q135" s="1"/>
      <c r="R135" s="2"/>
      <c r="S135" s="1"/>
      <c r="T135" s="1"/>
      <c r="U135" s="1"/>
      <c r="V135" s="1"/>
      <c r="W135" s="27"/>
      <c r="X135" s="1"/>
      <c r="Y135" s="1"/>
    </row>
    <row r="136" spans="2:25" s="88" customFormat="1" ht="157.5" thickBot="1" x14ac:dyDescent="0.35">
      <c r="B136" s="86" t="s">
        <v>0</v>
      </c>
      <c r="C136" s="86" t="s">
        <v>1</v>
      </c>
      <c r="D136" s="89" t="s">
        <v>2</v>
      </c>
      <c r="E136" s="89" t="s">
        <v>3</v>
      </c>
      <c r="F136" s="89" t="s">
        <v>4</v>
      </c>
      <c r="G136" s="89" t="s">
        <v>5</v>
      </c>
      <c r="H136" s="89" t="s">
        <v>6</v>
      </c>
      <c r="I136" s="89" t="s">
        <v>7</v>
      </c>
      <c r="J136" s="89" t="s">
        <v>23</v>
      </c>
      <c r="K136" s="89" t="s">
        <v>24</v>
      </c>
      <c r="L136" s="89" t="s">
        <v>25</v>
      </c>
      <c r="M136" s="90" t="s">
        <v>26</v>
      </c>
      <c r="N136" s="89" t="s">
        <v>27</v>
      </c>
      <c r="O136" s="87" t="s">
        <v>1</v>
      </c>
      <c r="P136" s="89" t="s">
        <v>2</v>
      </c>
      <c r="Q136" s="89" t="s">
        <v>28</v>
      </c>
      <c r="R136" s="89" t="s">
        <v>8</v>
      </c>
      <c r="S136" s="89" t="s">
        <v>9</v>
      </c>
      <c r="T136" s="89" t="s">
        <v>10</v>
      </c>
      <c r="U136" s="89" t="s">
        <v>29</v>
      </c>
      <c r="V136" s="89" t="s">
        <v>11</v>
      </c>
      <c r="W136" s="89" t="s">
        <v>12</v>
      </c>
      <c r="X136" s="89" t="s">
        <v>13</v>
      </c>
      <c r="Y136" s="89" t="s">
        <v>14</v>
      </c>
    </row>
    <row r="137" spans="2:25" s="43" customFormat="1" ht="18.95" customHeight="1" thickBot="1" x14ac:dyDescent="0.35">
      <c r="B137" s="44" t="s">
        <v>32</v>
      </c>
      <c r="C137" s="83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6"/>
      <c r="O137" s="74" t="s">
        <v>32</v>
      </c>
      <c r="P137" s="45"/>
      <c r="Q137" s="47"/>
      <c r="R137" s="45"/>
      <c r="S137" s="47"/>
      <c r="T137" s="45"/>
      <c r="U137" s="45"/>
      <c r="V137" s="45"/>
      <c r="W137" s="45"/>
      <c r="X137" s="45"/>
      <c r="Y137" s="52"/>
    </row>
    <row r="138" spans="2:25" s="43" customFormat="1" ht="18.95" customHeight="1" thickBot="1" x14ac:dyDescent="0.35">
      <c r="B138" s="44" t="s">
        <v>149</v>
      </c>
      <c r="C138" s="83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6"/>
      <c r="O138" s="74" t="s">
        <v>149</v>
      </c>
      <c r="P138" s="45"/>
      <c r="Q138" s="47"/>
      <c r="R138" s="45"/>
      <c r="S138" s="47"/>
      <c r="T138" s="45"/>
      <c r="U138" s="45"/>
      <c r="V138" s="45"/>
      <c r="W138" s="45"/>
      <c r="X138" s="45"/>
      <c r="Y138" s="48"/>
    </row>
    <row r="139" spans="2:25" s="43" customFormat="1" ht="18.95" customHeight="1" thickBot="1" x14ac:dyDescent="0.35">
      <c r="B139" s="49"/>
      <c r="C139" s="68" t="s">
        <v>48</v>
      </c>
      <c r="D139" s="41"/>
      <c r="E139" s="50">
        <f>SUM(START:END!E139)</f>
        <v>1</v>
      </c>
      <c r="F139" s="50">
        <f>SUM(START:END!F139)</f>
        <v>0</v>
      </c>
      <c r="G139" s="50">
        <f>SUM(START:END!G139)</f>
        <v>0</v>
      </c>
      <c r="H139" s="50">
        <f>SUM(START:END!H139)</f>
        <v>0</v>
      </c>
      <c r="I139" s="50">
        <f>SUM(START:END!I139)</f>
        <v>0</v>
      </c>
      <c r="J139" s="50">
        <f>SUM(START:END!J139)</f>
        <v>0</v>
      </c>
      <c r="K139" s="50">
        <f>SUM(START:END!K139)</f>
        <v>0</v>
      </c>
      <c r="L139" s="50">
        <f>SUM(START:END!L139)</f>
        <v>0</v>
      </c>
      <c r="M139" s="50">
        <f>SUM(START:END!M139)</f>
        <v>0</v>
      </c>
      <c r="N139" s="50">
        <f>SUM(START:END!N139)</f>
        <v>0</v>
      </c>
      <c r="O139" s="39" t="s">
        <v>48</v>
      </c>
      <c r="P139" s="41"/>
      <c r="Q139" s="50">
        <f>SUM(START:END!Q139)</f>
        <v>0</v>
      </c>
      <c r="R139" s="50">
        <f>SUM(START:END!R139)</f>
        <v>0</v>
      </c>
      <c r="S139" s="50">
        <f>SUM(START:END!S139)</f>
        <v>0</v>
      </c>
      <c r="T139" s="50">
        <f>SUM(START:END!T139)</f>
        <v>0</v>
      </c>
      <c r="U139" s="50">
        <f>SUM(START:END!U139)</f>
        <v>0</v>
      </c>
      <c r="V139" s="50">
        <f>SUM(START:END!V139)</f>
        <v>0</v>
      </c>
      <c r="W139" s="50">
        <f>SUM(START:END!W139)</f>
        <v>0</v>
      </c>
      <c r="X139" s="50">
        <f>SUM(START:END!X139)</f>
        <v>0</v>
      </c>
      <c r="Y139" s="50">
        <f>SUM(E139:X139)</f>
        <v>1</v>
      </c>
    </row>
    <row r="140" spans="2:25" s="43" customFormat="1" ht="18.95" customHeight="1" thickBot="1" x14ac:dyDescent="0.35">
      <c r="B140" s="44" t="s">
        <v>150</v>
      </c>
      <c r="C140" s="83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6"/>
      <c r="O140" s="74" t="s">
        <v>150</v>
      </c>
      <c r="P140" s="45"/>
      <c r="Q140" s="45"/>
      <c r="R140" s="45"/>
      <c r="S140" s="45"/>
      <c r="T140" s="45"/>
      <c r="U140" s="45"/>
      <c r="V140" s="45"/>
      <c r="W140" s="45"/>
      <c r="X140" s="45"/>
      <c r="Y140" s="48"/>
    </row>
    <row r="141" spans="2:25" s="43" customFormat="1" ht="18.95" customHeight="1" thickBot="1" x14ac:dyDescent="0.35">
      <c r="B141" s="49"/>
      <c r="C141" s="68" t="s">
        <v>52</v>
      </c>
      <c r="D141" s="41"/>
      <c r="E141" s="50">
        <f>SUM(START:END!E141)</f>
        <v>0</v>
      </c>
      <c r="F141" s="50">
        <f>SUM(START:END!F141)</f>
        <v>4</v>
      </c>
      <c r="G141" s="50">
        <f>SUM(START:END!G141)</f>
        <v>0</v>
      </c>
      <c r="H141" s="50">
        <f>SUM(START:END!H141)</f>
        <v>0</v>
      </c>
      <c r="I141" s="50">
        <f>SUM(START:END!I141)</f>
        <v>0</v>
      </c>
      <c r="J141" s="50">
        <f>SUM(START:END!J141)</f>
        <v>0</v>
      </c>
      <c r="K141" s="50">
        <f>SUM(START:END!K141)</f>
        <v>0</v>
      </c>
      <c r="L141" s="50">
        <f>SUM(START:END!L141)</f>
        <v>0</v>
      </c>
      <c r="M141" s="50">
        <f>SUM(START:END!M141)</f>
        <v>0</v>
      </c>
      <c r="N141" s="50">
        <f>SUM(START:END!N141)</f>
        <v>0</v>
      </c>
      <c r="O141" s="39" t="s">
        <v>52</v>
      </c>
      <c r="P141" s="41"/>
      <c r="Q141" s="50">
        <f>SUM(START:END!Q141)</f>
        <v>0</v>
      </c>
      <c r="R141" s="50">
        <f>SUM(START:END!R141)</f>
        <v>0</v>
      </c>
      <c r="S141" s="50">
        <f>SUM(START:END!S141)</f>
        <v>0</v>
      </c>
      <c r="T141" s="50">
        <f>SUM(START:END!T141)</f>
        <v>0</v>
      </c>
      <c r="U141" s="50">
        <f>SUM(START:END!U141)</f>
        <v>0</v>
      </c>
      <c r="V141" s="50">
        <f>SUM(START:END!V141)</f>
        <v>0</v>
      </c>
      <c r="W141" s="50">
        <f>SUM(START:END!W141)</f>
        <v>0</v>
      </c>
      <c r="X141" s="50">
        <f>SUM(START:END!X141)</f>
        <v>0</v>
      </c>
      <c r="Y141" s="50">
        <f>SUM(E141:X141)</f>
        <v>4</v>
      </c>
    </row>
    <row r="142" spans="2:25" s="43" customFormat="1" ht="18.95" customHeight="1" thickBot="1" x14ac:dyDescent="0.35">
      <c r="B142" s="44" t="s">
        <v>155</v>
      </c>
      <c r="C142" s="83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6"/>
      <c r="O142" s="74" t="s">
        <v>155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8"/>
    </row>
    <row r="143" spans="2:25" s="43" customFormat="1" ht="18.95" customHeight="1" thickBot="1" x14ac:dyDescent="0.35">
      <c r="B143" s="49"/>
      <c r="C143" s="68" t="s">
        <v>131</v>
      </c>
      <c r="D143" s="41"/>
      <c r="E143" s="49">
        <f>SUM(START:END!E143)</f>
        <v>0</v>
      </c>
      <c r="F143" s="49">
        <f>SUM(START:END!F143)</f>
        <v>0</v>
      </c>
      <c r="G143" s="49">
        <f>SUM(START:END!G143)</f>
        <v>0</v>
      </c>
      <c r="H143" s="49">
        <f>SUM(START:END!H143)</f>
        <v>0</v>
      </c>
      <c r="I143" s="49">
        <f>SUM(START:END!I143)</f>
        <v>0</v>
      </c>
      <c r="J143" s="49">
        <f>SUM(START:END!J143)</f>
        <v>0</v>
      </c>
      <c r="K143" s="49">
        <f>SUM(START:END!K143)</f>
        <v>0</v>
      </c>
      <c r="L143" s="49">
        <f>SUM(START:END!L143)</f>
        <v>0</v>
      </c>
      <c r="M143" s="49">
        <f>SUM(START:END!M143)</f>
        <v>0</v>
      </c>
      <c r="N143" s="49">
        <f>SUM(START:END!N143)</f>
        <v>0</v>
      </c>
      <c r="O143" s="39" t="s">
        <v>131</v>
      </c>
      <c r="P143" s="41"/>
      <c r="Q143" s="49">
        <f>SUM(START:END!Q143)</f>
        <v>0</v>
      </c>
      <c r="R143" s="49">
        <f>SUM(START:END!R143)</f>
        <v>2</v>
      </c>
      <c r="S143" s="49">
        <f>SUM(START:END!S143)</f>
        <v>0</v>
      </c>
      <c r="T143" s="49">
        <f>SUM(START:END!T143)</f>
        <v>0</v>
      </c>
      <c r="U143" s="49">
        <f>SUM(START:END!U143)</f>
        <v>0</v>
      </c>
      <c r="V143" s="49">
        <f>SUM(START:END!V143)</f>
        <v>0</v>
      </c>
      <c r="W143" s="49">
        <f>SUM(START:END!W143)</f>
        <v>0</v>
      </c>
      <c r="X143" s="49">
        <f>SUM(START:END!X143)</f>
        <v>0</v>
      </c>
      <c r="Y143" s="50">
        <f>SUM(E143:X143)</f>
        <v>2</v>
      </c>
    </row>
    <row r="144" spans="2:25" s="43" customFormat="1" ht="18.95" customHeight="1" thickBot="1" x14ac:dyDescent="0.35">
      <c r="B144" s="49"/>
      <c r="C144" s="68" t="s">
        <v>129</v>
      </c>
      <c r="D144" s="41"/>
      <c r="E144" s="49">
        <f>SUM(START:END!E144)</f>
        <v>0</v>
      </c>
      <c r="F144" s="49">
        <f>SUM(START:END!F144)</f>
        <v>0</v>
      </c>
      <c r="G144" s="49">
        <f>SUM(START:END!G144)</f>
        <v>0</v>
      </c>
      <c r="H144" s="49">
        <f>SUM(START:END!H144)</f>
        <v>0</v>
      </c>
      <c r="I144" s="49">
        <f>SUM(START:END!I144)</f>
        <v>0</v>
      </c>
      <c r="J144" s="49">
        <f>SUM(START:END!J144)</f>
        <v>0</v>
      </c>
      <c r="K144" s="49">
        <f>SUM(START:END!K144)</f>
        <v>0</v>
      </c>
      <c r="L144" s="49">
        <f>SUM(START:END!L144)</f>
        <v>0</v>
      </c>
      <c r="M144" s="49">
        <f>SUM(START:END!M144)</f>
        <v>0</v>
      </c>
      <c r="N144" s="49">
        <f>SUM(START:END!N144)</f>
        <v>0</v>
      </c>
      <c r="O144" s="39" t="s">
        <v>129</v>
      </c>
      <c r="P144" s="41"/>
      <c r="Q144" s="49">
        <f>SUM(START:END!Q144)</f>
        <v>0</v>
      </c>
      <c r="R144" s="49">
        <f>SUM(START:END!R144)</f>
        <v>1</v>
      </c>
      <c r="S144" s="49">
        <f>SUM(START:END!S144)</f>
        <v>0</v>
      </c>
      <c r="T144" s="49">
        <f>SUM(START:END!T144)</f>
        <v>0</v>
      </c>
      <c r="U144" s="49">
        <f>SUM(START:END!U144)</f>
        <v>0</v>
      </c>
      <c r="V144" s="49">
        <f>SUM(START:END!V144)</f>
        <v>0</v>
      </c>
      <c r="W144" s="49">
        <f>SUM(START:END!W144)</f>
        <v>0</v>
      </c>
      <c r="X144" s="49">
        <f>SUM(START:END!X144)</f>
        <v>0</v>
      </c>
      <c r="Y144" s="50">
        <f>SUM(E144:X144)</f>
        <v>1</v>
      </c>
    </row>
    <row r="145" spans="2:25" s="43" customFormat="1" ht="18.95" customHeight="1" thickBot="1" x14ac:dyDescent="0.35">
      <c r="B145" s="49"/>
      <c r="C145" s="68" t="s">
        <v>130</v>
      </c>
      <c r="D145" s="41"/>
      <c r="E145" s="49">
        <f>SUM(START:END!E145)</f>
        <v>0</v>
      </c>
      <c r="F145" s="49">
        <f>SUM(START:END!F145)</f>
        <v>0</v>
      </c>
      <c r="G145" s="49">
        <f>SUM(START:END!G145)</f>
        <v>0</v>
      </c>
      <c r="H145" s="49">
        <f>SUM(START:END!H145)</f>
        <v>0</v>
      </c>
      <c r="I145" s="49">
        <f>SUM(START:END!I145)</f>
        <v>0</v>
      </c>
      <c r="J145" s="49">
        <f>SUM(START:END!J145)</f>
        <v>0</v>
      </c>
      <c r="K145" s="49">
        <f>SUM(START:END!K145)</f>
        <v>0</v>
      </c>
      <c r="L145" s="49">
        <f>SUM(START:END!L145)</f>
        <v>0</v>
      </c>
      <c r="M145" s="49">
        <f>SUM(START:END!M145)</f>
        <v>0</v>
      </c>
      <c r="N145" s="49">
        <f>SUM(START:END!N145)</f>
        <v>0</v>
      </c>
      <c r="O145" s="39" t="s">
        <v>130</v>
      </c>
      <c r="P145" s="41"/>
      <c r="Q145" s="49">
        <f>SUM(START:END!Q145)</f>
        <v>0</v>
      </c>
      <c r="R145" s="49">
        <f>SUM(START:END!R145)</f>
        <v>2</v>
      </c>
      <c r="S145" s="49">
        <f>SUM(START:END!S145)</f>
        <v>0</v>
      </c>
      <c r="T145" s="49">
        <f>SUM(START:END!T145)</f>
        <v>0</v>
      </c>
      <c r="U145" s="49">
        <f>SUM(START:END!U145)</f>
        <v>0</v>
      </c>
      <c r="V145" s="49">
        <f>SUM(START:END!V145)</f>
        <v>0</v>
      </c>
      <c r="W145" s="49">
        <f>SUM(START:END!W145)</f>
        <v>0</v>
      </c>
      <c r="X145" s="49">
        <f>SUM(START:END!X145)</f>
        <v>0</v>
      </c>
      <c r="Y145" s="50">
        <f>SUM(E145:X145)</f>
        <v>2</v>
      </c>
    </row>
    <row r="146" spans="2:25" s="43" customFormat="1" ht="18.95" customHeight="1" thickBot="1" x14ac:dyDescent="0.35">
      <c r="B146" s="44" t="s">
        <v>156</v>
      </c>
      <c r="C146" s="83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6"/>
      <c r="O146" s="74" t="s">
        <v>156</v>
      </c>
      <c r="P146" s="45"/>
      <c r="Q146" s="45"/>
      <c r="R146" s="45"/>
      <c r="S146" s="45"/>
      <c r="T146" s="45"/>
      <c r="U146" s="45"/>
      <c r="V146" s="45"/>
      <c r="W146" s="45"/>
      <c r="X146" s="45"/>
      <c r="Y146" s="48"/>
    </row>
    <row r="147" spans="2:25" s="43" customFormat="1" ht="18.95" customHeight="1" thickBot="1" x14ac:dyDescent="0.35">
      <c r="B147" s="49"/>
      <c r="C147" s="68" t="s">
        <v>135</v>
      </c>
      <c r="D147" s="41"/>
      <c r="E147" s="49">
        <f>SUM(START:END!E147)</f>
        <v>0</v>
      </c>
      <c r="F147" s="49">
        <f>SUM(START:END!F147)</f>
        <v>0</v>
      </c>
      <c r="G147" s="49">
        <f>SUM(START:END!G147)</f>
        <v>0</v>
      </c>
      <c r="H147" s="49">
        <f>SUM(START:END!H147)</f>
        <v>0</v>
      </c>
      <c r="I147" s="49">
        <f>SUM(START:END!I147)</f>
        <v>0</v>
      </c>
      <c r="J147" s="49">
        <f>SUM(START:END!J147)</f>
        <v>0</v>
      </c>
      <c r="K147" s="49">
        <f>SUM(START:END!K147)</f>
        <v>0</v>
      </c>
      <c r="L147" s="49">
        <f>SUM(START:END!L147)</f>
        <v>0</v>
      </c>
      <c r="M147" s="49">
        <f>SUM(START:END!M147)</f>
        <v>0</v>
      </c>
      <c r="N147" s="49">
        <f>SUM(START:END!N147)</f>
        <v>0</v>
      </c>
      <c r="O147" s="39" t="s">
        <v>135</v>
      </c>
      <c r="P147" s="41"/>
      <c r="Q147" s="49">
        <f>SUM(START:END!Q147)</f>
        <v>0</v>
      </c>
      <c r="R147" s="49">
        <f>SUM(START:END!R147)</f>
        <v>0</v>
      </c>
      <c r="S147" s="49">
        <f>SUM(START:END!S147)</f>
        <v>1</v>
      </c>
      <c r="T147" s="49">
        <f>SUM(START:END!T147)</f>
        <v>0</v>
      </c>
      <c r="U147" s="49">
        <f>SUM(START:END!U147)</f>
        <v>0</v>
      </c>
      <c r="V147" s="49">
        <f>SUM(START:END!V147)</f>
        <v>0</v>
      </c>
      <c r="W147" s="49">
        <f>SUM(START:END!W147)</f>
        <v>0</v>
      </c>
      <c r="X147" s="49">
        <f>SUM(START:END!X147)</f>
        <v>0</v>
      </c>
      <c r="Y147" s="50">
        <f>SUM(E147:X147)</f>
        <v>1</v>
      </c>
    </row>
    <row r="148" spans="2:25" s="43" customFormat="1" ht="18.95" customHeight="1" thickBot="1" x14ac:dyDescent="0.35">
      <c r="B148" s="44" t="s">
        <v>157</v>
      </c>
      <c r="C148" s="83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6"/>
      <c r="O148" s="74" t="s">
        <v>157</v>
      </c>
      <c r="P148" s="45"/>
      <c r="Q148" s="45"/>
      <c r="R148" s="45"/>
      <c r="S148" s="45"/>
      <c r="T148" s="45"/>
      <c r="U148" s="45"/>
      <c r="V148" s="45"/>
      <c r="W148" s="45"/>
      <c r="X148" s="45"/>
      <c r="Y148" s="48"/>
    </row>
    <row r="149" spans="2:25" s="43" customFormat="1" ht="18.95" customHeight="1" thickBot="1" x14ac:dyDescent="0.35">
      <c r="B149" s="49"/>
      <c r="C149" s="68" t="s">
        <v>137</v>
      </c>
      <c r="D149" s="41"/>
      <c r="E149" s="49">
        <f>SUM(START:END!E149)</f>
        <v>0</v>
      </c>
      <c r="F149" s="49">
        <f>SUM(START:END!F149)</f>
        <v>0</v>
      </c>
      <c r="G149" s="49">
        <f>SUM(START:END!G149)</f>
        <v>0</v>
      </c>
      <c r="H149" s="49">
        <f>SUM(START:END!H149)</f>
        <v>0</v>
      </c>
      <c r="I149" s="49">
        <f>SUM(START:END!I149)</f>
        <v>0</v>
      </c>
      <c r="J149" s="49">
        <f>SUM(START:END!J149)</f>
        <v>0</v>
      </c>
      <c r="K149" s="49">
        <f>SUM(START:END!K149)</f>
        <v>0</v>
      </c>
      <c r="L149" s="49">
        <f>SUM(START:END!L149)</f>
        <v>0</v>
      </c>
      <c r="M149" s="49">
        <f>SUM(START:END!M149)</f>
        <v>0</v>
      </c>
      <c r="N149" s="49">
        <f>SUM(START:END!N149)</f>
        <v>0</v>
      </c>
      <c r="O149" s="39" t="s">
        <v>137</v>
      </c>
      <c r="P149" s="41"/>
      <c r="Q149" s="49">
        <f>SUM(START:END!Q149)</f>
        <v>0</v>
      </c>
      <c r="R149" s="49">
        <f>SUM(START:END!R149)</f>
        <v>0</v>
      </c>
      <c r="S149" s="49">
        <f>SUM(START:END!S149)</f>
        <v>0</v>
      </c>
      <c r="T149" s="49">
        <f>SUM(START:END!T149)</f>
        <v>1</v>
      </c>
      <c r="U149" s="49">
        <f>SUM(START:END!U149)</f>
        <v>0</v>
      </c>
      <c r="V149" s="49">
        <f>SUM(START:END!V149)</f>
        <v>0</v>
      </c>
      <c r="W149" s="49">
        <f>SUM(START:END!W149)</f>
        <v>0</v>
      </c>
      <c r="X149" s="49">
        <f>SUM(START:END!X149)</f>
        <v>0</v>
      </c>
      <c r="Y149" s="50">
        <f>SUM(E149:X149)</f>
        <v>1</v>
      </c>
    </row>
    <row r="150" spans="2:25" s="43" customFormat="1" ht="18.95" customHeight="1" thickBot="1" x14ac:dyDescent="0.35">
      <c r="B150" s="49"/>
      <c r="C150" s="68" t="s">
        <v>136</v>
      </c>
      <c r="D150" s="41"/>
      <c r="E150" s="49">
        <f>SUM(START:END!E150)</f>
        <v>0</v>
      </c>
      <c r="F150" s="49">
        <f>SUM(START:END!F150)</f>
        <v>0</v>
      </c>
      <c r="G150" s="49">
        <f>SUM(START:END!G150)</f>
        <v>0</v>
      </c>
      <c r="H150" s="49">
        <f>SUM(START:END!H150)</f>
        <v>0</v>
      </c>
      <c r="I150" s="49">
        <f>SUM(START:END!I150)</f>
        <v>0</v>
      </c>
      <c r="J150" s="49">
        <f>SUM(START:END!J150)</f>
        <v>0</v>
      </c>
      <c r="K150" s="49">
        <f>SUM(START:END!K150)</f>
        <v>0</v>
      </c>
      <c r="L150" s="49">
        <f>SUM(START:END!L150)</f>
        <v>0</v>
      </c>
      <c r="M150" s="49">
        <f>SUM(START:END!M150)</f>
        <v>0</v>
      </c>
      <c r="N150" s="49">
        <f>SUM(START:END!N150)</f>
        <v>0</v>
      </c>
      <c r="O150" s="39" t="s">
        <v>136</v>
      </c>
      <c r="P150" s="41"/>
      <c r="Q150" s="49">
        <f>SUM(START:END!Q150)</f>
        <v>0</v>
      </c>
      <c r="R150" s="49">
        <f>SUM(START:END!R150)</f>
        <v>0</v>
      </c>
      <c r="S150" s="49">
        <f>SUM(START:END!S150)</f>
        <v>0</v>
      </c>
      <c r="T150" s="49">
        <f>SUM(START:END!T150)</f>
        <v>1</v>
      </c>
      <c r="U150" s="49">
        <f>SUM(START:END!U150)</f>
        <v>0</v>
      </c>
      <c r="V150" s="49">
        <f>SUM(START:END!V150)</f>
        <v>0</v>
      </c>
      <c r="W150" s="49">
        <f>SUM(START:END!W150)</f>
        <v>0</v>
      </c>
      <c r="X150" s="49">
        <f>SUM(START:END!X150)</f>
        <v>0</v>
      </c>
      <c r="Y150" s="50">
        <f>SUM(E150:X150)</f>
        <v>1</v>
      </c>
    </row>
    <row r="151" spans="2:25" s="43" customFormat="1" ht="18.95" customHeight="1" thickBot="1" x14ac:dyDescent="0.35">
      <c r="B151" s="44" t="s">
        <v>152</v>
      </c>
      <c r="C151" s="83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6"/>
      <c r="O151" s="74" t="s">
        <v>152</v>
      </c>
      <c r="P151" s="45"/>
      <c r="Q151" s="45"/>
      <c r="R151" s="45"/>
      <c r="S151" s="45"/>
      <c r="T151" s="45"/>
      <c r="U151" s="45"/>
      <c r="V151" s="45"/>
      <c r="W151" s="45"/>
      <c r="X151" s="45"/>
      <c r="Y151" s="48"/>
    </row>
    <row r="152" spans="2:25" s="43" customFormat="1" ht="18.95" customHeight="1" thickBot="1" x14ac:dyDescent="0.35">
      <c r="B152" s="49"/>
      <c r="C152" s="68" t="s">
        <v>96</v>
      </c>
      <c r="D152" s="53"/>
      <c r="E152" s="64">
        <f>SUM(START:END!E152)</f>
        <v>0</v>
      </c>
      <c r="F152" s="64">
        <f>SUM(START:END!F152)</f>
        <v>0</v>
      </c>
      <c r="G152" s="64">
        <f>SUM(START:END!G152)</f>
        <v>0</v>
      </c>
      <c r="H152" s="64">
        <f>SUM(START:END!H152)</f>
        <v>0</v>
      </c>
      <c r="I152" s="64">
        <f>SUM(START:END!I152)</f>
        <v>0</v>
      </c>
      <c r="J152" s="64">
        <f>SUM(START:END!J152)</f>
        <v>0</v>
      </c>
      <c r="K152" s="64">
        <f>SUM(START:END!K152)</f>
        <v>0</v>
      </c>
      <c r="L152" s="64">
        <f>SUM(START:END!L152)</f>
        <v>0</v>
      </c>
      <c r="M152" s="64">
        <f>SUM(START:END!M152)</f>
        <v>0</v>
      </c>
      <c r="N152" s="64">
        <f>SUM(START:END!N152)</f>
        <v>0</v>
      </c>
      <c r="O152" s="39" t="s">
        <v>96</v>
      </c>
      <c r="P152" s="64"/>
      <c r="Q152" s="64">
        <f>SUM(START:END!Q152)</f>
        <v>0</v>
      </c>
      <c r="R152" s="64">
        <f>SUM(START:END!R152)</f>
        <v>0</v>
      </c>
      <c r="S152" s="64">
        <f>SUM(START:END!S152)</f>
        <v>0</v>
      </c>
      <c r="T152" s="64">
        <f>SUM(START:END!T152)</f>
        <v>0</v>
      </c>
      <c r="U152" s="64">
        <f>SUM(START:END!U152)</f>
        <v>5</v>
      </c>
      <c r="V152" s="64">
        <f>SUM(START:END!V152)</f>
        <v>0</v>
      </c>
      <c r="W152" s="64">
        <f>SUM(START:END!W152)</f>
        <v>0</v>
      </c>
      <c r="X152" s="64">
        <f>SUM(START:END!X152)</f>
        <v>0</v>
      </c>
      <c r="Y152" s="50">
        <f>SUM(E152:X152)</f>
        <v>5</v>
      </c>
    </row>
    <row r="153" spans="2:25" s="43" customFormat="1" ht="18.95" customHeight="1" thickBot="1" x14ac:dyDescent="0.35">
      <c r="B153" s="44" t="s">
        <v>154</v>
      </c>
      <c r="C153" s="83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6"/>
      <c r="O153" s="74" t="s">
        <v>154</v>
      </c>
      <c r="P153" s="45"/>
      <c r="Q153" s="45"/>
      <c r="R153" s="45"/>
      <c r="S153" s="45"/>
      <c r="T153" s="45"/>
      <c r="U153" s="45"/>
      <c r="V153" s="45"/>
      <c r="W153" s="45"/>
      <c r="X153" s="45"/>
      <c r="Y153" s="48"/>
    </row>
    <row r="154" spans="2:25" s="43" customFormat="1" ht="18.95" customHeight="1" thickBot="1" x14ac:dyDescent="0.35">
      <c r="B154" s="49"/>
      <c r="C154" s="68" t="s">
        <v>100</v>
      </c>
      <c r="D154" s="53"/>
      <c r="E154" s="64">
        <f>SUM(START:END!E154)</f>
        <v>0</v>
      </c>
      <c r="F154" s="64">
        <f>SUM(START:END!F154)</f>
        <v>0</v>
      </c>
      <c r="G154" s="64">
        <f>SUM(START:END!G154)</f>
        <v>0</v>
      </c>
      <c r="H154" s="64">
        <f>SUM(START:END!H154)</f>
        <v>0</v>
      </c>
      <c r="I154" s="64">
        <f>SUM(START:END!I154)</f>
        <v>0</v>
      </c>
      <c r="J154" s="64">
        <f>SUM(START:END!J154)</f>
        <v>0</v>
      </c>
      <c r="K154" s="64">
        <f>SUM(START:END!K154)</f>
        <v>0</v>
      </c>
      <c r="L154" s="64">
        <f>SUM(START:END!L154)</f>
        <v>0</v>
      </c>
      <c r="M154" s="64">
        <f>SUM(START:END!M154)</f>
        <v>0</v>
      </c>
      <c r="N154" s="64">
        <f>SUM(START:END!N154)</f>
        <v>0</v>
      </c>
      <c r="O154" s="39" t="s">
        <v>100</v>
      </c>
      <c r="P154" s="64"/>
      <c r="Q154" s="64">
        <f>SUM(START:END!Q154)</f>
        <v>0</v>
      </c>
      <c r="R154" s="64">
        <f>SUM(START:END!R154)</f>
        <v>0</v>
      </c>
      <c r="S154" s="64">
        <f>SUM(START:END!S154)</f>
        <v>0</v>
      </c>
      <c r="T154" s="64">
        <f>SUM(START:END!T154)</f>
        <v>0</v>
      </c>
      <c r="U154" s="64">
        <f>SUM(START:END!U154)</f>
        <v>0</v>
      </c>
      <c r="V154" s="64">
        <f>SUM(START:END!V154)</f>
        <v>0</v>
      </c>
      <c r="W154" s="64">
        <f>SUM(START:END!W154)</f>
        <v>1</v>
      </c>
      <c r="X154" s="64">
        <f>SUM(START:END!X154)</f>
        <v>0</v>
      </c>
      <c r="Y154" s="50">
        <f>SUM(E154:X154)</f>
        <v>1</v>
      </c>
    </row>
    <row r="155" spans="2:25" s="43" customFormat="1" ht="18.95" customHeight="1" thickBot="1" x14ac:dyDescent="0.35">
      <c r="B155" s="49"/>
      <c r="C155" s="68" t="s">
        <v>140</v>
      </c>
      <c r="D155" s="53"/>
      <c r="E155" s="64">
        <f>SUM(START:END!E155)</f>
        <v>0</v>
      </c>
      <c r="F155" s="64">
        <f>SUM(START:END!F155)</f>
        <v>0</v>
      </c>
      <c r="G155" s="64">
        <f>SUM(START:END!G155)</f>
        <v>0</v>
      </c>
      <c r="H155" s="64">
        <f>SUM(START:END!H155)</f>
        <v>0</v>
      </c>
      <c r="I155" s="64">
        <f>SUM(START:END!I155)</f>
        <v>0</v>
      </c>
      <c r="J155" s="64">
        <f>SUM(START:END!J155)</f>
        <v>0</v>
      </c>
      <c r="K155" s="64">
        <f>SUM(START:END!K155)</f>
        <v>0</v>
      </c>
      <c r="L155" s="64">
        <f>SUM(START:END!L155)</f>
        <v>0</v>
      </c>
      <c r="M155" s="64">
        <f>SUM(START:END!M155)</f>
        <v>0</v>
      </c>
      <c r="N155" s="64">
        <f>SUM(START:END!N155)</f>
        <v>0</v>
      </c>
      <c r="O155" s="39" t="s">
        <v>140</v>
      </c>
      <c r="P155" s="64"/>
      <c r="Q155" s="64">
        <f>SUM(START:END!Q155)</f>
        <v>0</v>
      </c>
      <c r="R155" s="64">
        <f>SUM(START:END!R155)</f>
        <v>0</v>
      </c>
      <c r="S155" s="64">
        <f>SUM(START:END!S155)</f>
        <v>0</v>
      </c>
      <c r="T155" s="64">
        <f>SUM(START:END!T155)</f>
        <v>0</v>
      </c>
      <c r="U155" s="64">
        <f>SUM(START:END!U155)</f>
        <v>0</v>
      </c>
      <c r="V155" s="64">
        <f>SUM(START:END!V155)</f>
        <v>0</v>
      </c>
      <c r="W155" s="64">
        <f>SUM(START:END!W155)</f>
        <v>1</v>
      </c>
      <c r="X155" s="64">
        <f>SUM(START:END!X155)</f>
        <v>0</v>
      </c>
      <c r="Y155" s="50">
        <f>SUM(E155:X155)</f>
        <v>1</v>
      </c>
    </row>
    <row r="156" spans="2:25" s="43" customFormat="1" ht="18.95" customHeight="1" thickBot="1" x14ac:dyDescent="0.35">
      <c r="B156" s="49"/>
      <c r="C156" s="68" t="s">
        <v>162</v>
      </c>
      <c r="D156" s="53"/>
      <c r="E156" s="64">
        <f>SUM(START:END!E156)</f>
        <v>0</v>
      </c>
      <c r="F156" s="64">
        <f>SUM(START:END!F156)</f>
        <v>0</v>
      </c>
      <c r="G156" s="64">
        <f>SUM(START:END!G156)</f>
        <v>0</v>
      </c>
      <c r="H156" s="64">
        <f>SUM(START:END!H156)</f>
        <v>0</v>
      </c>
      <c r="I156" s="64">
        <f>SUM(START:END!I156)</f>
        <v>0</v>
      </c>
      <c r="J156" s="64">
        <f>SUM(START:END!J156)</f>
        <v>0</v>
      </c>
      <c r="K156" s="64">
        <f>SUM(START:END!K156)</f>
        <v>0</v>
      </c>
      <c r="L156" s="64">
        <f>SUM(START:END!L156)</f>
        <v>0</v>
      </c>
      <c r="M156" s="64">
        <f>SUM(START:END!M156)</f>
        <v>0</v>
      </c>
      <c r="N156" s="64">
        <f>SUM(START:END!N156)</f>
        <v>0</v>
      </c>
      <c r="O156" s="39" t="s">
        <v>162</v>
      </c>
      <c r="P156" s="64"/>
      <c r="Q156" s="64">
        <f>SUM(START:END!Q156)</f>
        <v>0</v>
      </c>
      <c r="R156" s="64">
        <f>SUM(START:END!R156)</f>
        <v>0</v>
      </c>
      <c r="S156" s="64">
        <f>SUM(START:END!S156)</f>
        <v>0</v>
      </c>
      <c r="T156" s="64">
        <f>SUM(START:END!T156)</f>
        <v>0</v>
      </c>
      <c r="U156" s="64">
        <f>SUM(START:END!U156)</f>
        <v>0</v>
      </c>
      <c r="V156" s="64">
        <f>SUM(START:END!V156)</f>
        <v>0</v>
      </c>
      <c r="W156" s="64">
        <f>SUM(START:END!W156)</f>
        <v>14</v>
      </c>
      <c r="X156" s="64">
        <f>SUM(START:END!X156)</f>
        <v>0</v>
      </c>
      <c r="Y156" s="50">
        <f>SUM(E156:X156)</f>
        <v>14</v>
      </c>
    </row>
    <row r="157" spans="2:25" s="43" customFormat="1" ht="18.95" customHeight="1" thickBot="1" x14ac:dyDescent="0.35">
      <c r="B157" s="44" t="s">
        <v>159</v>
      </c>
      <c r="C157" s="83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6"/>
      <c r="O157" s="74" t="s">
        <v>159</v>
      </c>
      <c r="P157" s="45"/>
      <c r="Q157" s="45"/>
      <c r="R157" s="45"/>
      <c r="S157" s="45"/>
      <c r="T157" s="45"/>
      <c r="U157" s="45"/>
      <c r="V157" s="45"/>
      <c r="W157" s="45"/>
      <c r="X157" s="45"/>
      <c r="Y157" s="48"/>
    </row>
    <row r="158" spans="2:25" s="43" customFormat="1" ht="18.95" customHeight="1" thickBot="1" x14ac:dyDescent="0.35">
      <c r="B158" s="49"/>
      <c r="C158" s="68" t="s">
        <v>161</v>
      </c>
      <c r="D158" s="53"/>
      <c r="E158" s="64">
        <f>SUM(START:END!E158)</f>
        <v>0</v>
      </c>
      <c r="F158" s="64">
        <f>SUM(START:END!F158)</f>
        <v>0</v>
      </c>
      <c r="G158" s="64">
        <f>SUM(START:END!G158)</f>
        <v>0</v>
      </c>
      <c r="H158" s="64">
        <f>SUM(START:END!H158)</f>
        <v>0</v>
      </c>
      <c r="I158" s="64">
        <f>SUM(START:END!I158)</f>
        <v>0</v>
      </c>
      <c r="J158" s="64">
        <f>SUM(START:END!J158)</f>
        <v>0</v>
      </c>
      <c r="K158" s="64">
        <f>SUM(START:END!K158)</f>
        <v>0</v>
      </c>
      <c r="L158" s="64">
        <f>SUM(START:END!L158)</f>
        <v>0</v>
      </c>
      <c r="M158" s="64">
        <f>SUM(START:END!M158)</f>
        <v>0</v>
      </c>
      <c r="N158" s="64">
        <f>SUM(START:END!N158)</f>
        <v>0</v>
      </c>
      <c r="O158" s="39" t="s">
        <v>161</v>
      </c>
      <c r="P158" s="64"/>
      <c r="Q158" s="64">
        <f>SUM(START:END!Q158)</f>
        <v>0</v>
      </c>
      <c r="R158" s="64">
        <f>SUM(START:END!R158)</f>
        <v>0</v>
      </c>
      <c r="S158" s="64">
        <f>SUM(START:END!S158)</f>
        <v>0</v>
      </c>
      <c r="T158" s="64">
        <f>SUM(START:END!T158)</f>
        <v>0</v>
      </c>
      <c r="U158" s="64">
        <f>SUM(START:END!U158)</f>
        <v>0</v>
      </c>
      <c r="V158" s="64">
        <f>SUM(START:END!V158)</f>
        <v>0</v>
      </c>
      <c r="W158" s="64">
        <f>SUM(START:END!W158)</f>
        <v>1</v>
      </c>
      <c r="X158" s="64">
        <f>SUM(START:END!X158)</f>
        <v>0</v>
      </c>
      <c r="Y158" s="50">
        <f>SUM(E158:X158)</f>
        <v>1</v>
      </c>
    </row>
    <row r="159" spans="2:25" ht="27.75" x14ac:dyDescent="0.4">
      <c r="B159" s="1"/>
      <c r="C159" s="70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70"/>
      <c r="P159" s="1"/>
      <c r="Q159" s="1"/>
      <c r="R159" s="2"/>
      <c r="S159" s="1"/>
      <c r="T159" s="1"/>
      <c r="U159" s="1"/>
      <c r="V159" s="1"/>
      <c r="W159" s="1"/>
      <c r="X159" s="1"/>
      <c r="Y159" s="1"/>
    </row>
    <row r="160" spans="2:25" ht="20.100000000000001" customHeight="1" x14ac:dyDescent="0.4">
      <c r="B160" s="1"/>
      <c r="C160" s="70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70"/>
      <c r="P160" s="18"/>
      <c r="Q160" s="1"/>
      <c r="R160" s="1"/>
      <c r="S160" s="18"/>
      <c r="T160" s="1"/>
      <c r="U160" s="1"/>
      <c r="V160" s="1"/>
      <c r="W160" s="1"/>
      <c r="X160" s="1"/>
      <c r="Y160" s="1"/>
    </row>
    <row r="161" spans="1:25" ht="20.100000000000001" customHeight="1" x14ac:dyDescent="0.4">
      <c r="B161" s="1"/>
      <c r="C161" s="70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70"/>
      <c r="P161" s="18"/>
      <c r="Q161" s="1"/>
      <c r="R161" s="1"/>
      <c r="S161" s="18"/>
      <c r="T161" s="1"/>
      <c r="U161" s="1"/>
      <c r="V161" s="1"/>
      <c r="W161" s="1"/>
      <c r="X161" s="1"/>
      <c r="Y161" s="1"/>
    </row>
    <row r="162" spans="1:25" ht="15.75" x14ac:dyDescent="0.25">
      <c r="B162" s="3"/>
      <c r="C162" s="85"/>
      <c r="D162" s="3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76"/>
      <c r="P162" s="19"/>
      <c r="Q162" s="4"/>
      <c r="R162" s="4"/>
      <c r="S162" s="19"/>
      <c r="T162" s="4"/>
      <c r="U162" s="4"/>
      <c r="V162" s="4"/>
      <c r="W162" s="4"/>
      <c r="X162" s="4"/>
      <c r="Y162" s="5"/>
    </row>
    <row r="163" spans="1:25" ht="15.75" x14ac:dyDescent="0.25">
      <c r="B163" s="4"/>
      <c r="C163" s="76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76"/>
      <c r="P163" s="19"/>
      <c r="Q163" s="4"/>
      <c r="R163" s="4"/>
      <c r="S163" s="19"/>
      <c r="T163" s="4"/>
      <c r="U163" s="4"/>
      <c r="V163" s="4"/>
      <c r="W163" s="4"/>
      <c r="X163" s="4"/>
      <c r="Y163" s="5"/>
    </row>
    <row r="164" spans="1:25" ht="15" customHeight="1" x14ac:dyDescent="0.25">
      <c r="A164" s="6"/>
      <c r="Y164" s="7"/>
    </row>
  </sheetData>
  <pageMargins left="0.5" right="0" top="0.75" bottom="0.75" header="0.3" footer="0.3"/>
  <pageSetup paperSize="5" scale="75" orientation="landscape" r:id="rId1"/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99286-7CD7-4050-9C03-F44BF1026A1D}">
  <sheetPr>
    <pageSetUpPr fitToPage="1"/>
  </sheetPr>
  <dimension ref="A1:AD270"/>
  <sheetViews>
    <sheetView tabSelected="1" topLeftCell="B209" zoomScale="60" zoomScaleNormal="60" workbookViewId="0">
      <selection activeCell="B231" sqref="B231:Y253"/>
    </sheetView>
  </sheetViews>
  <sheetFormatPr defaultRowHeight="12.75" x14ac:dyDescent="0.2"/>
  <cols>
    <col min="1" max="1" width="3.28515625" hidden="1" customWidth="1"/>
    <col min="2" max="2" width="15" customWidth="1"/>
    <col min="3" max="3" width="32.5703125" style="77" customWidth="1"/>
    <col min="4" max="13" width="8.7109375" customWidth="1"/>
    <col min="14" max="14" width="29.5703125" style="77" customWidth="1"/>
    <col min="15" max="15" width="7.42578125" customWidth="1"/>
    <col min="16" max="16" width="8.7109375" customWidth="1"/>
    <col min="17" max="17" width="8.7109375" style="20" customWidth="1"/>
    <col min="18" max="23" width="8.7109375" customWidth="1"/>
  </cols>
  <sheetData>
    <row r="1" spans="2:27" ht="27" x14ac:dyDescent="0.35">
      <c r="B1" s="1" t="s">
        <v>22</v>
      </c>
      <c r="C1" s="1"/>
      <c r="D1" s="1"/>
      <c r="E1" s="1"/>
      <c r="F1" s="1"/>
      <c r="G1" s="1"/>
      <c r="H1" s="1"/>
      <c r="I1" s="1"/>
      <c r="J1" s="1"/>
      <c r="K1" s="1"/>
      <c r="L1" s="1"/>
      <c r="N1" s="1" t="s">
        <v>163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2:27" ht="27" x14ac:dyDescent="0.35">
      <c r="B2" s="1" t="s">
        <v>43</v>
      </c>
      <c r="C2" s="1"/>
      <c r="D2" s="1"/>
      <c r="E2" s="1"/>
      <c r="F2" s="1"/>
      <c r="G2" s="1"/>
      <c r="H2" s="1"/>
      <c r="I2" s="1"/>
      <c r="J2" s="1"/>
      <c r="K2" s="1"/>
      <c r="L2" s="1"/>
      <c r="N2" s="1" t="s">
        <v>43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27" ht="47.25" x14ac:dyDescent="0.25">
      <c r="B3" s="91" t="s">
        <v>36</v>
      </c>
      <c r="C3" s="24">
        <v>1317</v>
      </c>
      <c r="D3" s="4"/>
      <c r="E3" s="4"/>
      <c r="F3" s="4"/>
      <c r="G3" s="4"/>
      <c r="H3" s="4"/>
      <c r="I3" s="4"/>
      <c r="J3" s="4"/>
      <c r="K3" s="4"/>
      <c r="L3" s="4"/>
      <c r="M3" s="3"/>
      <c r="N3" s="24"/>
      <c r="O3" s="4"/>
      <c r="P3" s="19"/>
      <c r="Q3" s="4"/>
      <c r="R3" s="4"/>
      <c r="S3" s="4"/>
      <c r="T3" s="4"/>
      <c r="U3" s="4"/>
      <c r="V3" s="4"/>
      <c r="W3" s="4"/>
      <c r="X3" s="4"/>
      <c r="Y3" s="5"/>
      <c r="Z3" s="5"/>
      <c r="AA3" s="5"/>
    </row>
    <row r="4" spans="2:27" ht="30" x14ac:dyDescent="0.25">
      <c r="B4" s="92" t="s">
        <v>35</v>
      </c>
      <c r="C4" s="4">
        <v>1808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19"/>
      <c r="R4" s="4"/>
      <c r="S4" s="4"/>
      <c r="T4" s="4"/>
      <c r="U4" s="4"/>
      <c r="V4" s="4"/>
      <c r="W4" s="4"/>
      <c r="X4" s="4"/>
      <c r="Y4" s="5"/>
      <c r="Z4" s="5"/>
      <c r="AA4" s="5"/>
    </row>
    <row r="5" spans="2:27" ht="16.5" thickBot="1" x14ac:dyDescent="0.3">
      <c r="B5" s="4" t="s">
        <v>34</v>
      </c>
      <c r="C5" s="23">
        <v>0.73</v>
      </c>
      <c r="D5" s="4"/>
      <c r="E5" s="4"/>
      <c r="M5" s="4"/>
      <c r="N5" s="23"/>
      <c r="Y5" s="5"/>
      <c r="Z5" s="5"/>
      <c r="AA5" s="5"/>
    </row>
    <row r="6" spans="2:27" s="88" customFormat="1" ht="145.5" thickBot="1" x14ac:dyDescent="0.35">
      <c r="B6" s="93" t="s">
        <v>0</v>
      </c>
      <c r="C6" s="93" t="s">
        <v>1</v>
      </c>
      <c r="D6" s="94" t="s">
        <v>3</v>
      </c>
      <c r="E6" s="94" t="s">
        <v>4</v>
      </c>
      <c r="F6" s="94" t="s">
        <v>5</v>
      </c>
      <c r="G6" s="94" t="s">
        <v>6</v>
      </c>
      <c r="H6" s="94" t="s">
        <v>7</v>
      </c>
      <c r="I6" s="94" t="s">
        <v>23</v>
      </c>
      <c r="J6" s="94" t="s">
        <v>24</v>
      </c>
      <c r="K6" s="94" t="s">
        <v>25</v>
      </c>
      <c r="L6" s="95" t="s">
        <v>26</v>
      </c>
      <c r="M6" s="94" t="s">
        <v>27</v>
      </c>
      <c r="N6" s="96" t="s">
        <v>1</v>
      </c>
      <c r="O6" s="94" t="s">
        <v>28</v>
      </c>
      <c r="P6" s="94" t="s">
        <v>8</v>
      </c>
      <c r="Q6" s="94" t="s">
        <v>9</v>
      </c>
      <c r="R6" s="94" t="s">
        <v>10</v>
      </c>
      <c r="S6" s="94" t="s">
        <v>29</v>
      </c>
      <c r="T6" s="94" t="s">
        <v>11</v>
      </c>
      <c r="U6" s="94" t="s">
        <v>12</v>
      </c>
      <c r="V6" s="94" t="s">
        <v>13</v>
      </c>
      <c r="W6" s="94" t="s">
        <v>14</v>
      </c>
      <c r="X6" s="94" t="s">
        <v>166</v>
      </c>
      <c r="Y6" s="89" t="s">
        <v>14</v>
      </c>
    </row>
    <row r="7" spans="2:27" s="6" customFormat="1" ht="15" customHeight="1" thickBot="1" x14ac:dyDescent="0.3">
      <c r="B7" s="30" t="s">
        <v>160</v>
      </c>
      <c r="C7" s="79"/>
      <c r="D7" s="32"/>
      <c r="E7" s="32"/>
      <c r="F7" s="31"/>
      <c r="G7" s="31"/>
      <c r="H7" s="31"/>
      <c r="I7" s="31"/>
      <c r="J7" s="31"/>
      <c r="K7" s="31"/>
      <c r="L7" s="31"/>
      <c r="M7" s="33"/>
      <c r="N7" s="71" t="s">
        <v>45</v>
      </c>
      <c r="O7" s="31"/>
      <c r="P7" s="31"/>
      <c r="Q7" s="32"/>
      <c r="R7" s="31"/>
      <c r="S7" s="31"/>
      <c r="T7" s="31"/>
      <c r="U7" s="31"/>
      <c r="V7" s="31"/>
      <c r="W7" s="35"/>
      <c r="X7" s="35"/>
      <c r="Y7" s="35"/>
    </row>
    <row r="8" spans="2:27" s="6" customFormat="1" ht="18.95" customHeight="1" thickBot="1" x14ac:dyDescent="0.35">
      <c r="B8" s="36"/>
      <c r="C8" s="68" t="s">
        <v>46</v>
      </c>
      <c r="D8" s="42">
        <f>SUM(START:END!E5)</f>
        <v>2</v>
      </c>
      <c r="E8" s="42"/>
      <c r="F8" s="42">
        <f>SUM(START:END!G5)</f>
        <v>5</v>
      </c>
      <c r="G8" s="42">
        <f>SUM(START:END!H5)</f>
        <v>4</v>
      </c>
      <c r="H8" s="42">
        <f>SUM(START:END!I5)</f>
        <v>2</v>
      </c>
      <c r="I8" s="42">
        <f>SUM(START:END!J5)</f>
        <v>9</v>
      </c>
      <c r="J8" s="42">
        <f>SUM(START:END!K5)</f>
        <v>58</v>
      </c>
      <c r="K8" s="42">
        <f>SUM(START:END!L5)</f>
        <v>7</v>
      </c>
      <c r="L8" s="42"/>
      <c r="M8" s="42">
        <f>SUM(START:END!N5)</f>
        <v>7</v>
      </c>
      <c r="N8" s="39" t="s">
        <v>46</v>
      </c>
      <c r="O8" s="50">
        <f>SUM(START:END!Q5)</f>
        <v>4</v>
      </c>
      <c r="P8" s="50">
        <f>SUM(START:END!R5)</f>
        <v>1</v>
      </c>
      <c r="Q8" s="50">
        <f>SUM(START:END!S5)</f>
        <v>5</v>
      </c>
      <c r="R8" s="50">
        <f>SUM(START:END!T5)</f>
        <v>3</v>
      </c>
      <c r="S8" s="50">
        <f>SUM(START:END!U5)</f>
        <v>1</v>
      </c>
      <c r="T8" s="50">
        <f>SUM(START:END!V5)</f>
        <v>7</v>
      </c>
      <c r="U8" s="50">
        <f>SUM(START:END!W5)</f>
        <v>3</v>
      </c>
      <c r="V8" s="50">
        <f>SUM(START:END!X5)</f>
        <v>10</v>
      </c>
      <c r="W8" s="50">
        <f t="shared" ref="W8:W51" si="0">SUM(D8:V8)</f>
        <v>128</v>
      </c>
      <c r="X8" s="50">
        <v>1</v>
      </c>
      <c r="Y8" s="50">
        <f>SUM(W8:X8)</f>
        <v>129</v>
      </c>
    </row>
    <row r="9" spans="2:27" s="6" customFormat="1" ht="18.95" customHeight="1" thickBot="1" x14ac:dyDescent="0.35">
      <c r="B9" s="36"/>
      <c r="C9" s="68" t="s">
        <v>47</v>
      </c>
      <c r="D9" s="42">
        <f>SUM(START:END!E6)</f>
        <v>1</v>
      </c>
      <c r="E9" s="42"/>
      <c r="F9" s="42"/>
      <c r="G9" s="42"/>
      <c r="H9" s="42"/>
      <c r="I9" s="42"/>
      <c r="J9" s="42"/>
      <c r="K9" s="42"/>
      <c r="L9" s="42"/>
      <c r="M9" s="42">
        <f>SUM(START:END!N6)</f>
        <v>0</v>
      </c>
      <c r="N9" s="39" t="s">
        <v>47</v>
      </c>
      <c r="O9" s="50"/>
      <c r="P9" s="50"/>
      <c r="Q9" s="50"/>
      <c r="R9" s="50"/>
      <c r="S9" s="50"/>
      <c r="T9" s="50"/>
      <c r="U9" s="50"/>
      <c r="V9" s="50"/>
      <c r="W9" s="50">
        <f t="shared" si="0"/>
        <v>1</v>
      </c>
      <c r="X9" s="50"/>
      <c r="Y9" s="50">
        <f t="shared" ref="Y9:Y61" si="1">SUM(W9:X9)</f>
        <v>1</v>
      </c>
    </row>
    <row r="10" spans="2:27" s="6" customFormat="1" ht="18.95" customHeight="1" thickBot="1" x14ac:dyDescent="0.35">
      <c r="B10" s="36"/>
      <c r="C10" s="68" t="s">
        <v>49</v>
      </c>
      <c r="D10" s="42"/>
      <c r="E10" s="42">
        <f>SUM(START:END!F7)</f>
        <v>1</v>
      </c>
      <c r="F10" s="42"/>
      <c r="G10" s="42"/>
      <c r="H10" s="42"/>
      <c r="I10" s="42"/>
      <c r="J10" s="42"/>
      <c r="K10" s="42"/>
      <c r="L10" s="42"/>
      <c r="M10" s="42">
        <f>SUM(START:END!N7)</f>
        <v>0</v>
      </c>
      <c r="N10" s="39" t="s">
        <v>49</v>
      </c>
      <c r="O10" s="50"/>
      <c r="P10" s="50"/>
      <c r="Q10" s="50"/>
      <c r="R10" s="50"/>
      <c r="S10" s="50"/>
      <c r="T10" s="50"/>
      <c r="U10" s="50"/>
      <c r="V10" s="50"/>
      <c r="W10" s="50">
        <f t="shared" si="0"/>
        <v>1</v>
      </c>
      <c r="X10" s="50"/>
      <c r="Y10" s="50">
        <f t="shared" si="1"/>
        <v>1</v>
      </c>
    </row>
    <row r="11" spans="2:27" s="6" customFormat="1" ht="18.95" customHeight="1" thickBot="1" x14ac:dyDescent="0.35">
      <c r="B11" s="36"/>
      <c r="C11" s="68" t="s">
        <v>50</v>
      </c>
      <c r="D11" s="42"/>
      <c r="E11" s="42">
        <f>SUM(START:END!F8)</f>
        <v>2</v>
      </c>
      <c r="F11" s="42"/>
      <c r="G11" s="42"/>
      <c r="H11" s="42"/>
      <c r="I11" s="42"/>
      <c r="J11" s="42"/>
      <c r="K11" s="42"/>
      <c r="L11" s="42"/>
      <c r="M11" s="42">
        <f>SUM(START:END!N8)</f>
        <v>0</v>
      </c>
      <c r="N11" s="39" t="s">
        <v>50</v>
      </c>
      <c r="O11" s="50"/>
      <c r="P11" s="50"/>
      <c r="Q11" s="50"/>
      <c r="R11" s="50"/>
      <c r="S11" s="50"/>
      <c r="T11" s="50"/>
      <c r="U11" s="50"/>
      <c r="V11" s="50"/>
      <c r="W11" s="50">
        <f t="shared" si="0"/>
        <v>2</v>
      </c>
      <c r="X11" s="50"/>
      <c r="Y11" s="50">
        <f t="shared" si="1"/>
        <v>2</v>
      </c>
    </row>
    <row r="12" spans="2:27" s="6" customFormat="1" ht="18.95" customHeight="1" thickBot="1" x14ac:dyDescent="0.35">
      <c r="B12" s="36"/>
      <c r="C12" s="68" t="s">
        <v>53</v>
      </c>
      <c r="D12" s="42"/>
      <c r="E12" s="42"/>
      <c r="F12" s="42"/>
      <c r="G12" s="42">
        <f>SUM(START:END!H9)</f>
        <v>1</v>
      </c>
      <c r="H12" s="42"/>
      <c r="I12" s="42"/>
      <c r="J12" s="42"/>
      <c r="K12" s="42"/>
      <c r="L12" s="42"/>
      <c r="M12" s="42">
        <f>SUM(START:END!N9)</f>
        <v>0</v>
      </c>
      <c r="N12" s="39" t="s">
        <v>53</v>
      </c>
      <c r="O12" s="50"/>
      <c r="P12" s="50"/>
      <c r="Q12" s="50"/>
      <c r="R12" s="50"/>
      <c r="S12" s="50"/>
      <c r="T12" s="50"/>
      <c r="U12" s="50"/>
      <c r="V12" s="50"/>
      <c r="W12" s="50">
        <f t="shared" si="0"/>
        <v>1</v>
      </c>
      <c r="X12" s="50"/>
      <c r="Y12" s="50">
        <f t="shared" si="1"/>
        <v>1</v>
      </c>
    </row>
    <row r="13" spans="2:27" s="6" customFormat="1" ht="18.95" customHeight="1" thickBot="1" x14ac:dyDescent="0.35">
      <c r="B13" s="36"/>
      <c r="C13" s="68" t="s">
        <v>55</v>
      </c>
      <c r="D13" s="42"/>
      <c r="E13" s="42"/>
      <c r="F13" s="42"/>
      <c r="G13" s="42"/>
      <c r="H13" s="42">
        <f>SUM(START:END!I10)</f>
        <v>1</v>
      </c>
      <c r="I13" s="42"/>
      <c r="J13" s="42"/>
      <c r="K13" s="42">
        <f>SUM(START:END!L10)</f>
        <v>1</v>
      </c>
      <c r="L13" s="42"/>
      <c r="M13" s="42">
        <f>SUM(START:END!N10)</f>
        <v>0</v>
      </c>
      <c r="N13" s="39" t="s">
        <v>55</v>
      </c>
      <c r="O13" s="50"/>
      <c r="P13" s="50"/>
      <c r="Q13" s="50">
        <f>SUM(START:END!S10)</f>
        <v>1</v>
      </c>
      <c r="R13" s="50"/>
      <c r="S13" s="50"/>
      <c r="T13" s="50"/>
      <c r="U13" s="50"/>
      <c r="V13" s="50"/>
      <c r="W13" s="50">
        <f t="shared" si="0"/>
        <v>3</v>
      </c>
      <c r="X13" s="50"/>
      <c r="Y13" s="50">
        <f t="shared" si="1"/>
        <v>3</v>
      </c>
    </row>
    <row r="14" spans="2:27" s="6" customFormat="1" ht="18.95" customHeight="1" thickBot="1" x14ac:dyDescent="0.35">
      <c r="B14" s="36"/>
      <c r="C14" s="68" t="s">
        <v>56</v>
      </c>
      <c r="D14" s="42"/>
      <c r="E14" s="42"/>
      <c r="F14" s="42"/>
      <c r="G14" s="42"/>
      <c r="H14" s="42"/>
      <c r="I14" s="42">
        <f>SUM(START:END!J11)</f>
        <v>1</v>
      </c>
      <c r="J14" s="42"/>
      <c r="K14" s="42">
        <f>SUM(START:END!L11)</f>
        <v>1</v>
      </c>
      <c r="L14" s="42"/>
      <c r="M14" s="42">
        <f>SUM(START:END!N11)</f>
        <v>0</v>
      </c>
      <c r="N14" s="39" t="s">
        <v>56</v>
      </c>
      <c r="O14" s="50"/>
      <c r="P14" s="50"/>
      <c r="Q14" s="50"/>
      <c r="R14" s="50"/>
      <c r="S14" s="50"/>
      <c r="T14" s="50"/>
      <c r="U14" s="50"/>
      <c r="V14" s="50"/>
      <c r="W14" s="50">
        <f t="shared" si="0"/>
        <v>2</v>
      </c>
      <c r="X14" s="50"/>
      <c r="Y14" s="50">
        <f t="shared" si="1"/>
        <v>2</v>
      </c>
    </row>
    <row r="15" spans="2:27" s="6" customFormat="1" ht="18.95" customHeight="1" thickBot="1" x14ac:dyDescent="0.35">
      <c r="B15" s="36"/>
      <c r="C15" s="68" t="s">
        <v>57</v>
      </c>
      <c r="D15" s="42"/>
      <c r="E15" s="42"/>
      <c r="F15" s="42"/>
      <c r="G15" s="42"/>
      <c r="H15" s="42"/>
      <c r="I15" s="42">
        <f>SUM(START:END!J12)</f>
        <v>1</v>
      </c>
      <c r="J15" s="42"/>
      <c r="K15" s="42"/>
      <c r="L15" s="42"/>
      <c r="M15" s="42">
        <f>SUM(START:END!N12)</f>
        <v>0</v>
      </c>
      <c r="N15" s="39" t="s">
        <v>57</v>
      </c>
      <c r="O15" s="50"/>
      <c r="P15" s="50"/>
      <c r="Q15" s="50"/>
      <c r="R15" s="50"/>
      <c r="S15" s="50"/>
      <c r="T15" s="50"/>
      <c r="U15" s="50"/>
      <c r="V15" s="50"/>
      <c r="W15" s="50">
        <f t="shared" si="0"/>
        <v>1</v>
      </c>
      <c r="X15" s="50"/>
      <c r="Y15" s="50">
        <f t="shared" si="1"/>
        <v>1</v>
      </c>
    </row>
    <row r="16" spans="2:27" s="6" customFormat="1" ht="18.95" customHeight="1" thickBot="1" x14ac:dyDescent="0.35">
      <c r="B16" s="36"/>
      <c r="C16" s="68" t="s">
        <v>58</v>
      </c>
      <c r="D16" s="42"/>
      <c r="E16" s="42"/>
      <c r="F16" s="42"/>
      <c r="G16" s="42"/>
      <c r="H16" s="42"/>
      <c r="I16" s="42">
        <f>SUM(START:END!J13)</f>
        <v>1</v>
      </c>
      <c r="J16" s="42"/>
      <c r="K16" s="42">
        <f>SUM(START:END!L13)</f>
        <v>1</v>
      </c>
      <c r="L16" s="42"/>
      <c r="M16" s="42">
        <f>SUM(START:END!N13)</f>
        <v>0</v>
      </c>
      <c r="N16" s="39" t="s">
        <v>58</v>
      </c>
      <c r="O16" s="50"/>
      <c r="P16" s="50"/>
      <c r="Q16" s="50"/>
      <c r="R16" s="50"/>
      <c r="S16" s="50"/>
      <c r="T16" s="50"/>
      <c r="U16" s="50"/>
      <c r="V16" s="50"/>
      <c r="W16" s="50">
        <f t="shared" si="0"/>
        <v>2</v>
      </c>
      <c r="X16" s="50"/>
      <c r="Y16" s="50">
        <f t="shared" si="1"/>
        <v>2</v>
      </c>
    </row>
    <row r="17" spans="2:26" s="6" customFormat="1" ht="18.95" customHeight="1" thickBot="1" x14ac:dyDescent="0.35">
      <c r="B17" s="36"/>
      <c r="C17" s="68" t="s">
        <v>30</v>
      </c>
      <c r="D17" s="42"/>
      <c r="E17" s="42"/>
      <c r="F17" s="42"/>
      <c r="G17" s="42"/>
      <c r="H17" s="42"/>
      <c r="I17" s="42">
        <f>SUM(START:END!J14)</f>
        <v>1</v>
      </c>
      <c r="J17" s="42">
        <f>SUM(START:END!K14)</f>
        <v>3</v>
      </c>
      <c r="K17" s="42"/>
      <c r="L17" s="42"/>
      <c r="M17" s="42">
        <f>SUM(START:END!N14)</f>
        <v>1</v>
      </c>
      <c r="N17" s="39" t="s">
        <v>30</v>
      </c>
      <c r="O17" s="50"/>
      <c r="P17" s="50"/>
      <c r="Q17" s="50">
        <f>SUM(START:END!S14)</f>
        <v>1</v>
      </c>
      <c r="R17" s="50"/>
      <c r="S17" s="50"/>
      <c r="T17" s="50"/>
      <c r="U17" s="50">
        <f>SUM(START:END!W14)</f>
        <v>1</v>
      </c>
      <c r="V17" s="50"/>
      <c r="W17" s="50">
        <f t="shared" si="0"/>
        <v>7</v>
      </c>
      <c r="X17" s="50"/>
      <c r="Y17" s="50">
        <f t="shared" si="1"/>
        <v>7</v>
      </c>
    </row>
    <row r="18" spans="2:26" s="6" customFormat="1" ht="18.95" customHeight="1" thickBot="1" x14ac:dyDescent="0.35">
      <c r="B18" s="36"/>
      <c r="C18" s="68" t="s">
        <v>59</v>
      </c>
      <c r="D18" s="42"/>
      <c r="E18" s="42"/>
      <c r="F18" s="42"/>
      <c r="G18" s="42"/>
      <c r="H18" s="42"/>
      <c r="I18" s="42"/>
      <c r="J18" s="42">
        <f>SUM(START:END!K15)</f>
        <v>1</v>
      </c>
      <c r="K18" s="42"/>
      <c r="L18" s="42"/>
      <c r="M18" s="42">
        <f>SUM(START:END!N15)</f>
        <v>0</v>
      </c>
      <c r="N18" s="39" t="s">
        <v>59</v>
      </c>
      <c r="O18" s="50"/>
      <c r="P18" s="50"/>
      <c r="Q18" s="50"/>
      <c r="R18" s="50"/>
      <c r="S18" s="50"/>
      <c r="T18" s="50"/>
      <c r="U18" s="50"/>
      <c r="V18" s="50"/>
      <c r="W18" s="50">
        <f t="shared" si="0"/>
        <v>1</v>
      </c>
      <c r="X18" s="50"/>
      <c r="Y18" s="50">
        <f t="shared" si="1"/>
        <v>1</v>
      </c>
    </row>
    <row r="19" spans="2:26" s="6" customFormat="1" ht="18.95" customHeight="1" thickBot="1" x14ac:dyDescent="0.35">
      <c r="B19" s="36"/>
      <c r="C19" s="68" t="s">
        <v>60</v>
      </c>
      <c r="D19" s="42"/>
      <c r="E19" s="42"/>
      <c r="F19" s="42"/>
      <c r="G19" s="42"/>
      <c r="H19" s="42"/>
      <c r="I19" s="42"/>
      <c r="J19" s="42">
        <f>SUM(START:END!K16)</f>
        <v>1</v>
      </c>
      <c r="K19" s="42"/>
      <c r="L19" s="42"/>
      <c r="M19" s="42">
        <f>SUM(START:END!N16)</f>
        <v>0</v>
      </c>
      <c r="N19" s="39" t="s">
        <v>60</v>
      </c>
      <c r="O19" s="50"/>
      <c r="P19" s="50"/>
      <c r="Q19" s="50"/>
      <c r="R19" s="50"/>
      <c r="S19" s="50"/>
      <c r="T19" s="50"/>
      <c r="U19" s="50">
        <f>SUM(START:END!W16)</f>
        <v>1</v>
      </c>
      <c r="V19" s="50"/>
      <c r="W19" s="50">
        <f t="shared" si="0"/>
        <v>2</v>
      </c>
      <c r="X19" s="50"/>
      <c r="Y19" s="50">
        <f t="shared" si="1"/>
        <v>2</v>
      </c>
    </row>
    <row r="20" spans="2:26" s="6" customFormat="1" ht="18.95" customHeight="1" thickBot="1" x14ac:dyDescent="0.35">
      <c r="B20" s="36"/>
      <c r="C20" s="68" t="s">
        <v>61</v>
      </c>
      <c r="D20" s="42"/>
      <c r="E20" s="42"/>
      <c r="F20" s="42"/>
      <c r="G20" s="42"/>
      <c r="H20" s="42"/>
      <c r="I20" s="42"/>
      <c r="J20" s="42">
        <f>SUM(START:END!K17)</f>
        <v>1</v>
      </c>
      <c r="K20" s="42"/>
      <c r="L20" s="42"/>
      <c r="M20" s="42">
        <f>SUM(START:END!N17)</f>
        <v>0</v>
      </c>
      <c r="N20" s="39" t="s">
        <v>61</v>
      </c>
      <c r="O20" s="50"/>
      <c r="P20" s="50"/>
      <c r="Q20" s="50"/>
      <c r="R20" s="50"/>
      <c r="S20" s="50"/>
      <c r="T20" s="50"/>
      <c r="U20" s="50"/>
      <c r="V20" s="50"/>
      <c r="W20" s="50">
        <f t="shared" si="0"/>
        <v>1</v>
      </c>
      <c r="X20" s="50"/>
      <c r="Y20" s="50">
        <f t="shared" si="1"/>
        <v>1</v>
      </c>
    </row>
    <row r="21" spans="2:26" s="6" customFormat="1" ht="18.95" customHeight="1" thickBot="1" x14ac:dyDescent="0.35">
      <c r="B21" s="36"/>
      <c r="C21" s="68" t="s">
        <v>62</v>
      </c>
      <c r="D21" s="42"/>
      <c r="E21" s="42"/>
      <c r="F21" s="42"/>
      <c r="G21" s="42"/>
      <c r="H21" s="42"/>
      <c r="I21" s="42"/>
      <c r="J21" s="42">
        <f>SUM(START:END!K18)</f>
        <v>1</v>
      </c>
      <c r="K21" s="42">
        <f>SUM(START:END!L18)</f>
        <v>1</v>
      </c>
      <c r="L21" s="42">
        <f>SUM(START:END!M18)</f>
        <v>1</v>
      </c>
      <c r="M21" s="42">
        <f>SUM(START:END!N18)</f>
        <v>1</v>
      </c>
      <c r="N21" s="39" t="s">
        <v>62</v>
      </c>
      <c r="O21" s="50"/>
      <c r="P21" s="50"/>
      <c r="Q21" s="50"/>
      <c r="R21" s="50"/>
      <c r="S21" s="50"/>
      <c r="T21" s="50"/>
      <c r="U21" s="50"/>
      <c r="V21" s="50"/>
      <c r="W21" s="50">
        <f t="shared" si="0"/>
        <v>4</v>
      </c>
      <c r="X21" s="50"/>
      <c r="Y21" s="50">
        <f t="shared" si="1"/>
        <v>4</v>
      </c>
    </row>
    <row r="22" spans="2:26" s="6" customFormat="1" ht="18.95" customHeight="1" thickBot="1" x14ac:dyDescent="0.35">
      <c r="B22" s="36"/>
      <c r="C22" s="68" t="s">
        <v>63</v>
      </c>
      <c r="D22" s="42"/>
      <c r="E22" s="42"/>
      <c r="F22" s="42"/>
      <c r="G22" s="42"/>
      <c r="H22" s="42"/>
      <c r="I22" s="42"/>
      <c r="J22" s="42">
        <f>SUM(START:END!K19)</f>
        <v>1</v>
      </c>
      <c r="K22" s="42"/>
      <c r="L22" s="42"/>
      <c r="M22" s="42">
        <f>SUM(START:END!N19)</f>
        <v>0</v>
      </c>
      <c r="N22" s="39" t="s">
        <v>63</v>
      </c>
      <c r="O22" s="50"/>
      <c r="P22" s="50"/>
      <c r="Q22" s="50"/>
      <c r="R22" s="50"/>
      <c r="S22" s="50"/>
      <c r="T22" s="50"/>
      <c r="U22" s="50"/>
      <c r="V22" s="50">
        <f>SUM(START:END!X19)</f>
        <v>1</v>
      </c>
      <c r="W22" s="50">
        <f t="shared" si="0"/>
        <v>2</v>
      </c>
      <c r="X22" s="50"/>
      <c r="Y22" s="50">
        <f t="shared" si="1"/>
        <v>2</v>
      </c>
    </row>
    <row r="23" spans="2:26" s="6" customFormat="1" ht="18.95" customHeight="1" thickBot="1" x14ac:dyDescent="0.35">
      <c r="B23" s="36"/>
      <c r="C23" s="68" t="s">
        <v>64</v>
      </c>
      <c r="D23" s="42"/>
      <c r="E23" s="42"/>
      <c r="F23" s="42"/>
      <c r="G23" s="42"/>
      <c r="H23" s="42"/>
      <c r="I23" s="42"/>
      <c r="J23" s="42">
        <f>SUM(START:END!K20)</f>
        <v>1</v>
      </c>
      <c r="K23" s="42"/>
      <c r="L23" s="42"/>
      <c r="M23" s="42">
        <f>SUM(START:END!N20)</f>
        <v>0</v>
      </c>
      <c r="N23" s="39" t="s">
        <v>64</v>
      </c>
      <c r="O23" s="50"/>
      <c r="P23" s="50"/>
      <c r="Q23" s="50"/>
      <c r="R23" s="50"/>
      <c r="S23" s="50"/>
      <c r="T23" s="50"/>
      <c r="U23" s="50"/>
      <c r="V23" s="50"/>
      <c r="W23" s="50">
        <f t="shared" si="0"/>
        <v>1</v>
      </c>
      <c r="X23" s="50"/>
      <c r="Y23" s="50">
        <f t="shared" si="1"/>
        <v>1</v>
      </c>
    </row>
    <row r="24" spans="2:26" s="6" customFormat="1" ht="18.95" customHeight="1" thickBot="1" x14ac:dyDescent="0.35">
      <c r="B24" s="36"/>
      <c r="C24" s="68" t="s">
        <v>65</v>
      </c>
      <c r="D24" s="42"/>
      <c r="E24" s="42"/>
      <c r="F24" s="42"/>
      <c r="G24" s="42"/>
      <c r="H24" s="42"/>
      <c r="I24" s="42"/>
      <c r="J24" s="42">
        <f>SUM(START:END!K21)</f>
        <v>1</v>
      </c>
      <c r="K24" s="42"/>
      <c r="L24" s="42"/>
      <c r="M24" s="42">
        <f>SUM(START:END!N21)</f>
        <v>0</v>
      </c>
      <c r="N24" s="39" t="s">
        <v>65</v>
      </c>
      <c r="O24" s="50"/>
      <c r="P24" s="50"/>
      <c r="Q24" s="50"/>
      <c r="R24" s="50"/>
      <c r="S24" s="50"/>
      <c r="T24" s="50"/>
      <c r="U24" s="50"/>
      <c r="V24" s="50"/>
      <c r="W24" s="50">
        <f t="shared" si="0"/>
        <v>1</v>
      </c>
      <c r="X24" s="50"/>
      <c r="Y24" s="50">
        <f t="shared" si="1"/>
        <v>1</v>
      </c>
    </row>
    <row r="25" spans="2:26" s="6" customFormat="1" ht="18.95" customHeight="1" thickBot="1" x14ac:dyDescent="0.35">
      <c r="B25" s="36"/>
      <c r="C25" s="68" t="s">
        <v>66</v>
      </c>
      <c r="D25" s="42"/>
      <c r="E25" s="42"/>
      <c r="F25" s="42"/>
      <c r="G25" s="42"/>
      <c r="H25" s="42"/>
      <c r="I25" s="42"/>
      <c r="J25" s="42">
        <f>SUM(START:END!K22)</f>
        <v>1</v>
      </c>
      <c r="K25" s="42"/>
      <c r="L25" s="42"/>
      <c r="M25" s="42">
        <f>SUM(START:END!N22)</f>
        <v>0</v>
      </c>
      <c r="N25" s="39" t="s">
        <v>66</v>
      </c>
      <c r="O25" s="50"/>
      <c r="P25" s="50"/>
      <c r="Q25" s="50"/>
      <c r="R25" s="50"/>
      <c r="S25" s="50"/>
      <c r="T25" s="50"/>
      <c r="U25" s="50"/>
      <c r="V25" s="50"/>
      <c r="W25" s="50">
        <f t="shared" si="0"/>
        <v>1</v>
      </c>
      <c r="X25" s="50"/>
      <c r="Y25" s="50">
        <f t="shared" si="1"/>
        <v>1</v>
      </c>
    </row>
    <row r="26" spans="2:26" s="6" customFormat="1" ht="18.95" customHeight="1" thickBot="1" x14ac:dyDescent="0.35">
      <c r="B26" s="36"/>
      <c r="C26" s="68" t="s">
        <v>67</v>
      </c>
      <c r="D26" s="42"/>
      <c r="E26" s="42"/>
      <c r="F26" s="42"/>
      <c r="G26" s="42"/>
      <c r="H26" s="42"/>
      <c r="I26" s="42"/>
      <c r="J26" s="42">
        <f>SUM(START:END!K23)</f>
        <v>1</v>
      </c>
      <c r="K26" s="42"/>
      <c r="L26" s="42"/>
      <c r="M26" s="42">
        <f>SUM(START:END!N23)</f>
        <v>0</v>
      </c>
      <c r="N26" s="39" t="s">
        <v>67</v>
      </c>
      <c r="O26" s="50"/>
      <c r="P26" s="50"/>
      <c r="Q26" s="50"/>
      <c r="R26" s="50"/>
      <c r="S26" s="50"/>
      <c r="T26" s="50"/>
      <c r="U26" s="50"/>
      <c r="V26" s="50"/>
      <c r="W26" s="50">
        <f t="shared" si="0"/>
        <v>1</v>
      </c>
      <c r="X26" s="50"/>
      <c r="Y26" s="50">
        <f t="shared" si="1"/>
        <v>1</v>
      </c>
    </row>
    <row r="27" spans="2:26" s="6" customFormat="1" ht="18.95" customHeight="1" thickBot="1" x14ac:dyDescent="0.35">
      <c r="B27" s="36"/>
      <c r="C27" s="68" t="s">
        <v>68</v>
      </c>
      <c r="D27" s="42"/>
      <c r="E27" s="42"/>
      <c r="F27" s="42"/>
      <c r="G27" s="42"/>
      <c r="H27" s="42"/>
      <c r="I27" s="42"/>
      <c r="J27" s="42">
        <f>SUM(START:END!K24)</f>
        <v>1</v>
      </c>
      <c r="K27" s="42">
        <f>SUM(START:END!L24)</f>
        <v>3</v>
      </c>
      <c r="L27" s="42"/>
      <c r="M27" s="42">
        <f>SUM(START:END!N24)</f>
        <v>1</v>
      </c>
      <c r="N27" s="39" t="s">
        <v>68</v>
      </c>
      <c r="O27" s="50"/>
      <c r="P27" s="50"/>
      <c r="Q27" s="50"/>
      <c r="R27" s="50"/>
      <c r="S27" s="50"/>
      <c r="T27" s="50"/>
      <c r="U27" s="50"/>
      <c r="V27" s="50"/>
      <c r="W27" s="50">
        <f t="shared" si="0"/>
        <v>5</v>
      </c>
      <c r="X27" s="50"/>
      <c r="Y27" s="50">
        <f t="shared" si="1"/>
        <v>5</v>
      </c>
    </row>
    <row r="28" spans="2:26" s="6" customFormat="1" ht="18.95" customHeight="1" thickBot="1" x14ac:dyDescent="0.35">
      <c r="B28" s="36"/>
      <c r="C28" s="68" t="s">
        <v>69</v>
      </c>
      <c r="D28" s="42"/>
      <c r="E28" s="42"/>
      <c r="F28" s="42"/>
      <c r="G28" s="42"/>
      <c r="H28" s="42"/>
      <c r="I28" s="42"/>
      <c r="J28" s="42">
        <f>SUM(START:END!K25)</f>
        <v>1</v>
      </c>
      <c r="K28" s="42"/>
      <c r="L28" s="42"/>
      <c r="M28" s="42">
        <f>SUM(START:END!N25)</f>
        <v>0</v>
      </c>
      <c r="N28" s="39" t="s">
        <v>69</v>
      </c>
      <c r="O28" s="50"/>
      <c r="P28" s="50"/>
      <c r="Q28" s="50"/>
      <c r="R28" s="50"/>
      <c r="S28" s="50"/>
      <c r="T28" s="50"/>
      <c r="U28" s="50"/>
      <c r="V28" s="50"/>
      <c r="W28" s="50">
        <f t="shared" si="0"/>
        <v>1</v>
      </c>
      <c r="X28" s="50"/>
      <c r="Y28" s="50">
        <f t="shared" si="1"/>
        <v>1</v>
      </c>
    </row>
    <row r="29" spans="2:26" s="6" customFormat="1" ht="18.95" customHeight="1" thickBot="1" x14ac:dyDescent="0.35">
      <c r="B29" s="36"/>
      <c r="C29" s="68" t="s">
        <v>70</v>
      </c>
      <c r="D29" s="42"/>
      <c r="E29" s="42"/>
      <c r="F29" s="42"/>
      <c r="G29" s="42"/>
      <c r="H29" s="42"/>
      <c r="I29" s="42"/>
      <c r="J29" s="42">
        <f>SUM(START:END!K26)</f>
        <v>1</v>
      </c>
      <c r="K29" s="42"/>
      <c r="L29" s="42"/>
      <c r="M29" s="42">
        <f>SUM(START:END!N26)</f>
        <v>0</v>
      </c>
      <c r="N29" s="39" t="s">
        <v>70</v>
      </c>
      <c r="O29" s="50"/>
      <c r="P29" s="50"/>
      <c r="Q29" s="50"/>
      <c r="R29" s="50"/>
      <c r="S29" s="50"/>
      <c r="T29" s="50"/>
      <c r="U29" s="50"/>
      <c r="V29" s="50"/>
      <c r="W29" s="50">
        <f t="shared" si="0"/>
        <v>1</v>
      </c>
      <c r="X29" s="50"/>
      <c r="Y29" s="50">
        <f t="shared" si="1"/>
        <v>1</v>
      </c>
    </row>
    <row r="30" spans="2:26" ht="27" x14ac:dyDescent="0.3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N30"/>
      <c r="O30" s="13" t="s">
        <v>15</v>
      </c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2:26" ht="27" x14ac:dyDescent="0.3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N31"/>
      <c r="O31" s="13" t="s">
        <v>16</v>
      </c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2:26" ht="27" x14ac:dyDescent="0.3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N32"/>
      <c r="O32" s="13"/>
      <c r="P32" s="13" t="s">
        <v>169</v>
      </c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7" ht="27" x14ac:dyDescent="0.3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N33"/>
      <c r="O33" s="13" t="s">
        <v>164</v>
      </c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2:27" ht="27" x14ac:dyDescent="0.3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N34"/>
      <c r="O34" s="13" t="s">
        <v>17</v>
      </c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2:27" ht="27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N35"/>
      <c r="O35" s="13" t="s">
        <v>167</v>
      </c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2:27" ht="27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N36"/>
      <c r="O36" s="13" t="s">
        <v>168</v>
      </c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7" ht="27.75" x14ac:dyDescent="0.4">
      <c r="B37" s="1"/>
      <c r="C37" s="1"/>
      <c r="D37" s="1"/>
      <c r="E37" s="2"/>
      <c r="F37" s="1"/>
      <c r="G37" s="1"/>
      <c r="H37" s="1"/>
      <c r="I37" s="1"/>
      <c r="J37" s="1"/>
      <c r="K37" s="1"/>
      <c r="L37" s="1"/>
      <c r="N37"/>
      <c r="O37" s="13" t="s">
        <v>18</v>
      </c>
      <c r="P37" s="13"/>
      <c r="Q37" s="13"/>
      <c r="R37" s="13"/>
      <c r="S37" s="14" t="s">
        <v>19</v>
      </c>
      <c r="T37" s="13"/>
      <c r="U37" s="13"/>
      <c r="V37" s="13"/>
      <c r="W37" s="13"/>
      <c r="X37" s="13"/>
      <c r="Y37" s="13"/>
      <c r="Z37" s="13"/>
    </row>
    <row r="38" spans="2:27" ht="27.75" x14ac:dyDescent="0.4"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N38"/>
      <c r="O38" s="6" t="s">
        <v>20</v>
      </c>
      <c r="P38" s="20"/>
      <c r="Q38" s="6"/>
      <c r="R38" s="6"/>
      <c r="S38" s="14" t="s">
        <v>19</v>
      </c>
      <c r="T38" s="14"/>
      <c r="U38" s="14"/>
      <c r="V38" s="14"/>
      <c r="W38" s="14"/>
      <c r="X38" s="14"/>
      <c r="Y38" s="14"/>
      <c r="Z38" s="14"/>
    </row>
    <row r="39" spans="2:27" ht="27.75" x14ac:dyDescent="0.4"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N39"/>
      <c r="O39" s="15" t="s">
        <v>37</v>
      </c>
      <c r="P39" s="20"/>
      <c r="Q39" s="6"/>
      <c r="R39" s="6"/>
      <c r="S39" s="14" t="s">
        <v>19</v>
      </c>
      <c r="T39" s="14"/>
      <c r="U39" s="14"/>
      <c r="V39" s="14"/>
      <c r="W39" s="14"/>
      <c r="X39" s="14"/>
      <c r="Y39" s="14"/>
      <c r="Z39" s="14"/>
    </row>
    <row r="40" spans="2:27" ht="27.75" x14ac:dyDescent="0.4">
      <c r="B40" s="1"/>
      <c r="C40" s="1"/>
      <c r="D40" s="1"/>
      <c r="E40" s="2"/>
      <c r="F40" s="1"/>
      <c r="G40" s="1"/>
      <c r="H40" s="1"/>
      <c r="I40" s="1"/>
      <c r="J40" s="1"/>
      <c r="K40" s="1"/>
      <c r="L40" s="1"/>
      <c r="N40"/>
      <c r="O40" s="14"/>
      <c r="P40" s="20"/>
      <c r="Q40" s="6"/>
      <c r="R40" s="6"/>
      <c r="S40" s="6"/>
      <c r="T40" s="15" t="s">
        <v>21</v>
      </c>
      <c r="U40" s="14"/>
      <c r="V40" s="14"/>
      <c r="W40" s="14"/>
      <c r="X40" s="14"/>
      <c r="Y40" s="14"/>
      <c r="Z40" s="14"/>
      <c r="AA40" s="14"/>
    </row>
    <row r="41" spans="2:27" ht="27" x14ac:dyDescent="0.35">
      <c r="B41" s="1" t="s">
        <v>22</v>
      </c>
      <c r="C41" s="1"/>
      <c r="D41" s="1"/>
      <c r="E41" s="1"/>
      <c r="F41" s="1"/>
      <c r="G41" s="1"/>
      <c r="H41" s="1"/>
      <c r="I41" s="1"/>
      <c r="J41" s="1"/>
      <c r="K41" s="1"/>
      <c r="L41" s="1"/>
      <c r="N41" s="1" t="s">
        <v>163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 ht="27" x14ac:dyDescent="0.35">
      <c r="B42" s="1" t="s">
        <v>43</v>
      </c>
      <c r="C42" s="1"/>
      <c r="D42" s="1"/>
      <c r="E42" s="1"/>
      <c r="F42" s="1"/>
      <c r="G42" s="1"/>
      <c r="H42" s="1"/>
      <c r="I42" s="1"/>
      <c r="J42" s="1"/>
      <c r="K42" s="1"/>
      <c r="L42" s="1"/>
      <c r="N42" s="1" t="s">
        <v>43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 ht="47.25" x14ac:dyDescent="0.25">
      <c r="B43" s="91" t="s">
        <v>36</v>
      </c>
      <c r="C43" s="24">
        <v>1317</v>
      </c>
      <c r="D43" s="4"/>
      <c r="E43" s="4"/>
      <c r="F43" s="4"/>
      <c r="G43" s="4"/>
      <c r="H43" s="4"/>
      <c r="I43" s="4"/>
      <c r="J43" s="4"/>
      <c r="K43" s="4"/>
      <c r="L43" s="4"/>
      <c r="M43" s="3"/>
      <c r="N43" s="24"/>
      <c r="O43" s="4"/>
      <c r="P43" s="19"/>
      <c r="Q43" s="4"/>
      <c r="R43" s="4"/>
      <c r="S43" s="4"/>
      <c r="T43" s="4"/>
      <c r="U43" s="4"/>
      <c r="V43" s="4"/>
      <c r="W43" s="4"/>
      <c r="X43" s="4"/>
      <c r="Y43" s="5"/>
      <c r="Z43" s="5"/>
      <c r="AA43" s="5"/>
    </row>
    <row r="44" spans="2:27" ht="30" x14ac:dyDescent="0.25">
      <c r="B44" s="92" t="s">
        <v>35</v>
      </c>
      <c r="C44" s="4">
        <v>1808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19"/>
      <c r="R44" s="4"/>
      <c r="S44" s="4"/>
      <c r="T44" s="4"/>
      <c r="U44" s="4"/>
      <c r="V44" s="4"/>
      <c r="W44" s="4"/>
      <c r="X44" s="4"/>
      <c r="Y44" s="5"/>
      <c r="Z44" s="5"/>
      <c r="AA44" s="5"/>
    </row>
    <row r="45" spans="2:27" ht="16.5" thickBot="1" x14ac:dyDescent="0.3">
      <c r="B45" s="4" t="s">
        <v>34</v>
      </c>
      <c r="C45" s="23">
        <v>0.73</v>
      </c>
      <c r="D45" s="4"/>
      <c r="E45" s="4"/>
      <c r="M45" s="4"/>
      <c r="N45" s="23"/>
      <c r="Y45" s="5"/>
      <c r="Z45" s="5"/>
      <c r="AA45" s="5"/>
    </row>
    <row r="46" spans="2:27" s="88" customFormat="1" ht="145.5" thickBot="1" x14ac:dyDescent="0.35">
      <c r="B46" s="93" t="s">
        <v>0</v>
      </c>
      <c r="C46" s="93" t="s">
        <v>1</v>
      </c>
      <c r="D46" s="94" t="s">
        <v>3</v>
      </c>
      <c r="E46" s="94" t="s">
        <v>4</v>
      </c>
      <c r="F46" s="94" t="s">
        <v>5</v>
      </c>
      <c r="G46" s="94" t="s">
        <v>6</v>
      </c>
      <c r="H46" s="94" t="s">
        <v>7</v>
      </c>
      <c r="I46" s="94" t="s">
        <v>23</v>
      </c>
      <c r="J46" s="94" t="s">
        <v>24</v>
      </c>
      <c r="K46" s="94" t="s">
        <v>25</v>
      </c>
      <c r="L46" s="95" t="s">
        <v>26</v>
      </c>
      <c r="M46" s="94" t="s">
        <v>27</v>
      </c>
      <c r="N46" s="96" t="s">
        <v>1</v>
      </c>
      <c r="O46" s="94" t="s">
        <v>28</v>
      </c>
      <c r="P46" s="94" t="s">
        <v>8</v>
      </c>
      <c r="Q46" s="94" t="s">
        <v>9</v>
      </c>
      <c r="R46" s="94" t="s">
        <v>10</v>
      </c>
      <c r="S46" s="94" t="s">
        <v>29</v>
      </c>
      <c r="T46" s="94" t="s">
        <v>11</v>
      </c>
      <c r="U46" s="94" t="s">
        <v>12</v>
      </c>
      <c r="V46" s="94" t="s">
        <v>13</v>
      </c>
      <c r="W46" s="94" t="s">
        <v>14</v>
      </c>
      <c r="X46" s="94" t="s">
        <v>166</v>
      </c>
      <c r="Y46" s="89" t="s">
        <v>14</v>
      </c>
    </row>
    <row r="47" spans="2:27" s="6" customFormat="1" ht="15" customHeight="1" thickBot="1" x14ac:dyDescent="0.3">
      <c r="B47" s="30" t="s">
        <v>160</v>
      </c>
      <c r="C47" s="79"/>
      <c r="D47" s="32"/>
      <c r="E47" s="32"/>
      <c r="F47" s="31"/>
      <c r="G47" s="31"/>
      <c r="H47" s="31"/>
      <c r="I47" s="31"/>
      <c r="J47" s="31"/>
      <c r="K47" s="31"/>
      <c r="L47" s="31"/>
      <c r="M47" s="33"/>
      <c r="N47" s="71" t="s">
        <v>45</v>
      </c>
      <c r="O47" s="31"/>
      <c r="P47" s="31"/>
      <c r="Q47" s="32"/>
      <c r="R47" s="31"/>
      <c r="S47" s="31"/>
      <c r="T47" s="31"/>
      <c r="U47" s="31"/>
      <c r="V47" s="31"/>
      <c r="W47" s="35"/>
      <c r="X47" s="35"/>
      <c r="Y47" s="35"/>
    </row>
    <row r="48" spans="2:27" s="6" customFormat="1" ht="18.95" customHeight="1" thickBot="1" x14ac:dyDescent="0.35">
      <c r="B48" s="36"/>
      <c r="C48" s="68" t="s">
        <v>71</v>
      </c>
      <c r="D48" s="42"/>
      <c r="E48" s="42"/>
      <c r="F48" s="42"/>
      <c r="G48" s="42"/>
      <c r="H48" s="42"/>
      <c r="I48" s="42"/>
      <c r="J48" s="42">
        <f>SUM(START:END!K27)</f>
        <v>1</v>
      </c>
      <c r="K48" s="42"/>
      <c r="L48" s="42"/>
      <c r="M48" s="42">
        <f>SUM(START:END!N27)</f>
        <v>0</v>
      </c>
      <c r="N48" s="39" t="s">
        <v>71</v>
      </c>
      <c r="O48" s="50"/>
      <c r="P48" s="50"/>
      <c r="Q48" s="50"/>
      <c r="R48" s="50"/>
      <c r="S48" s="50"/>
      <c r="T48" s="50"/>
      <c r="U48" s="50"/>
      <c r="V48" s="50"/>
      <c r="W48" s="50">
        <f t="shared" si="0"/>
        <v>1</v>
      </c>
      <c r="X48" s="50"/>
      <c r="Y48" s="50">
        <f t="shared" si="1"/>
        <v>1</v>
      </c>
    </row>
    <row r="49" spans="2:25" s="6" customFormat="1" ht="18.95" customHeight="1" thickBot="1" x14ac:dyDescent="0.35">
      <c r="B49" s="36"/>
      <c r="C49" s="68" t="s">
        <v>72</v>
      </c>
      <c r="D49" s="42"/>
      <c r="E49" s="42"/>
      <c r="F49" s="42"/>
      <c r="G49" s="42"/>
      <c r="H49" s="42"/>
      <c r="I49" s="42"/>
      <c r="J49" s="42">
        <f>SUM(START:END!K28)</f>
        <v>1</v>
      </c>
      <c r="K49" s="42"/>
      <c r="L49" s="42"/>
      <c r="M49" s="42">
        <f>SUM(START:END!N28)</f>
        <v>0</v>
      </c>
      <c r="N49" s="39" t="s">
        <v>72</v>
      </c>
      <c r="O49" s="50"/>
      <c r="P49" s="50"/>
      <c r="Q49" s="50"/>
      <c r="R49" s="50"/>
      <c r="S49" s="50"/>
      <c r="T49" s="50"/>
      <c r="U49" s="50"/>
      <c r="V49" s="50"/>
      <c r="W49" s="50">
        <f t="shared" si="0"/>
        <v>1</v>
      </c>
      <c r="X49" s="50"/>
      <c r="Y49" s="50">
        <f t="shared" si="1"/>
        <v>1</v>
      </c>
    </row>
    <row r="50" spans="2:25" s="6" customFormat="1" ht="18.95" customHeight="1" thickBot="1" x14ac:dyDescent="0.35">
      <c r="B50" s="36"/>
      <c r="C50" s="68" t="s">
        <v>73</v>
      </c>
      <c r="D50" s="42"/>
      <c r="E50" s="42"/>
      <c r="F50" s="42"/>
      <c r="G50" s="42"/>
      <c r="H50" s="42"/>
      <c r="I50" s="42"/>
      <c r="J50" s="42">
        <f>SUM(START:END!K29)</f>
        <v>1</v>
      </c>
      <c r="K50" s="42"/>
      <c r="L50" s="42"/>
      <c r="M50" s="42">
        <f>SUM(START:END!N29)</f>
        <v>0</v>
      </c>
      <c r="N50" s="39" t="s">
        <v>73</v>
      </c>
      <c r="O50" s="50"/>
      <c r="P50" s="50"/>
      <c r="Q50" s="50"/>
      <c r="R50" s="50"/>
      <c r="S50" s="50"/>
      <c r="T50" s="50"/>
      <c r="U50" s="50"/>
      <c r="V50" s="50"/>
      <c r="W50" s="50">
        <f t="shared" si="0"/>
        <v>1</v>
      </c>
      <c r="X50" s="50"/>
      <c r="Y50" s="50">
        <f t="shared" si="1"/>
        <v>1</v>
      </c>
    </row>
    <row r="51" spans="2:25" s="6" customFormat="1" ht="18.95" customHeight="1" thickBot="1" x14ac:dyDescent="0.35">
      <c r="B51" s="36"/>
      <c r="C51" s="68" t="s">
        <v>74</v>
      </c>
      <c r="D51" s="42"/>
      <c r="E51" s="42"/>
      <c r="F51" s="42"/>
      <c r="G51" s="42"/>
      <c r="H51" s="42"/>
      <c r="I51" s="42"/>
      <c r="J51" s="42">
        <f>SUM(START:END!K30)</f>
        <v>2</v>
      </c>
      <c r="K51" s="42">
        <f>SUM(START:END!L30)</f>
        <v>1</v>
      </c>
      <c r="L51" s="42"/>
      <c r="M51" s="42">
        <f>SUM(START:END!N30)</f>
        <v>0</v>
      </c>
      <c r="N51" s="39" t="s">
        <v>74</v>
      </c>
      <c r="O51" s="50"/>
      <c r="P51" s="50"/>
      <c r="Q51" s="50"/>
      <c r="R51" s="50"/>
      <c r="S51" s="50"/>
      <c r="T51" s="50"/>
      <c r="U51" s="50"/>
      <c r="V51" s="50"/>
      <c r="W51" s="50">
        <f t="shared" si="0"/>
        <v>3</v>
      </c>
      <c r="X51" s="50"/>
      <c r="Y51" s="50">
        <f t="shared" si="1"/>
        <v>3</v>
      </c>
    </row>
    <row r="52" spans="2:25" s="6" customFormat="1" ht="18.95" customHeight="1" thickBot="1" x14ac:dyDescent="0.35">
      <c r="B52" s="36"/>
      <c r="C52" s="68" t="s">
        <v>77</v>
      </c>
      <c r="D52" s="42"/>
      <c r="E52" s="42"/>
      <c r="F52" s="42"/>
      <c r="G52" s="42"/>
      <c r="H52" s="42"/>
      <c r="I52" s="42"/>
      <c r="J52" s="42"/>
      <c r="K52" s="42">
        <f>SUM(START:END!L31)</f>
        <v>1</v>
      </c>
      <c r="L52" s="42"/>
      <c r="M52" s="42">
        <f>SUM(START:END!N31)</f>
        <v>0</v>
      </c>
      <c r="N52" s="39" t="s">
        <v>77</v>
      </c>
      <c r="O52" s="50"/>
      <c r="P52" s="50"/>
      <c r="Q52" s="50"/>
      <c r="R52" s="50"/>
      <c r="S52" s="50"/>
      <c r="T52" s="50"/>
      <c r="U52" s="50"/>
      <c r="V52" s="50"/>
      <c r="W52" s="50">
        <f>SUM(K52:V52)</f>
        <v>1</v>
      </c>
      <c r="X52" s="50"/>
      <c r="Y52" s="50">
        <f t="shared" si="1"/>
        <v>1</v>
      </c>
    </row>
    <row r="53" spans="2:25" s="6" customFormat="1" ht="18.95" customHeight="1" thickBot="1" x14ac:dyDescent="0.35">
      <c r="B53" s="36"/>
      <c r="C53" s="68" t="s">
        <v>78</v>
      </c>
      <c r="D53" s="42"/>
      <c r="E53" s="42"/>
      <c r="F53" s="42"/>
      <c r="G53" s="42"/>
      <c r="H53" s="42"/>
      <c r="I53" s="42"/>
      <c r="J53" s="42"/>
      <c r="K53" s="42">
        <f>SUM(START:END!L32)</f>
        <v>1</v>
      </c>
      <c r="L53" s="42"/>
      <c r="M53" s="42">
        <f>SUM(START:END!N32)</f>
        <v>0</v>
      </c>
      <c r="N53" s="39" t="s">
        <v>78</v>
      </c>
      <c r="O53" s="50"/>
      <c r="P53" s="50"/>
      <c r="Q53" s="50"/>
      <c r="R53" s="50"/>
      <c r="S53" s="50"/>
      <c r="T53" s="50"/>
      <c r="U53" s="50"/>
      <c r="V53" s="50"/>
      <c r="W53" s="50">
        <f>SUM(K53:V53)</f>
        <v>1</v>
      </c>
      <c r="X53" s="50"/>
      <c r="Y53" s="50">
        <f t="shared" si="1"/>
        <v>1</v>
      </c>
    </row>
    <row r="54" spans="2:25" s="6" customFormat="1" ht="18.95" customHeight="1" thickBot="1" x14ac:dyDescent="0.35">
      <c r="B54" s="36"/>
      <c r="C54" s="68" t="s">
        <v>79</v>
      </c>
      <c r="D54" s="42"/>
      <c r="E54" s="42"/>
      <c r="F54" s="42"/>
      <c r="G54" s="42"/>
      <c r="H54" s="42"/>
      <c r="I54" s="42"/>
      <c r="J54" s="42"/>
      <c r="K54" s="42">
        <f>SUM(START:END!L33)</f>
        <v>1</v>
      </c>
      <c r="L54" s="42"/>
      <c r="M54" s="42">
        <f>SUM(START:END!N33)</f>
        <v>0</v>
      </c>
      <c r="N54" s="39" t="s">
        <v>79</v>
      </c>
      <c r="O54" s="50"/>
      <c r="P54" s="50"/>
      <c r="Q54" s="50"/>
      <c r="R54" s="50"/>
      <c r="S54" s="50"/>
      <c r="T54" s="50"/>
      <c r="U54" s="50"/>
      <c r="V54" s="50"/>
      <c r="W54" s="50">
        <f t="shared" ref="W54:W61" si="2">SUM(D54:V54)</f>
        <v>1</v>
      </c>
      <c r="X54" s="50"/>
      <c r="Y54" s="50">
        <f t="shared" si="1"/>
        <v>1</v>
      </c>
    </row>
    <row r="55" spans="2:25" s="6" customFormat="1" ht="18.95" customHeight="1" thickBot="1" x14ac:dyDescent="0.35">
      <c r="B55" s="36"/>
      <c r="C55" s="68" t="s">
        <v>80</v>
      </c>
      <c r="D55" s="42"/>
      <c r="E55" s="42"/>
      <c r="F55" s="42"/>
      <c r="G55" s="42"/>
      <c r="H55" s="42"/>
      <c r="I55" s="42"/>
      <c r="J55" s="42"/>
      <c r="K55" s="42">
        <f>SUM(START:END!L34)</f>
        <v>1</v>
      </c>
      <c r="L55" s="42"/>
      <c r="M55" s="42">
        <f>SUM(START:END!N34)</f>
        <v>0</v>
      </c>
      <c r="N55" s="39" t="s">
        <v>80</v>
      </c>
      <c r="O55" s="50"/>
      <c r="P55" s="50"/>
      <c r="Q55" s="50"/>
      <c r="R55" s="50"/>
      <c r="S55" s="50"/>
      <c r="T55" s="50"/>
      <c r="U55" s="50"/>
      <c r="V55" s="50"/>
      <c r="W55" s="50">
        <f t="shared" si="2"/>
        <v>1</v>
      </c>
      <c r="X55" s="50"/>
      <c r="Y55" s="50">
        <f t="shared" si="1"/>
        <v>1</v>
      </c>
    </row>
    <row r="56" spans="2:25" s="6" customFormat="1" ht="18.95" customHeight="1" thickBot="1" x14ac:dyDescent="0.35">
      <c r="B56" s="36"/>
      <c r="C56" s="68" t="s">
        <v>81</v>
      </c>
      <c r="D56" s="42"/>
      <c r="E56" s="42"/>
      <c r="F56" s="42"/>
      <c r="G56" s="42"/>
      <c r="H56" s="42"/>
      <c r="I56" s="42"/>
      <c r="J56" s="42"/>
      <c r="K56" s="42">
        <f>SUM(START:END!L35)</f>
        <v>1</v>
      </c>
      <c r="L56" s="42"/>
      <c r="M56" s="42">
        <f>SUM(START:END!N35)</f>
        <v>1</v>
      </c>
      <c r="N56" s="39" t="s">
        <v>81</v>
      </c>
      <c r="O56" s="50"/>
      <c r="P56" s="50"/>
      <c r="Q56" s="50"/>
      <c r="R56" s="50"/>
      <c r="S56" s="50"/>
      <c r="T56" s="50"/>
      <c r="U56" s="50"/>
      <c r="V56" s="50"/>
      <c r="W56" s="50">
        <f t="shared" si="2"/>
        <v>2</v>
      </c>
      <c r="X56" s="50"/>
      <c r="Y56" s="50">
        <f t="shared" si="1"/>
        <v>2</v>
      </c>
    </row>
    <row r="57" spans="2:25" s="6" customFormat="1" ht="18.95" customHeight="1" thickBot="1" x14ac:dyDescent="0.35">
      <c r="B57" s="36"/>
      <c r="C57" s="68" t="s">
        <v>82</v>
      </c>
      <c r="D57" s="42"/>
      <c r="E57" s="42"/>
      <c r="F57" s="42"/>
      <c r="G57" s="42"/>
      <c r="H57" s="42"/>
      <c r="I57" s="42"/>
      <c r="J57" s="42"/>
      <c r="K57" s="42">
        <f>SUM(START:END!L36)</f>
        <v>1</v>
      </c>
      <c r="L57" s="42"/>
      <c r="M57" s="42">
        <f>SUM(START:END!N36)</f>
        <v>0</v>
      </c>
      <c r="N57" s="39" t="s">
        <v>82</v>
      </c>
      <c r="O57" s="50"/>
      <c r="P57" s="50"/>
      <c r="Q57" s="50"/>
      <c r="R57" s="50"/>
      <c r="S57" s="50"/>
      <c r="T57" s="50"/>
      <c r="U57" s="50"/>
      <c r="V57" s="50"/>
      <c r="W57" s="50">
        <f t="shared" si="2"/>
        <v>1</v>
      </c>
      <c r="X57" s="50"/>
      <c r="Y57" s="50">
        <f t="shared" si="1"/>
        <v>1</v>
      </c>
    </row>
    <row r="58" spans="2:25" s="6" customFormat="1" ht="18.95" customHeight="1" thickBot="1" x14ac:dyDescent="0.35">
      <c r="B58" s="36"/>
      <c r="C58" s="68" t="s">
        <v>84</v>
      </c>
      <c r="D58" s="42"/>
      <c r="E58" s="42"/>
      <c r="F58" s="42"/>
      <c r="G58" s="42"/>
      <c r="H58" s="42"/>
      <c r="I58" s="42"/>
      <c r="J58" s="42"/>
      <c r="K58" s="42"/>
      <c r="L58" s="42">
        <f>SUM(START:END!M37)</f>
        <v>1</v>
      </c>
      <c r="M58" s="42">
        <f>SUM(START:END!N37)</f>
        <v>0</v>
      </c>
      <c r="N58" s="39" t="s">
        <v>84</v>
      </c>
      <c r="O58" s="50"/>
      <c r="P58" s="50"/>
      <c r="Q58" s="50"/>
      <c r="R58" s="50"/>
      <c r="S58" s="50"/>
      <c r="T58" s="50"/>
      <c r="U58" s="50"/>
      <c r="V58" s="50"/>
      <c r="W58" s="50">
        <f t="shared" si="2"/>
        <v>1</v>
      </c>
      <c r="X58" s="50"/>
      <c r="Y58" s="50">
        <f t="shared" si="1"/>
        <v>1</v>
      </c>
    </row>
    <row r="59" spans="2:25" s="6" customFormat="1" ht="18.95" customHeight="1" thickBot="1" x14ac:dyDescent="0.35">
      <c r="B59" s="36"/>
      <c r="C59" s="68" t="s">
        <v>85</v>
      </c>
      <c r="D59" s="42"/>
      <c r="E59" s="42"/>
      <c r="F59" s="42"/>
      <c r="G59" s="42"/>
      <c r="H59" s="42"/>
      <c r="I59" s="42">
        <f>SUM(START:END!J38)</f>
        <v>1</v>
      </c>
      <c r="J59" s="42"/>
      <c r="K59" s="42"/>
      <c r="L59" s="42"/>
      <c r="M59" s="42">
        <f>SUM(START:END!N38)</f>
        <v>2</v>
      </c>
      <c r="N59" s="39" t="s">
        <v>85</v>
      </c>
      <c r="O59" s="50"/>
      <c r="P59" s="50"/>
      <c r="Q59" s="50"/>
      <c r="R59" s="50"/>
      <c r="S59" s="50"/>
      <c r="T59" s="50"/>
      <c r="U59" s="50"/>
      <c r="V59" s="50"/>
      <c r="W59" s="50">
        <f t="shared" si="2"/>
        <v>3</v>
      </c>
      <c r="X59" s="50">
        <v>1</v>
      </c>
      <c r="Y59" s="50">
        <f t="shared" si="1"/>
        <v>4</v>
      </c>
    </row>
    <row r="60" spans="2:25" s="6" customFormat="1" ht="18.95" customHeight="1" thickBot="1" x14ac:dyDescent="0.35">
      <c r="B60" s="36"/>
      <c r="C60" s="68" t="s">
        <v>86</v>
      </c>
      <c r="D60" s="42"/>
      <c r="E60" s="42"/>
      <c r="F60" s="42"/>
      <c r="G60" s="42"/>
      <c r="H60" s="42"/>
      <c r="I60" s="42"/>
      <c r="J60" s="42"/>
      <c r="K60" s="42"/>
      <c r="L60" s="42"/>
      <c r="M60" s="42">
        <f>SUM(START:END!N39)</f>
        <v>0</v>
      </c>
      <c r="N60" s="39" t="s">
        <v>86</v>
      </c>
      <c r="O60" s="50">
        <f>SUM(START:END!Q39)</f>
        <v>1</v>
      </c>
      <c r="P60" s="50"/>
      <c r="Q60" s="50"/>
      <c r="R60" s="50"/>
      <c r="S60" s="50"/>
      <c r="T60" s="50"/>
      <c r="U60" s="50"/>
      <c r="V60" s="50"/>
      <c r="W60" s="50">
        <f t="shared" si="2"/>
        <v>1</v>
      </c>
      <c r="X60" s="50"/>
      <c r="Y60" s="50">
        <f t="shared" si="1"/>
        <v>1</v>
      </c>
    </row>
    <row r="61" spans="2:25" s="6" customFormat="1" ht="18.95" customHeight="1" thickBot="1" x14ac:dyDescent="0.35">
      <c r="B61" s="36"/>
      <c r="C61" s="68" t="s">
        <v>87</v>
      </c>
      <c r="D61" s="42"/>
      <c r="E61" s="42"/>
      <c r="F61" s="42"/>
      <c r="G61" s="42"/>
      <c r="H61" s="42"/>
      <c r="I61" s="42"/>
      <c r="J61" s="42"/>
      <c r="K61" s="42"/>
      <c r="L61" s="42"/>
      <c r="M61" s="42">
        <f>SUM(START:END!N40)</f>
        <v>0</v>
      </c>
      <c r="N61" s="39" t="s">
        <v>87</v>
      </c>
      <c r="O61" s="50">
        <f>SUM(START:END!Q40)</f>
        <v>1</v>
      </c>
      <c r="P61" s="50"/>
      <c r="Q61" s="50"/>
      <c r="R61" s="50"/>
      <c r="S61" s="50"/>
      <c r="T61" s="50"/>
      <c r="U61" s="50"/>
      <c r="V61" s="50"/>
      <c r="W61" s="50">
        <f t="shared" si="2"/>
        <v>1</v>
      </c>
      <c r="X61" s="50"/>
      <c r="Y61" s="50">
        <f t="shared" si="1"/>
        <v>1</v>
      </c>
    </row>
    <row r="62" spans="2:25" ht="18" customHeight="1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N62" s="13" t="s">
        <v>15</v>
      </c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 spans="2:25" ht="18" customHeight="1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N63" s="13" t="s">
        <v>16</v>
      </c>
      <c r="O63" s="13"/>
      <c r="P63" s="13"/>
      <c r="Q63" s="13"/>
      <c r="R63" s="13"/>
      <c r="S63" s="13"/>
      <c r="T63" s="13"/>
      <c r="U63" s="13"/>
      <c r="V63" s="13"/>
      <c r="W63" s="13"/>
      <c r="X63" s="13"/>
    </row>
    <row r="64" spans="2:25" ht="15.75" customHeight="1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 spans="2:27" ht="21.75" customHeight="1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N65" s="13" t="s">
        <v>164</v>
      </c>
      <c r="O65" s="13"/>
      <c r="P65" s="13"/>
      <c r="Q65" s="13"/>
      <c r="R65" s="13"/>
      <c r="S65" s="13"/>
      <c r="T65" s="13"/>
      <c r="U65" s="13"/>
      <c r="V65" s="13"/>
      <c r="W65" s="13"/>
      <c r="X65" s="13"/>
    </row>
    <row r="66" spans="2:27" ht="18" customHeight="1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N66" s="13" t="s">
        <v>17</v>
      </c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r="67" spans="2:27" ht="27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N67" s="13" t="s">
        <v>167</v>
      </c>
      <c r="O67" s="13"/>
      <c r="P67" s="13"/>
      <c r="Q67" s="13"/>
      <c r="R67" s="13"/>
      <c r="S67" s="13"/>
      <c r="T67" s="13"/>
      <c r="U67" s="13"/>
      <c r="V67" s="13"/>
      <c r="W67" s="13"/>
      <c r="X67" s="13"/>
    </row>
    <row r="68" spans="2:27" ht="27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N68" s="13" t="s">
        <v>168</v>
      </c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r="69" spans="2:27" ht="18.75" customHeight="1" x14ac:dyDescent="0.4">
      <c r="B69" s="1"/>
      <c r="C69" s="1"/>
      <c r="D69" s="2"/>
      <c r="E69" s="1"/>
      <c r="F69" s="1"/>
      <c r="G69" s="1"/>
      <c r="H69" s="1"/>
      <c r="I69" s="1"/>
      <c r="J69" s="1"/>
      <c r="K69" s="1"/>
      <c r="N69" s="13" t="s">
        <v>18</v>
      </c>
      <c r="O69" s="13"/>
      <c r="P69" s="13"/>
      <c r="Q69" s="14" t="s">
        <v>19</v>
      </c>
      <c r="R69" s="13"/>
      <c r="S69" s="13"/>
      <c r="T69" s="13"/>
      <c r="U69" s="13"/>
      <c r="V69" s="13"/>
      <c r="W69" s="13"/>
      <c r="X69" s="13"/>
    </row>
    <row r="70" spans="2:27" ht="27.75" x14ac:dyDescent="0.4">
      <c r="B70" s="1"/>
      <c r="C70" s="1"/>
      <c r="D70" s="2"/>
      <c r="E70" s="1"/>
      <c r="F70" s="1"/>
      <c r="G70" s="1"/>
      <c r="H70" s="1"/>
      <c r="I70" s="1"/>
      <c r="J70" s="1"/>
      <c r="K70" s="1"/>
      <c r="N70" s="6" t="s">
        <v>20</v>
      </c>
      <c r="O70" s="6"/>
      <c r="P70" s="6"/>
      <c r="Q70" s="14" t="s">
        <v>19</v>
      </c>
      <c r="R70" s="14"/>
      <c r="S70" s="14"/>
      <c r="T70" s="14"/>
      <c r="U70" s="14"/>
      <c r="V70" s="14"/>
      <c r="W70" s="14"/>
      <c r="X70" s="14"/>
    </row>
    <row r="71" spans="2:27" ht="15" customHeight="1" x14ac:dyDescent="0.4">
      <c r="B71" s="1"/>
      <c r="C71" s="1"/>
      <c r="D71" s="2"/>
      <c r="E71" s="1"/>
      <c r="F71" s="1"/>
      <c r="G71" s="1"/>
      <c r="H71" s="1"/>
      <c r="I71" s="1"/>
      <c r="J71" s="1"/>
      <c r="K71" s="1"/>
      <c r="N71" s="15" t="s">
        <v>37</v>
      </c>
      <c r="O71" s="6"/>
      <c r="P71" s="6"/>
      <c r="Q71" s="14" t="s">
        <v>19</v>
      </c>
      <c r="R71" s="14"/>
      <c r="S71" s="14"/>
      <c r="T71" s="14"/>
      <c r="U71" s="14"/>
      <c r="V71" s="14"/>
      <c r="W71" s="14"/>
      <c r="X71" s="14"/>
    </row>
    <row r="72" spans="2:27" ht="27.75" x14ac:dyDescent="0.4">
      <c r="B72" s="1"/>
      <c r="C72" s="1"/>
      <c r="D72" s="2"/>
      <c r="E72" s="1"/>
      <c r="F72" s="1"/>
      <c r="G72" s="1"/>
      <c r="H72" s="1"/>
      <c r="I72" s="1"/>
      <c r="J72" s="1"/>
      <c r="K72" s="1"/>
      <c r="N72" s="14"/>
      <c r="O72" s="6"/>
      <c r="P72" s="6"/>
      <c r="Q72" s="6"/>
      <c r="R72" s="15" t="s">
        <v>21</v>
      </c>
      <c r="S72" s="14"/>
      <c r="T72" s="14"/>
      <c r="U72" s="14"/>
      <c r="V72" s="14"/>
      <c r="W72" s="14"/>
      <c r="X72" s="14"/>
      <c r="Y72" s="14"/>
    </row>
    <row r="73" spans="2:27" ht="27" x14ac:dyDescent="0.35">
      <c r="B73" s="1" t="s">
        <v>22</v>
      </c>
      <c r="C73" s="1"/>
      <c r="D73" s="1"/>
      <c r="E73" s="1"/>
      <c r="F73" s="1"/>
      <c r="G73" s="1"/>
      <c r="H73" s="1"/>
      <c r="I73" s="1"/>
      <c r="J73" s="1"/>
      <c r="K73" s="1"/>
      <c r="L73" s="1"/>
      <c r="N73" s="1" t="s">
        <v>163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2:27" ht="27" x14ac:dyDescent="0.35">
      <c r="B74" s="1" t="s">
        <v>43</v>
      </c>
      <c r="C74" s="1"/>
      <c r="D74" s="1"/>
      <c r="E74" s="1"/>
      <c r="F74" s="1"/>
      <c r="G74" s="1"/>
      <c r="H74" s="1"/>
      <c r="I74" s="1"/>
      <c r="J74" s="1"/>
      <c r="K74" s="1"/>
      <c r="L74" s="1"/>
      <c r="N74" s="1" t="s">
        <v>43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2:27" ht="47.25" x14ac:dyDescent="0.25">
      <c r="B75" s="91" t="s">
        <v>36</v>
      </c>
      <c r="C75" s="24">
        <v>1317</v>
      </c>
      <c r="D75" s="4"/>
      <c r="E75" s="4"/>
      <c r="F75" s="4"/>
      <c r="G75" s="4"/>
      <c r="H75" s="4"/>
      <c r="I75" s="4"/>
      <c r="J75" s="4"/>
      <c r="K75" s="4"/>
      <c r="L75" s="4"/>
      <c r="M75" s="3"/>
      <c r="N75" s="24"/>
      <c r="O75" s="4"/>
      <c r="P75" s="19"/>
      <c r="Q75" s="4"/>
      <c r="R75" s="4"/>
      <c r="S75" s="4"/>
      <c r="T75" s="4"/>
      <c r="U75" s="4"/>
      <c r="V75" s="4"/>
      <c r="W75" s="4"/>
      <c r="X75" s="4"/>
      <c r="Y75" s="5"/>
      <c r="Z75" s="5"/>
      <c r="AA75" s="5"/>
    </row>
    <row r="76" spans="2:27" ht="15.75" x14ac:dyDescent="0.25">
      <c r="B76" s="4" t="s">
        <v>35</v>
      </c>
      <c r="C76" s="4">
        <v>1808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19"/>
      <c r="R76" s="4"/>
      <c r="S76" s="4"/>
      <c r="T76" s="4"/>
      <c r="U76" s="4"/>
      <c r="V76" s="4"/>
      <c r="W76" s="4"/>
      <c r="X76" s="4"/>
      <c r="Y76" s="5"/>
      <c r="Z76" s="5"/>
      <c r="AA76" s="5"/>
    </row>
    <row r="77" spans="2:27" ht="16.5" thickBot="1" x14ac:dyDescent="0.3">
      <c r="B77" s="4" t="s">
        <v>34</v>
      </c>
      <c r="C77" s="23">
        <v>0.73</v>
      </c>
      <c r="D77" s="4"/>
      <c r="E77" s="4"/>
      <c r="M77" s="4"/>
      <c r="N77" s="23"/>
      <c r="Y77" s="5"/>
      <c r="Z77" s="5"/>
      <c r="AA77" s="5"/>
    </row>
    <row r="78" spans="2:27" s="88" customFormat="1" ht="145.5" thickBot="1" x14ac:dyDescent="0.35">
      <c r="B78" s="93" t="s">
        <v>0</v>
      </c>
      <c r="C78" s="93" t="s">
        <v>1</v>
      </c>
      <c r="D78" s="94" t="s">
        <v>3</v>
      </c>
      <c r="E78" s="94" t="s">
        <v>4</v>
      </c>
      <c r="F78" s="94" t="s">
        <v>5</v>
      </c>
      <c r="G78" s="94" t="s">
        <v>6</v>
      </c>
      <c r="H78" s="94" t="s">
        <v>7</v>
      </c>
      <c r="I78" s="94" t="s">
        <v>23</v>
      </c>
      <c r="J78" s="94" t="s">
        <v>24</v>
      </c>
      <c r="K78" s="94" t="s">
        <v>25</v>
      </c>
      <c r="L78" s="95" t="s">
        <v>26</v>
      </c>
      <c r="M78" s="94" t="s">
        <v>27</v>
      </c>
      <c r="N78" s="96" t="s">
        <v>1</v>
      </c>
      <c r="O78" s="94" t="s">
        <v>28</v>
      </c>
      <c r="P78" s="94" t="s">
        <v>8</v>
      </c>
      <c r="Q78" s="94" t="s">
        <v>9</v>
      </c>
      <c r="R78" s="94" t="s">
        <v>10</v>
      </c>
      <c r="S78" s="94" t="s">
        <v>29</v>
      </c>
      <c r="T78" s="94" t="s">
        <v>11</v>
      </c>
      <c r="U78" s="94" t="s">
        <v>12</v>
      </c>
      <c r="V78" s="94" t="s">
        <v>13</v>
      </c>
      <c r="W78" s="94" t="s">
        <v>14</v>
      </c>
      <c r="X78" s="94" t="s">
        <v>166</v>
      </c>
      <c r="Y78" s="94" t="s">
        <v>14</v>
      </c>
    </row>
    <row r="79" spans="2:27" s="6" customFormat="1" ht="18.95" customHeight="1" thickBot="1" x14ac:dyDescent="0.35">
      <c r="B79" s="30" t="s">
        <v>160</v>
      </c>
      <c r="C79" s="80"/>
      <c r="D79" s="62"/>
      <c r="E79" s="62"/>
      <c r="F79" s="61"/>
      <c r="G79" s="61"/>
      <c r="H79" s="61"/>
      <c r="I79" s="61"/>
      <c r="J79" s="61"/>
      <c r="K79" s="61"/>
      <c r="L79" s="61"/>
      <c r="M79" s="63"/>
      <c r="N79" s="71" t="s">
        <v>45</v>
      </c>
      <c r="O79" s="31"/>
      <c r="P79" s="31"/>
      <c r="Q79" s="32"/>
      <c r="R79" s="31"/>
      <c r="S79" s="31"/>
      <c r="T79" s="31"/>
      <c r="U79" s="31"/>
      <c r="V79" s="31"/>
      <c r="W79" s="35"/>
      <c r="X79" s="35"/>
      <c r="Y79" s="35"/>
    </row>
    <row r="80" spans="2:27" s="6" customFormat="1" ht="18.95" customHeight="1" thickBot="1" x14ac:dyDescent="0.35">
      <c r="B80" s="36"/>
      <c r="C80" s="68" t="s">
        <v>106</v>
      </c>
      <c r="D80" s="40"/>
      <c r="E80" s="40"/>
      <c r="F80" s="40"/>
      <c r="G80" s="40"/>
      <c r="H80" s="40">
        <f>SUM(START:END!I45)</f>
        <v>1</v>
      </c>
      <c r="I80" s="40"/>
      <c r="J80" s="40"/>
      <c r="K80" s="40"/>
      <c r="L80" s="40"/>
      <c r="M80" s="40"/>
      <c r="N80" s="39" t="s">
        <v>106</v>
      </c>
      <c r="O80" s="50"/>
      <c r="P80" s="50"/>
      <c r="Q80" s="50"/>
      <c r="R80" s="50"/>
      <c r="S80" s="50"/>
      <c r="T80" s="50"/>
      <c r="U80" s="50"/>
      <c r="V80" s="49"/>
      <c r="W80" s="50">
        <f t="shared" ref="W80:W85" si="3">SUM(D80:V80)</f>
        <v>1</v>
      </c>
      <c r="X80" s="50"/>
      <c r="Y80" s="50">
        <f>SUM(W80:X80)</f>
        <v>1</v>
      </c>
    </row>
    <row r="81" spans="2:25" s="6" customFormat="1" ht="18.95" customHeight="1" thickBot="1" x14ac:dyDescent="0.35">
      <c r="B81" s="36"/>
      <c r="C81" s="68" t="s">
        <v>88</v>
      </c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39" t="s">
        <v>88</v>
      </c>
      <c r="O81" s="50">
        <f>SUM(START:END!Q46)</f>
        <v>1</v>
      </c>
      <c r="P81" s="50"/>
      <c r="Q81" s="50"/>
      <c r="R81" s="50"/>
      <c r="S81" s="50"/>
      <c r="T81" s="50"/>
      <c r="U81" s="50"/>
      <c r="V81" s="49"/>
      <c r="W81" s="50">
        <f t="shared" si="3"/>
        <v>1</v>
      </c>
      <c r="X81" s="50"/>
      <c r="Y81" s="50">
        <f t="shared" ref="Y81:Y96" si="4">SUM(W81:X81)</f>
        <v>1</v>
      </c>
    </row>
    <row r="82" spans="2:25" s="6" customFormat="1" ht="18.95" customHeight="1" thickBot="1" x14ac:dyDescent="0.35">
      <c r="B82" s="36"/>
      <c r="C82" s="68" t="s">
        <v>89</v>
      </c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39" t="s">
        <v>89</v>
      </c>
      <c r="O82" s="50">
        <f>SUM(START:END!Q47)</f>
        <v>1</v>
      </c>
      <c r="P82" s="50"/>
      <c r="Q82" s="50"/>
      <c r="R82" s="50"/>
      <c r="S82" s="50"/>
      <c r="T82" s="50"/>
      <c r="U82" s="50"/>
      <c r="V82" s="49"/>
      <c r="W82" s="50">
        <f t="shared" si="3"/>
        <v>1</v>
      </c>
      <c r="X82" s="50"/>
      <c r="Y82" s="50">
        <f t="shared" si="4"/>
        <v>1</v>
      </c>
    </row>
    <row r="83" spans="2:25" s="6" customFormat="1" ht="18.95" customHeight="1" thickBot="1" x14ac:dyDescent="0.35">
      <c r="B83" s="36"/>
      <c r="C83" s="68" t="s">
        <v>90</v>
      </c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39" t="s">
        <v>90</v>
      </c>
      <c r="O83" s="50"/>
      <c r="P83" s="50"/>
      <c r="Q83" s="50">
        <f>SUM(START:END!S48)</f>
        <v>1</v>
      </c>
      <c r="R83" s="50"/>
      <c r="S83" s="50"/>
      <c r="T83" s="50"/>
      <c r="U83" s="50"/>
      <c r="V83" s="49"/>
      <c r="W83" s="50">
        <f t="shared" si="3"/>
        <v>1</v>
      </c>
      <c r="X83" s="50"/>
      <c r="Y83" s="50">
        <f t="shared" si="4"/>
        <v>1</v>
      </c>
    </row>
    <row r="84" spans="2:25" s="6" customFormat="1" ht="18.95" customHeight="1" thickBot="1" x14ac:dyDescent="0.35">
      <c r="B84" s="36"/>
      <c r="C84" s="68" t="s">
        <v>91</v>
      </c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39" t="s">
        <v>91</v>
      </c>
      <c r="O84" s="50"/>
      <c r="P84" s="50"/>
      <c r="Q84" s="50">
        <f>SUM(START:END!S49)</f>
        <v>1</v>
      </c>
      <c r="R84" s="50"/>
      <c r="S84" s="50"/>
      <c r="T84" s="50"/>
      <c r="U84" s="50"/>
      <c r="V84" s="49"/>
      <c r="W84" s="50">
        <f t="shared" si="3"/>
        <v>1</v>
      </c>
      <c r="X84" s="50"/>
      <c r="Y84" s="50">
        <f t="shared" si="4"/>
        <v>1</v>
      </c>
    </row>
    <row r="85" spans="2:25" s="6" customFormat="1" ht="18.95" customHeight="1" thickBot="1" x14ac:dyDescent="0.35">
      <c r="B85" s="36"/>
      <c r="C85" s="68" t="s">
        <v>92</v>
      </c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39" t="s">
        <v>92</v>
      </c>
      <c r="O85" s="50"/>
      <c r="P85" s="50"/>
      <c r="Q85" s="50">
        <f>SUM(START:END!S50)</f>
        <v>1</v>
      </c>
      <c r="R85" s="50"/>
      <c r="S85" s="50"/>
      <c r="T85" s="50"/>
      <c r="U85" s="50"/>
      <c r="V85" s="49"/>
      <c r="W85" s="50">
        <f t="shared" si="3"/>
        <v>1</v>
      </c>
      <c r="X85" s="50"/>
      <c r="Y85" s="50">
        <f t="shared" si="4"/>
        <v>1</v>
      </c>
    </row>
    <row r="86" spans="2:25" s="6" customFormat="1" ht="18.95" customHeight="1" thickBot="1" x14ac:dyDescent="0.35">
      <c r="B86" s="36"/>
      <c r="C86" s="68" t="s">
        <v>93</v>
      </c>
      <c r="D86" s="40"/>
      <c r="E86" s="40"/>
      <c r="F86" s="40"/>
      <c r="G86" s="40"/>
      <c r="H86" s="40"/>
      <c r="I86" s="40"/>
      <c r="J86" s="40">
        <f>SUM(START:END!K51)</f>
        <v>1</v>
      </c>
      <c r="K86" s="40">
        <f>SUM(START:END!L51)</f>
        <v>1</v>
      </c>
      <c r="L86" s="40"/>
      <c r="M86" s="40"/>
      <c r="N86" s="39" t="s">
        <v>93</v>
      </c>
      <c r="O86" s="50"/>
      <c r="P86" s="50"/>
      <c r="Q86" s="50"/>
      <c r="R86" s="50"/>
      <c r="S86" s="50">
        <f>SUM(START:END!U51)</f>
        <v>1</v>
      </c>
      <c r="T86" s="50"/>
      <c r="U86" s="50"/>
      <c r="V86" s="49">
        <f>SUM(START:END!X51)</f>
        <v>1</v>
      </c>
      <c r="W86" s="50">
        <f>SUM(S86:V86)</f>
        <v>2</v>
      </c>
      <c r="X86" s="50"/>
      <c r="Y86" s="50">
        <f t="shared" si="4"/>
        <v>2</v>
      </c>
    </row>
    <row r="87" spans="2:25" s="6" customFormat="1" ht="18.95" customHeight="1" thickBot="1" x14ac:dyDescent="0.35">
      <c r="B87" s="36"/>
      <c r="C87" s="68" t="s">
        <v>94</v>
      </c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39" t="s">
        <v>94</v>
      </c>
      <c r="O87" s="50"/>
      <c r="P87" s="50"/>
      <c r="Q87" s="50"/>
      <c r="R87" s="50"/>
      <c r="S87" s="50">
        <f>SUM(START:END!U52)</f>
        <v>1</v>
      </c>
      <c r="T87" s="50"/>
      <c r="U87" s="50"/>
      <c r="V87" s="49"/>
      <c r="W87" s="50">
        <f>SUM(S87:V87)</f>
        <v>1</v>
      </c>
      <c r="X87" s="50"/>
      <c r="Y87" s="50">
        <f t="shared" si="4"/>
        <v>1</v>
      </c>
    </row>
    <row r="88" spans="2:25" s="6" customFormat="1" ht="18.95" customHeight="1" thickBot="1" x14ac:dyDescent="0.35">
      <c r="B88" s="36"/>
      <c r="C88" s="68" t="s">
        <v>97</v>
      </c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39" t="s">
        <v>97</v>
      </c>
      <c r="O88" s="50"/>
      <c r="P88" s="50"/>
      <c r="Q88" s="50"/>
      <c r="R88" s="50"/>
      <c r="S88" s="50"/>
      <c r="T88" s="50"/>
      <c r="U88" s="50">
        <f>SUM(START:END!W53)</f>
        <v>1</v>
      </c>
      <c r="V88" s="49"/>
      <c r="W88" s="50">
        <f t="shared" ref="W88:W96" si="5">SUM(D88:V88)</f>
        <v>1</v>
      </c>
      <c r="X88" s="50"/>
      <c r="Y88" s="50">
        <f t="shared" si="4"/>
        <v>1</v>
      </c>
    </row>
    <row r="89" spans="2:25" s="6" customFormat="1" ht="18.95" customHeight="1" thickBot="1" x14ac:dyDescent="0.35">
      <c r="B89" s="36"/>
      <c r="C89" s="68" t="s">
        <v>98</v>
      </c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39" t="s">
        <v>98</v>
      </c>
      <c r="O89" s="50"/>
      <c r="P89" s="50"/>
      <c r="Q89" s="50"/>
      <c r="R89" s="50"/>
      <c r="S89" s="50"/>
      <c r="T89" s="50"/>
      <c r="U89" s="50">
        <f>SUM(START:END!W54)</f>
        <v>1</v>
      </c>
      <c r="V89" s="49"/>
      <c r="W89" s="50">
        <f t="shared" si="5"/>
        <v>1</v>
      </c>
      <c r="X89" s="50"/>
      <c r="Y89" s="50">
        <f t="shared" si="4"/>
        <v>1</v>
      </c>
    </row>
    <row r="90" spans="2:25" s="6" customFormat="1" ht="18.95" customHeight="1" thickBot="1" x14ac:dyDescent="0.35">
      <c r="B90" s="36"/>
      <c r="C90" s="68" t="s">
        <v>101</v>
      </c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39" t="s">
        <v>101</v>
      </c>
      <c r="O90" s="50"/>
      <c r="P90" s="50"/>
      <c r="Q90" s="50"/>
      <c r="R90" s="50"/>
      <c r="S90" s="50"/>
      <c r="T90" s="50"/>
      <c r="U90" s="50"/>
      <c r="V90" s="49">
        <f>SUM(START:END!X55)</f>
        <v>1</v>
      </c>
      <c r="W90" s="50">
        <f t="shared" si="5"/>
        <v>1</v>
      </c>
      <c r="X90" s="50"/>
      <c r="Y90" s="50">
        <f t="shared" si="4"/>
        <v>1</v>
      </c>
    </row>
    <row r="91" spans="2:25" s="6" customFormat="1" ht="18.95" customHeight="1" thickBot="1" x14ac:dyDescent="0.35">
      <c r="B91" s="36"/>
      <c r="C91" s="68" t="s">
        <v>102</v>
      </c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39" t="s">
        <v>102</v>
      </c>
      <c r="O91" s="50"/>
      <c r="P91" s="50"/>
      <c r="Q91" s="50"/>
      <c r="R91" s="50">
        <f>SUM(START:END!T56)</f>
        <v>1</v>
      </c>
      <c r="S91" s="50"/>
      <c r="T91" s="50"/>
      <c r="U91" s="50"/>
      <c r="V91" s="49">
        <f>SUM(START:END!X56)</f>
        <v>1</v>
      </c>
      <c r="W91" s="50">
        <f t="shared" si="5"/>
        <v>2</v>
      </c>
      <c r="X91" s="50"/>
      <c r="Y91" s="50">
        <f t="shared" si="4"/>
        <v>2</v>
      </c>
    </row>
    <row r="92" spans="2:25" s="6" customFormat="1" ht="18.95" customHeight="1" thickBot="1" x14ac:dyDescent="0.35">
      <c r="B92" s="36"/>
      <c r="C92" s="68" t="s">
        <v>103</v>
      </c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39" t="s">
        <v>103</v>
      </c>
      <c r="O92" s="50"/>
      <c r="P92" s="50"/>
      <c r="Q92" s="50"/>
      <c r="R92" s="50"/>
      <c r="S92" s="50"/>
      <c r="T92" s="50"/>
      <c r="U92" s="50"/>
      <c r="V92" s="49">
        <f>SUM(START:END!X57)</f>
        <v>3</v>
      </c>
      <c r="W92" s="50">
        <f t="shared" si="5"/>
        <v>3</v>
      </c>
      <c r="X92" s="50"/>
      <c r="Y92" s="50">
        <f t="shared" si="4"/>
        <v>3</v>
      </c>
    </row>
    <row r="93" spans="2:25" s="6" customFormat="1" ht="18.95" customHeight="1" thickBot="1" x14ac:dyDescent="0.35">
      <c r="B93" s="36"/>
      <c r="C93" s="68" t="s">
        <v>104</v>
      </c>
      <c r="D93" s="40"/>
      <c r="E93" s="40">
        <f>SUM(START:END!F58)</f>
        <v>1</v>
      </c>
      <c r="F93" s="40"/>
      <c r="G93" s="40"/>
      <c r="H93" s="40"/>
      <c r="I93" s="40"/>
      <c r="J93" s="40"/>
      <c r="K93" s="40"/>
      <c r="L93" s="40"/>
      <c r="M93" s="40"/>
      <c r="N93" s="39" t="s">
        <v>104</v>
      </c>
      <c r="O93" s="50"/>
      <c r="P93" s="50"/>
      <c r="Q93" s="50"/>
      <c r="R93" s="50"/>
      <c r="S93" s="50"/>
      <c r="T93" s="50"/>
      <c r="U93" s="50"/>
      <c r="V93" s="49"/>
      <c r="W93" s="50">
        <f t="shared" si="5"/>
        <v>1</v>
      </c>
      <c r="X93" s="50"/>
      <c r="Y93" s="50">
        <f t="shared" si="4"/>
        <v>1</v>
      </c>
    </row>
    <row r="94" spans="2:25" s="6" customFormat="1" ht="18.95" customHeight="1" thickBot="1" x14ac:dyDescent="0.35">
      <c r="B94" s="36"/>
      <c r="C94" s="68" t="s">
        <v>107</v>
      </c>
      <c r="D94" s="40"/>
      <c r="E94" s="40"/>
      <c r="F94" s="40"/>
      <c r="G94" s="40"/>
      <c r="H94" s="40"/>
      <c r="I94" s="40">
        <f>SUM(START:END!J59)</f>
        <v>1</v>
      </c>
      <c r="J94" s="40">
        <f>SUM(START:END!K59)</f>
        <v>1</v>
      </c>
      <c r="K94" s="40"/>
      <c r="L94" s="40"/>
      <c r="M94" s="40"/>
      <c r="N94" s="39" t="s">
        <v>107</v>
      </c>
      <c r="O94" s="50"/>
      <c r="P94" s="50"/>
      <c r="Q94" s="50"/>
      <c r="R94" s="50"/>
      <c r="S94" s="50"/>
      <c r="T94" s="50"/>
      <c r="U94" s="50"/>
      <c r="V94" s="49"/>
      <c r="W94" s="50">
        <f t="shared" si="5"/>
        <v>2</v>
      </c>
      <c r="X94" s="50"/>
      <c r="Y94" s="50">
        <f t="shared" si="4"/>
        <v>2</v>
      </c>
    </row>
    <row r="95" spans="2:25" s="6" customFormat="1" ht="18.95" customHeight="1" thickBot="1" x14ac:dyDescent="0.35">
      <c r="B95" s="36"/>
      <c r="C95" s="68" t="s">
        <v>110</v>
      </c>
      <c r="D95" s="40"/>
      <c r="E95" s="40"/>
      <c r="F95" s="40"/>
      <c r="G95" s="40"/>
      <c r="H95" s="40"/>
      <c r="I95" s="40"/>
      <c r="J95" s="40">
        <f>SUM(START:END!K60)</f>
        <v>1</v>
      </c>
      <c r="K95" s="40"/>
      <c r="L95" s="40"/>
      <c r="M95" s="40"/>
      <c r="N95" s="39" t="s">
        <v>110</v>
      </c>
      <c r="O95" s="50"/>
      <c r="P95" s="50"/>
      <c r="Q95" s="50"/>
      <c r="R95" s="50"/>
      <c r="S95" s="50"/>
      <c r="T95" s="50"/>
      <c r="U95" s="50"/>
      <c r="V95" s="49"/>
      <c r="W95" s="50">
        <f t="shared" si="5"/>
        <v>1</v>
      </c>
      <c r="X95" s="50"/>
      <c r="Y95" s="50">
        <f t="shared" si="4"/>
        <v>1</v>
      </c>
    </row>
    <row r="96" spans="2:25" s="6" customFormat="1" ht="18.95" customHeight="1" thickBot="1" x14ac:dyDescent="0.35">
      <c r="B96" s="36"/>
      <c r="C96" s="68" t="s">
        <v>111</v>
      </c>
      <c r="D96" s="40"/>
      <c r="E96" s="40"/>
      <c r="F96" s="40"/>
      <c r="G96" s="40"/>
      <c r="H96" s="40"/>
      <c r="I96" s="40"/>
      <c r="J96" s="40">
        <f>SUM(START:END!K61)</f>
        <v>1</v>
      </c>
      <c r="K96" s="40"/>
      <c r="L96" s="40"/>
      <c r="M96" s="40"/>
      <c r="N96" s="39" t="s">
        <v>111</v>
      </c>
      <c r="O96" s="50"/>
      <c r="P96" s="50"/>
      <c r="Q96" s="50"/>
      <c r="R96" s="50"/>
      <c r="S96" s="50"/>
      <c r="T96" s="50"/>
      <c r="U96" s="50"/>
      <c r="V96" s="49"/>
      <c r="W96" s="50">
        <f t="shared" si="5"/>
        <v>1</v>
      </c>
      <c r="X96" s="50"/>
      <c r="Y96" s="50">
        <f t="shared" si="4"/>
        <v>1</v>
      </c>
    </row>
    <row r="97" spans="2:27" ht="27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</row>
    <row r="98" spans="2:27" ht="27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N98"/>
      <c r="O98" s="13" t="s">
        <v>15</v>
      </c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2:27" ht="27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N99"/>
      <c r="O99" s="13" t="s">
        <v>16</v>
      </c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2:27" ht="27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N100"/>
      <c r="O100" s="13"/>
      <c r="P100" s="13" t="s">
        <v>169</v>
      </c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2:27" ht="27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N101"/>
      <c r="O101" s="13" t="s">
        <v>164</v>
      </c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2:27" ht="27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N102"/>
      <c r="O102" s="13" t="s">
        <v>17</v>
      </c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2:27" ht="27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N103"/>
      <c r="O103" s="13" t="s">
        <v>167</v>
      </c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2:27" ht="27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N104"/>
      <c r="O104" s="13" t="s">
        <v>168</v>
      </c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2:27" ht="27.75" x14ac:dyDescent="0.4"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N105"/>
      <c r="O105" s="13" t="s">
        <v>18</v>
      </c>
      <c r="P105" s="13"/>
      <c r="Q105" s="13"/>
      <c r="R105" s="13"/>
      <c r="S105" s="14" t="s">
        <v>19</v>
      </c>
      <c r="T105" s="13"/>
      <c r="U105" s="13"/>
      <c r="V105" s="13"/>
      <c r="W105" s="13"/>
      <c r="X105" s="13"/>
      <c r="Y105" s="13"/>
      <c r="Z105" s="13"/>
    </row>
    <row r="106" spans="2:27" ht="27.75" x14ac:dyDescent="0.4"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N106"/>
      <c r="O106" s="6" t="s">
        <v>20</v>
      </c>
      <c r="P106" s="20"/>
      <c r="Q106" s="6"/>
      <c r="R106" s="6"/>
      <c r="S106" s="14" t="s">
        <v>19</v>
      </c>
      <c r="T106" s="14"/>
      <c r="U106" s="14"/>
      <c r="V106" s="14"/>
      <c r="W106" s="14"/>
      <c r="X106" s="14"/>
      <c r="Y106" s="14"/>
      <c r="Z106" s="14"/>
    </row>
    <row r="107" spans="2:27" ht="27.75" x14ac:dyDescent="0.4"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N107"/>
      <c r="O107" s="15" t="s">
        <v>37</v>
      </c>
      <c r="P107" s="20"/>
      <c r="Q107" s="6"/>
      <c r="R107" s="6"/>
      <c r="S107" s="14" t="s">
        <v>19</v>
      </c>
      <c r="T107" s="14"/>
      <c r="U107" s="14"/>
      <c r="V107" s="14"/>
      <c r="W107" s="14"/>
      <c r="X107" s="14"/>
      <c r="Y107" s="14"/>
      <c r="Z107" s="14"/>
    </row>
    <row r="108" spans="2:27" ht="27.75" x14ac:dyDescent="0.4"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N108"/>
      <c r="O108" s="14"/>
      <c r="P108" s="20"/>
      <c r="Q108" s="6"/>
      <c r="R108" s="6"/>
      <c r="S108" s="6"/>
      <c r="T108" s="15" t="s">
        <v>21</v>
      </c>
      <c r="U108" s="14"/>
      <c r="V108" s="14"/>
      <c r="W108" s="14"/>
      <c r="X108" s="14"/>
      <c r="Y108" s="14"/>
      <c r="Z108" s="14"/>
      <c r="AA108" s="14"/>
    </row>
    <row r="109" spans="2:27" ht="27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</row>
    <row r="110" spans="2:27" ht="27.75" x14ac:dyDescent="0.4">
      <c r="B110" s="1"/>
      <c r="C110" s="1"/>
      <c r="D110" s="2"/>
      <c r="E110" s="1"/>
      <c r="F110" s="1"/>
      <c r="G110" s="1"/>
      <c r="H110" s="1"/>
      <c r="I110" s="1"/>
      <c r="J110" s="1"/>
      <c r="K110" s="1"/>
      <c r="N110" s="14"/>
      <c r="O110" s="6"/>
      <c r="P110" s="6"/>
      <c r="Q110" s="6"/>
      <c r="R110" s="15"/>
      <c r="S110" s="14"/>
      <c r="T110" s="14"/>
      <c r="U110" s="14"/>
      <c r="V110" s="14"/>
      <c r="W110" s="14"/>
      <c r="X110" s="14"/>
      <c r="Y110" s="14"/>
    </row>
    <row r="111" spans="2:27" ht="27" x14ac:dyDescent="0.35">
      <c r="B111" s="1" t="s">
        <v>22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N111" s="1" t="s">
        <v>163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2:27" ht="27" x14ac:dyDescent="0.35">
      <c r="B112" s="1" t="s">
        <v>43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N112" s="1" t="s">
        <v>43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2:27" ht="47.25" x14ac:dyDescent="0.25">
      <c r="B113" s="91" t="s">
        <v>36</v>
      </c>
      <c r="C113" s="24">
        <v>1317</v>
      </c>
      <c r="D113" s="4"/>
      <c r="E113" s="4"/>
      <c r="F113" s="4"/>
      <c r="G113" s="4"/>
      <c r="H113" s="4"/>
      <c r="I113" s="4"/>
      <c r="J113" s="4"/>
      <c r="K113" s="4"/>
      <c r="L113" s="4"/>
      <c r="M113" s="3"/>
      <c r="N113" s="24"/>
      <c r="O113" s="4"/>
      <c r="P113" s="19"/>
      <c r="Q113" s="4"/>
      <c r="R113" s="4"/>
      <c r="S113" s="4"/>
      <c r="T113" s="4"/>
      <c r="U113" s="4"/>
      <c r="V113" s="4"/>
      <c r="W113" s="4"/>
      <c r="X113" s="4"/>
      <c r="Y113" s="5"/>
      <c r="Z113" s="5"/>
      <c r="AA113" s="5"/>
    </row>
    <row r="114" spans="2:27" ht="15.75" x14ac:dyDescent="0.25">
      <c r="B114" s="4" t="s">
        <v>35</v>
      </c>
      <c r="C114" s="4">
        <v>1808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9"/>
      <c r="R114" s="4"/>
      <c r="S114" s="4"/>
      <c r="T114" s="4"/>
      <c r="U114" s="4"/>
      <c r="V114" s="4"/>
      <c r="W114" s="4"/>
      <c r="X114" s="4"/>
      <c r="Y114" s="5"/>
      <c r="Z114" s="5"/>
      <c r="AA114" s="5"/>
    </row>
    <row r="115" spans="2:27" ht="16.5" thickBot="1" x14ac:dyDescent="0.3">
      <c r="B115" s="4" t="s">
        <v>34</v>
      </c>
      <c r="C115" s="23">
        <v>0.73</v>
      </c>
      <c r="D115" s="4"/>
      <c r="E115" s="4"/>
      <c r="M115" s="4"/>
      <c r="N115" s="23"/>
      <c r="Y115" s="5"/>
      <c r="Z115" s="5"/>
      <c r="AA115" s="5"/>
    </row>
    <row r="116" spans="2:27" s="88" customFormat="1" ht="145.5" thickBot="1" x14ac:dyDescent="0.35">
      <c r="B116" s="93" t="s">
        <v>0</v>
      </c>
      <c r="C116" s="93" t="s">
        <v>1</v>
      </c>
      <c r="D116" s="94" t="s">
        <v>3</v>
      </c>
      <c r="E116" s="94" t="s">
        <v>4</v>
      </c>
      <c r="F116" s="94" t="s">
        <v>5</v>
      </c>
      <c r="G116" s="94" t="s">
        <v>6</v>
      </c>
      <c r="H116" s="94" t="s">
        <v>7</v>
      </c>
      <c r="I116" s="94" t="s">
        <v>23</v>
      </c>
      <c r="J116" s="94" t="s">
        <v>24</v>
      </c>
      <c r="K116" s="94" t="s">
        <v>25</v>
      </c>
      <c r="L116" s="95" t="s">
        <v>26</v>
      </c>
      <c r="M116" s="94" t="s">
        <v>27</v>
      </c>
      <c r="N116" s="96" t="s">
        <v>1</v>
      </c>
      <c r="O116" s="94" t="s">
        <v>28</v>
      </c>
      <c r="P116" s="94" t="s">
        <v>8</v>
      </c>
      <c r="Q116" s="94" t="s">
        <v>9</v>
      </c>
      <c r="R116" s="94" t="s">
        <v>10</v>
      </c>
      <c r="S116" s="94" t="s">
        <v>29</v>
      </c>
      <c r="T116" s="94" t="s">
        <v>11</v>
      </c>
      <c r="U116" s="94" t="s">
        <v>12</v>
      </c>
      <c r="V116" s="94" t="s">
        <v>13</v>
      </c>
      <c r="W116" s="94" t="s">
        <v>14</v>
      </c>
      <c r="X116" s="94" t="s">
        <v>166</v>
      </c>
      <c r="Y116" s="94" t="s">
        <v>14</v>
      </c>
    </row>
    <row r="117" spans="2:27" s="6" customFormat="1" ht="18.95" customHeight="1" thickBot="1" x14ac:dyDescent="0.35">
      <c r="B117" s="30" t="s">
        <v>160</v>
      </c>
      <c r="C117" s="80"/>
      <c r="D117" s="62"/>
      <c r="E117" s="62"/>
      <c r="F117" s="61"/>
      <c r="G117" s="61"/>
      <c r="H117" s="61"/>
      <c r="I117" s="61"/>
      <c r="J117" s="61"/>
      <c r="K117" s="61"/>
      <c r="L117" s="61"/>
      <c r="M117" s="63"/>
      <c r="N117" s="71" t="s">
        <v>45</v>
      </c>
      <c r="O117" s="31"/>
      <c r="P117" s="31"/>
      <c r="Q117" s="32"/>
      <c r="R117" s="31"/>
      <c r="S117" s="31"/>
      <c r="T117" s="31"/>
      <c r="U117" s="31"/>
      <c r="V117" s="31"/>
      <c r="W117" s="35"/>
      <c r="X117" s="35"/>
      <c r="Y117" s="35"/>
    </row>
    <row r="118" spans="2:27" ht="18.95" customHeight="1" thickBot="1" x14ac:dyDescent="0.35">
      <c r="B118" s="49"/>
      <c r="C118" s="68" t="s">
        <v>112</v>
      </c>
      <c r="D118" s="50"/>
      <c r="E118" s="50"/>
      <c r="F118" s="50"/>
      <c r="G118" s="50"/>
      <c r="H118" s="50"/>
      <c r="I118" s="50"/>
      <c r="J118" s="50">
        <f>SUM(START:END!K66)</f>
        <v>1</v>
      </c>
      <c r="K118" s="50"/>
      <c r="L118" s="50"/>
      <c r="M118" s="50"/>
      <c r="N118" s="39" t="s">
        <v>112</v>
      </c>
      <c r="O118" s="50"/>
      <c r="P118" s="50"/>
      <c r="Q118" s="50"/>
      <c r="R118" s="50"/>
      <c r="S118" s="50"/>
      <c r="T118" s="50"/>
      <c r="U118" s="50"/>
      <c r="V118" s="49"/>
      <c r="W118" s="50">
        <f t="shared" ref="W118:W142" si="6">SUM(D118:V118)</f>
        <v>1</v>
      </c>
      <c r="X118" s="50"/>
      <c r="Y118" s="50">
        <f>SUM(W118:X118)</f>
        <v>1</v>
      </c>
    </row>
    <row r="119" spans="2:27" ht="18.95" customHeight="1" thickBot="1" x14ac:dyDescent="0.35">
      <c r="B119" s="49"/>
      <c r="C119" s="68" t="s">
        <v>113</v>
      </c>
      <c r="D119" s="50"/>
      <c r="E119" s="50"/>
      <c r="F119" s="50"/>
      <c r="G119" s="50"/>
      <c r="H119" s="50"/>
      <c r="I119" s="50"/>
      <c r="J119" s="50">
        <f>SUM(START:END!K67)</f>
        <v>1</v>
      </c>
      <c r="K119" s="50"/>
      <c r="L119" s="50"/>
      <c r="M119" s="50"/>
      <c r="N119" s="39" t="s">
        <v>113</v>
      </c>
      <c r="O119" s="50"/>
      <c r="P119" s="50"/>
      <c r="Q119" s="50"/>
      <c r="R119" s="50"/>
      <c r="S119" s="50"/>
      <c r="T119" s="50"/>
      <c r="U119" s="50"/>
      <c r="V119" s="49"/>
      <c r="W119" s="50">
        <f t="shared" si="6"/>
        <v>1</v>
      </c>
      <c r="X119" s="50"/>
      <c r="Y119" s="50">
        <f t="shared" ref="Y119:Y172" si="7">SUM(W119:X119)</f>
        <v>1</v>
      </c>
    </row>
    <row r="120" spans="2:27" ht="18.95" customHeight="1" thickBot="1" x14ac:dyDescent="0.35">
      <c r="B120" s="49"/>
      <c r="C120" s="68" t="s">
        <v>114</v>
      </c>
      <c r="D120" s="50"/>
      <c r="E120" s="50"/>
      <c r="F120" s="50"/>
      <c r="G120" s="50"/>
      <c r="H120" s="50"/>
      <c r="I120" s="50"/>
      <c r="J120" s="50">
        <f>SUM(START:END!K68)</f>
        <v>1</v>
      </c>
      <c r="K120" s="50"/>
      <c r="L120" s="50"/>
      <c r="M120" s="50"/>
      <c r="N120" s="39" t="s">
        <v>114</v>
      </c>
      <c r="O120" s="50"/>
      <c r="P120" s="50"/>
      <c r="Q120" s="50"/>
      <c r="R120" s="50"/>
      <c r="S120" s="50"/>
      <c r="T120" s="50"/>
      <c r="U120" s="50"/>
      <c r="V120" s="49"/>
      <c r="W120" s="50">
        <f t="shared" si="6"/>
        <v>1</v>
      </c>
      <c r="X120" s="50"/>
      <c r="Y120" s="50">
        <f t="shared" si="7"/>
        <v>1</v>
      </c>
    </row>
    <row r="121" spans="2:27" ht="18.95" customHeight="1" thickBot="1" x14ac:dyDescent="0.35">
      <c r="B121" s="49"/>
      <c r="C121" s="68" t="s">
        <v>115</v>
      </c>
      <c r="D121" s="50"/>
      <c r="E121" s="50"/>
      <c r="F121" s="50"/>
      <c r="G121" s="50"/>
      <c r="H121" s="50"/>
      <c r="I121" s="50"/>
      <c r="J121" s="50">
        <f>SUM(START:END!K69)</f>
        <v>1</v>
      </c>
      <c r="K121" s="50"/>
      <c r="L121" s="50"/>
      <c r="M121" s="50"/>
      <c r="N121" s="39" t="s">
        <v>115</v>
      </c>
      <c r="O121" s="50"/>
      <c r="P121" s="50"/>
      <c r="Q121" s="50"/>
      <c r="R121" s="50"/>
      <c r="S121" s="50"/>
      <c r="T121" s="50"/>
      <c r="U121" s="50"/>
      <c r="V121" s="49"/>
      <c r="W121" s="50">
        <f t="shared" si="6"/>
        <v>1</v>
      </c>
      <c r="X121" s="50"/>
      <c r="Y121" s="50">
        <f t="shared" si="7"/>
        <v>1</v>
      </c>
    </row>
    <row r="122" spans="2:27" ht="18.95" customHeight="1" thickBot="1" x14ac:dyDescent="0.35">
      <c r="B122" s="49"/>
      <c r="C122" s="68" t="s">
        <v>116</v>
      </c>
      <c r="D122" s="50"/>
      <c r="E122" s="50"/>
      <c r="F122" s="50"/>
      <c r="G122" s="50"/>
      <c r="H122" s="50"/>
      <c r="I122" s="50"/>
      <c r="J122" s="50">
        <f>SUM(START:END!K70)</f>
        <v>1</v>
      </c>
      <c r="K122" s="50"/>
      <c r="L122" s="50"/>
      <c r="M122" s="50"/>
      <c r="N122" s="39" t="s">
        <v>116</v>
      </c>
      <c r="O122" s="50"/>
      <c r="P122" s="50"/>
      <c r="Q122" s="50"/>
      <c r="R122" s="50"/>
      <c r="S122" s="50"/>
      <c r="T122" s="50"/>
      <c r="U122" s="50"/>
      <c r="V122" s="49"/>
      <c r="W122" s="50">
        <f t="shared" si="6"/>
        <v>1</v>
      </c>
      <c r="X122" s="50"/>
      <c r="Y122" s="50">
        <f t="shared" si="7"/>
        <v>1</v>
      </c>
    </row>
    <row r="123" spans="2:27" ht="18.95" customHeight="1" thickBot="1" x14ac:dyDescent="0.35">
      <c r="B123" s="49"/>
      <c r="C123" s="68" t="s">
        <v>117</v>
      </c>
      <c r="D123" s="50"/>
      <c r="E123" s="50"/>
      <c r="F123" s="50"/>
      <c r="G123" s="50"/>
      <c r="H123" s="50"/>
      <c r="I123" s="50"/>
      <c r="J123" s="50">
        <f>SUM(START:END!K71)</f>
        <v>1</v>
      </c>
      <c r="K123" s="50"/>
      <c r="L123" s="50"/>
      <c r="M123" s="50"/>
      <c r="N123" s="39" t="s">
        <v>117</v>
      </c>
      <c r="O123" s="50"/>
      <c r="P123" s="50"/>
      <c r="Q123" s="50"/>
      <c r="R123" s="50"/>
      <c r="S123" s="50"/>
      <c r="T123" s="50"/>
      <c r="U123" s="50"/>
      <c r="V123" s="49"/>
      <c r="W123" s="50">
        <f t="shared" si="6"/>
        <v>1</v>
      </c>
      <c r="X123" s="50"/>
      <c r="Y123" s="50">
        <f t="shared" si="7"/>
        <v>1</v>
      </c>
    </row>
    <row r="124" spans="2:27" ht="18.95" customHeight="1" thickBot="1" x14ac:dyDescent="0.35">
      <c r="B124" s="49"/>
      <c r="C124" s="68" t="s">
        <v>118</v>
      </c>
      <c r="D124" s="50"/>
      <c r="E124" s="50"/>
      <c r="F124" s="50"/>
      <c r="G124" s="50"/>
      <c r="H124" s="50"/>
      <c r="I124" s="50"/>
      <c r="J124" s="50">
        <f>SUM(START:END!K72)</f>
        <v>1</v>
      </c>
      <c r="K124" s="50"/>
      <c r="L124" s="50"/>
      <c r="M124" s="50"/>
      <c r="N124" s="39" t="s">
        <v>118</v>
      </c>
      <c r="O124" s="50"/>
      <c r="P124" s="50"/>
      <c r="Q124" s="50"/>
      <c r="R124" s="50"/>
      <c r="S124" s="50"/>
      <c r="T124" s="50"/>
      <c r="U124" s="50"/>
      <c r="V124" s="49"/>
      <c r="W124" s="50">
        <f t="shared" si="6"/>
        <v>1</v>
      </c>
      <c r="X124" s="50"/>
      <c r="Y124" s="50">
        <f t="shared" si="7"/>
        <v>1</v>
      </c>
    </row>
    <row r="125" spans="2:27" ht="18.95" customHeight="1" thickBot="1" x14ac:dyDescent="0.35">
      <c r="B125" s="49"/>
      <c r="C125" s="68" t="s">
        <v>119</v>
      </c>
      <c r="D125" s="50"/>
      <c r="E125" s="50"/>
      <c r="F125" s="50"/>
      <c r="G125" s="50"/>
      <c r="H125" s="50"/>
      <c r="I125" s="50"/>
      <c r="J125" s="50">
        <f>SUM(START:END!K73)</f>
        <v>1</v>
      </c>
      <c r="K125" s="50"/>
      <c r="L125" s="50"/>
      <c r="M125" s="50"/>
      <c r="N125" s="39" t="s">
        <v>119</v>
      </c>
      <c r="O125" s="50"/>
      <c r="P125" s="50"/>
      <c r="Q125" s="50"/>
      <c r="R125" s="50"/>
      <c r="S125" s="50"/>
      <c r="T125" s="50"/>
      <c r="U125" s="50"/>
      <c r="V125" s="49"/>
      <c r="W125" s="50">
        <f t="shared" si="6"/>
        <v>1</v>
      </c>
      <c r="X125" s="50"/>
      <c r="Y125" s="50">
        <f t="shared" si="7"/>
        <v>1</v>
      </c>
    </row>
    <row r="126" spans="2:27" ht="18.95" customHeight="1" thickBot="1" x14ac:dyDescent="0.35">
      <c r="B126" s="49"/>
      <c r="C126" s="68" t="s">
        <v>109</v>
      </c>
      <c r="D126" s="50"/>
      <c r="E126" s="50"/>
      <c r="F126" s="50"/>
      <c r="G126" s="50"/>
      <c r="H126" s="50"/>
      <c r="I126" s="50"/>
      <c r="J126" s="50">
        <f>SUM(START:END!K74)</f>
        <v>2</v>
      </c>
      <c r="K126" s="50"/>
      <c r="L126" s="50"/>
      <c r="M126" s="50"/>
      <c r="N126" s="39" t="s">
        <v>109</v>
      </c>
      <c r="O126" s="50"/>
      <c r="P126" s="50"/>
      <c r="Q126" s="50"/>
      <c r="R126" s="50"/>
      <c r="S126" s="50"/>
      <c r="T126" s="50">
        <f>SUM(START:END!V74)</f>
        <v>1</v>
      </c>
      <c r="U126" s="50"/>
      <c r="V126" s="49"/>
      <c r="W126" s="50">
        <f t="shared" si="6"/>
        <v>3</v>
      </c>
      <c r="X126" s="50"/>
      <c r="Y126" s="50">
        <f t="shared" si="7"/>
        <v>3</v>
      </c>
    </row>
    <row r="127" spans="2:27" ht="18.95" customHeight="1" thickBot="1" x14ac:dyDescent="0.35">
      <c r="B127" s="49"/>
      <c r="C127" s="68" t="s">
        <v>120</v>
      </c>
      <c r="D127" s="50"/>
      <c r="E127" s="50"/>
      <c r="F127" s="50"/>
      <c r="G127" s="50"/>
      <c r="H127" s="50"/>
      <c r="I127" s="50"/>
      <c r="J127" s="50"/>
      <c r="K127" s="50">
        <f>SUM(START:END!L75)</f>
        <v>1</v>
      </c>
      <c r="L127" s="50"/>
      <c r="M127" s="50"/>
      <c r="N127" s="39" t="s">
        <v>120</v>
      </c>
      <c r="O127" s="50"/>
      <c r="P127" s="50"/>
      <c r="Q127" s="50"/>
      <c r="R127" s="50"/>
      <c r="S127" s="50"/>
      <c r="T127" s="50"/>
      <c r="U127" s="50"/>
      <c r="V127" s="49"/>
      <c r="W127" s="50">
        <f t="shared" si="6"/>
        <v>1</v>
      </c>
      <c r="X127" s="50"/>
      <c r="Y127" s="50">
        <f t="shared" si="7"/>
        <v>1</v>
      </c>
    </row>
    <row r="128" spans="2:27" ht="18.95" customHeight="1" thickBot="1" x14ac:dyDescent="0.35">
      <c r="B128" s="49"/>
      <c r="C128" s="68" t="s">
        <v>121</v>
      </c>
      <c r="D128" s="50"/>
      <c r="E128" s="50"/>
      <c r="F128" s="50"/>
      <c r="G128" s="50"/>
      <c r="H128" s="50"/>
      <c r="I128" s="50"/>
      <c r="J128" s="50"/>
      <c r="K128" s="50">
        <f>SUM(START:END!L76)</f>
        <v>1</v>
      </c>
      <c r="L128" s="50"/>
      <c r="M128" s="50"/>
      <c r="N128" s="39" t="s">
        <v>121</v>
      </c>
      <c r="O128" s="50"/>
      <c r="P128" s="50"/>
      <c r="Q128" s="50"/>
      <c r="R128" s="50"/>
      <c r="S128" s="50"/>
      <c r="T128" s="50"/>
      <c r="U128" s="50"/>
      <c r="V128" s="49"/>
      <c r="W128" s="50">
        <f t="shared" si="6"/>
        <v>1</v>
      </c>
      <c r="X128" s="50"/>
      <c r="Y128" s="50">
        <f t="shared" si="7"/>
        <v>1</v>
      </c>
    </row>
    <row r="129" spans="2:26" ht="18.95" customHeight="1" thickBot="1" x14ac:dyDescent="0.35">
      <c r="B129" s="49"/>
      <c r="C129" s="68" t="s">
        <v>122</v>
      </c>
      <c r="D129" s="50"/>
      <c r="E129" s="50"/>
      <c r="F129" s="50"/>
      <c r="G129" s="50"/>
      <c r="H129" s="50"/>
      <c r="I129" s="50"/>
      <c r="J129" s="50"/>
      <c r="K129" s="50">
        <f>SUM(START:END!L77)</f>
        <v>1</v>
      </c>
      <c r="L129" s="50"/>
      <c r="M129" s="50"/>
      <c r="N129" s="39" t="s">
        <v>122</v>
      </c>
      <c r="O129" s="50"/>
      <c r="P129" s="50"/>
      <c r="Q129" s="50"/>
      <c r="R129" s="50"/>
      <c r="S129" s="50"/>
      <c r="T129" s="50"/>
      <c r="U129" s="50"/>
      <c r="V129" s="49"/>
      <c r="W129" s="50">
        <f t="shared" si="6"/>
        <v>1</v>
      </c>
      <c r="X129" s="50"/>
      <c r="Y129" s="50">
        <f t="shared" si="7"/>
        <v>1</v>
      </c>
    </row>
    <row r="130" spans="2:26" ht="18.95" customHeight="1" thickBot="1" x14ac:dyDescent="0.35">
      <c r="B130" s="49"/>
      <c r="C130" s="68" t="s">
        <v>127</v>
      </c>
      <c r="D130" s="50"/>
      <c r="E130" s="50"/>
      <c r="F130" s="50"/>
      <c r="G130" s="50"/>
      <c r="H130" s="50"/>
      <c r="I130" s="50"/>
      <c r="J130" s="50"/>
      <c r="K130" s="50"/>
      <c r="L130" s="50"/>
      <c r="M130" s="50">
        <f>SUM(START:END!N78)</f>
        <v>1</v>
      </c>
      <c r="N130" s="39" t="s">
        <v>127</v>
      </c>
      <c r="O130" s="50"/>
      <c r="P130" s="50"/>
      <c r="Q130" s="50"/>
      <c r="R130" s="50"/>
      <c r="S130" s="50"/>
      <c r="T130" s="50"/>
      <c r="U130" s="50"/>
      <c r="V130" s="49"/>
      <c r="W130" s="50">
        <f t="shared" si="6"/>
        <v>1</v>
      </c>
      <c r="X130" s="50"/>
      <c r="Y130" s="50">
        <f t="shared" si="7"/>
        <v>1</v>
      </c>
    </row>
    <row r="131" spans="2:26" ht="18.95" customHeight="1" thickBot="1" x14ac:dyDescent="0.35">
      <c r="B131" s="49"/>
      <c r="C131" s="68" t="s">
        <v>128</v>
      </c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39" t="s">
        <v>128</v>
      </c>
      <c r="O131" s="50">
        <f>SUM(START:END!Q79)</f>
        <v>1</v>
      </c>
      <c r="P131" s="50"/>
      <c r="Q131" s="50"/>
      <c r="R131" s="50"/>
      <c r="S131" s="50"/>
      <c r="T131" s="50"/>
      <c r="U131" s="50"/>
      <c r="V131" s="49"/>
      <c r="W131" s="50">
        <f t="shared" si="6"/>
        <v>1</v>
      </c>
      <c r="X131" s="50"/>
      <c r="Y131" s="50">
        <f t="shared" si="7"/>
        <v>1</v>
      </c>
    </row>
    <row r="132" spans="2:26" ht="18.95" customHeight="1" thickBot="1" x14ac:dyDescent="0.35">
      <c r="B132" s="49"/>
      <c r="C132" s="68" t="s">
        <v>132</v>
      </c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39" t="s">
        <v>132</v>
      </c>
      <c r="O132" s="50"/>
      <c r="P132" s="50"/>
      <c r="Q132" s="50">
        <f>SUM(START:END!S80)</f>
        <v>1</v>
      </c>
      <c r="R132" s="50"/>
      <c r="S132" s="50"/>
      <c r="T132" s="50"/>
      <c r="U132" s="50"/>
      <c r="V132" s="49"/>
      <c r="W132" s="50">
        <f t="shared" si="6"/>
        <v>1</v>
      </c>
      <c r="X132" s="50"/>
      <c r="Y132" s="50">
        <f t="shared" si="7"/>
        <v>1</v>
      </c>
    </row>
    <row r="133" spans="2:26" ht="18.95" customHeight="1" thickBot="1" x14ac:dyDescent="0.35">
      <c r="B133" s="49"/>
      <c r="C133" s="68" t="s">
        <v>133</v>
      </c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39" t="s">
        <v>133</v>
      </c>
      <c r="O133" s="50"/>
      <c r="P133" s="50"/>
      <c r="Q133" s="50">
        <f>SUM(START:END!S81)</f>
        <v>1</v>
      </c>
      <c r="R133" s="50"/>
      <c r="S133" s="50"/>
      <c r="T133" s="50"/>
      <c r="U133" s="50"/>
      <c r="V133" s="49"/>
      <c r="W133" s="50">
        <f t="shared" si="6"/>
        <v>1</v>
      </c>
      <c r="X133" s="50"/>
      <c r="Y133" s="50">
        <f t="shared" si="7"/>
        <v>1</v>
      </c>
    </row>
    <row r="134" spans="2:26" ht="18.95" customHeight="1" thickBot="1" x14ac:dyDescent="0.35">
      <c r="B134" s="49"/>
      <c r="C134" s="68" t="s">
        <v>134</v>
      </c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39" t="s">
        <v>134</v>
      </c>
      <c r="O134" s="50"/>
      <c r="P134" s="50"/>
      <c r="Q134" s="50">
        <f>SUM(START:END!S82)</f>
        <v>1</v>
      </c>
      <c r="R134" s="50"/>
      <c r="S134" s="50"/>
      <c r="T134" s="50"/>
      <c r="U134" s="50"/>
      <c r="V134" s="49"/>
      <c r="W134" s="50">
        <f t="shared" si="6"/>
        <v>1</v>
      </c>
      <c r="X134" s="50"/>
      <c r="Y134" s="50">
        <f t="shared" si="7"/>
        <v>1</v>
      </c>
    </row>
    <row r="135" spans="2:26" ht="18.95" customHeight="1" thickBot="1" x14ac:dyDescent="0.35">
      <c r="B135" s="49"/>
      <c r="C135" s="68" t="s">
        <v>138</v>
      </c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39" t="s">
        <v>138</v>
      </c>
      <c r="O135" s="50"/>
      <c r="P135" s="50"/>
      <c r="Q135" s="50"/>
      <c r="R135" s="50"/>
      <c r="S135" s="50">
        <f>SUM(START:END!U83)</f>
        <v>1</v>
      </c>
      <c r="T135" s="50"/>
      <c r="U135" s="50"/>
      <c r="V135" s="49"/>
      <c r="W135" s="50">
        <f t="shared" si="6"/>
        <v>1</v>
      </c>
      <c r="X135" s="50"/>
      <c r="Y135" s="50">
        <f t="shared" si="7"/>
        <v>1</v>
      </c>
    </row>
    <row r="136" spans="2:26" ht="18.95" customHeight="1" thickBot="1" x14ac:dyDescent="0.35">
      <c r="B136" s="49"/>
      <c r="C136" s="68" t="s">
        <v>141</v>
      </c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39" t="s">
        <v>141</v>
      </c>
      <c r="O136" s="50"/>
      <c r="P136" s="50"/>
      <c r="Q136" s="50"/>
      <c r="R136" s="50"/>
      <c r="S136" s="50"/>
      <c r="T136" s="50"/>
      <c r="U136" s="50"/>
      <c r="V136" s="49">
        <f>SUM(START:END!X84)</f>
        <v>1</v>
      </c>
      <c r="W136" s="50">
        <f t="shared" si="6"/>
        <v>1</v>
      </c>
      <c r="X136" s="50"/>
      <c r="Y136" s="50">
        <f t="shared" si="7"/>
        <v>1</v>
      </c>
    </row>
    <row r="137" spans="2:26" ht="18.95" customHeight="1" thickBot="1" x14ac:dyDescent="0.35">
      <c r="B137" s="49"/>
      <c r="C137" s="68" t="s">
        <v>142</v>
      </c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39" t="s">
        <v>142</v>
      </c>
      <c r="O137" s="50"/>
      <c r="P137" s="50"/>
      <c r="Q137" s="50"/>
      <c r="R137" s="50"/>
      <c r="S137" s="50"/>
      <c r="T137" s="50"/>
      <c r="U137" s="50"/>
      <c r="V137" s="49">
        <f>SUM(START:END!X85)</f>
        <v>1</v>
      </c>
      <c r="W137" s="50">
        <f t="shared" si="6"/>
        <v>1</v>
      </c>
      <c r="X137" s="50"/>
      <c r="Y137" s="50">
        <f t="shared" si="7"/>
        <v>1</v>
      </c>
    </row>
    <row r="138" spans="2:26" ht="18.95" customHeight="1" thickBot="1" x14ac:dyDescent="0.35">
      <c r="B138" s="49"/>
      <c r="C138" s="68" t="s">
        <v>143</v>
      </c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39" t="s">
        <v>143</v>
      </c>
      <c r="O138" s="50"/>
      <c r="P138" s="50"/>
      <c r="Q138" s="50"/>
      <c r="R138" s="50"/>
      <c r="S138" s="50"/>
      <c r="T138" s="50"/>
      <c r="U138" s="50"/>
      <c r="V138" s="49">
        <f>SUM(START:END!X86)</f>
        <v>1</v>
      </c>
      <c r="W138" s="50">
        <f t="shared" si="6"/>
        <v>1</v>
      </c>
      <c r="X138" s="50"/>
      <c r="Y138" s="50">
        <f t="shared" si="7"/>
        <v>1</v>
      </c>
    </row>
    <row r="139" spans="2:26" ht="18.95" customHeight="1" thickBot="1" x14ac:dyDescent="0.35">
      <c r="B139" s="49"/>
      <c r="C139" s="68" t="s">
        <v>144</v>
      </c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39" t="s">
        <v>144</v>
      </c>
      <c r="O139" s="50"/>
      <c r="P139" s="50"/>
      <c r="Q139" s="50"/>
      <c r="R139" s="50"/>
      <c r="S139" s="50"/>
      <c r="T139" s="50"/>
      <c r="U139" s="50"/>
      <c r="V139" s="49">
        <f>SUM(START:END!X87)</f>
        <v>1</v>
      </c>
      <c r="W139" s="50">
        <f t="shared" si="6"/>
        <v>1</v>
      </c>
      <c r="X139" s="50"/>
      <c r="Y139" s="50">
        <f t="shared" si="7"/>
        <v>1</v>
      </c>
    </row>
    <row r="140" spans="2:26" ht="18.95" customHeight="1" thickBot="1" x14ac:dyDescent="0.35">
      <c r="B140" s="49"/>
      <c r="C140" s="68" t="s">
        <v>145</v>
      </c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39" t="s">
        <v>145</v>
      </c>
      <c r="O140" s="50"/>
      <c r="P140" s="50"/>
      <c r="Q140" s="50"/>
      <c r="R140" s="50"/>
      <c r="S140" s="50"/>
      <c r="T140" s="50"/>
      <c r="U140" s="50"/>
      <c r="V140" s="49">
        <f>SUM(START:END!X88)</f>
        <v>1</v>
      </c>
      <c r="W140" s="50">
        <f t="shared" si="6"/>
        <v>1</v>
      </c>
      <c r="X140" s="50"/>
      <c r="Y140" s="50">
        <f t="shared" si="7"/>
        <v>1</v>
      </c>
    </row>
    <row r="141" spans="2:26" ht="18.95" customHeight="1" thickBot="1" x14ac:dyDescent="0.35">
      <c r="B141" s="49"/>
      <c r="C141" s="68" t="s">
        <v>146</v>
      </c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39" t="s">
        <v>146</v>
      </c>
      <c r="O141" s="50"/>
      <c r="P141" s="50"/>
      <c r="Q141" s="50"/>
      <c r="R141" s="50"/>
      <c r="S141" s="50"/>
      <c r="T141" s="50"/>
      <c r="U141" s="50"/>
      <c r="V141" s="49">
        <f>SUM(START:END!X89)</f>
        <v>1</v>
      </c>
      <c r="W141" s="50">
        <f t="shared" si="6"/>
        <v>1</v>
      </c>
      <c r="X141" s="50"/>
      <c r="Y141" s="50">
        <f t="shared" si="7"/>
        <v>1</v>
      </c>
    </row>
    <row r="142" spans="2:26" ht="18.95" customHeight="1" thickBot="1" x14ac:dyDescent="0.35">
      <c r="B142" s="49"/>
      <c r="C142" s="68" t="s">
        <v>147</v>
      </c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39" t="s">
        <v>147</v>
      </c>
      <c r="O142" s="50"/>
      <c r="P142" s="50"/>
      <c r="Q142" s="50"/>
      <c r="R142" s="50"/>
      <c r="S142" s="50"/>
      <c r="T142" s="50"/>
      <c r="U142" s="50"/>
      <c r="V142" s="49">
        <f>SUM(START:END!X90)</f>
        <v>1</v>
      </c>
      <c r="W142" s="50">
        <f t="shared" si="6"/>
        <v>1</v>
      </c>
      <c r="X142" s="50"/>
      <c r="Y142" s="50">
        <f t="shared" si="7"/>
        <v>1</v>
      </c>
    </row>
    <row r="143" spans="2:26" ht="18.95" customHeight="1" thickBot="1" x14ac:dyDescent="0.35">
      <c r="B143" s="49"/>
      <c r="C143" s="68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39"/>
      <c r="O143" s="50"/>
      <c r="P143" s="50"/>
      <c r="Q143" s="50"/>
      <c r="R143" s="50"/>
      <c r="S143" s="50"/>
      <c r="T143" s="50"/>
      <c r="U143" s="50"/>
      <c r="V143" s="49"/>
      <c r="W143" s="50"/>
      <c r="X143" s="50"/>
      <c r="Y143" s="50">
        <f t="shared" si="7"/>
        <v>0</v>
      </c>
    </row>
    <row r="144" spans="2:26" ht="27" x14ac:dyDescent="0.3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N144"/>
      <c r="O144" s="13" t="s">
        <v>15</v>
      </c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2:27" ht="27" x14ac:dyDescent="0.3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N145"/>
      <c r="O145" s="13" t="s">
        <v>16</v>
      </c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2:27" ht="27" x14ac:dyDescent="0.3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N146"/>
      <c r="O146" s="13"/>
      <c r="P146" s="13" t="s">
        <v>169</v>
      </c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2:27" ht="27" x14ac:dyDescent="0.3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N147"/>
      <c r="O147" s="13" t="s">
        <v>164</v>
      </c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2:27" ht="27" x14ac:dyDescent="0.3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N148"/>
      <c r="O148" s="13" t="s">
        <v>17</v>
      </c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2:27" ht="27" x14ac:dyDescent="0.3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N149"/>
      <c r="O149" s="13" t="s">
        <v>167</v>
      </c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2:27" ht="27" x14ac:dyDescent="0.3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N150"/>
      <c r="O150" s="13" t="s">
        <v>168</v>
      </c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2:27" ht="27.75" x14ac:dyDescent="0.4"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N151"/>
      <c r="O151" s="13" t="s">
        <v>18</v>
      </c>
      <c r="P151" s="13"/>
      <c r="Q151" s="13"/>
      <c r="R151" s="13"/>
      <c r="S151" s="14" t="s">
        <v>19</v>
      </c>
      <c r="T151" s="13"/>
      <c r="U151" s="13"/>
      <c r="V151" s="13"/>
      <c r="W151" s="13"/>
      <c r="X151" s="13"/>
      <c r="Y151" s="13"/>
      <c r="Z151" s="13"/>
    </row>
    <row r="152" spans="2:27" ht="27.75" x14ac:dyDescent="0.4"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N152"/>
      <c r="O152" s="6" t="s">
        <v>20</v>
      </c>
      <c r="P152" s="20"/>
      <c r="Q152" s="6"/>
      <c r="R152" s="6"/>
      <c r="S152" s="14" t="s">
        <v>19</v>
      </c>
      <c r="T152" s="14"/>
      <c r="U152" s="14"/>
      <c r="V152" s="14"/>
      <c r="W152" s="14"/>
      <c r="X152" s="14"/>
      <c r="Y152" s="14"/>
      <c r="Z152" s="14"/>
    </row>
    <row r="153" spans="2:27" ht="27.75" x14ac:dyDescent="0.4"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N153"/>
      <c r="O153" s="15" t="s">
        <v>37</v>
      </c>
      <c r="P153" s="20"/>
      <c r="Q153" s="6"/>
      <c r="R153" s="6"/>
      <c r="S153" s="14" t="s">
        <v>19</v>
      </c>
      <c r="T153" s="14"/>
      <c r="U153" s="14"/>
      <c r="V153" s="14"/>
      <c r="W153" s="14"/>
      <c r="X153" s="14"/>
      <c r="Y153" s="14"/>
      <c r="Z153" s="14"/>
    </row>
    <row r="154" spans="2:27" ht="27.75" x14ac:dyDescent="0.4"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N154"/>
      <c r="O154" s="14"/>
      <c r="P154" s="20"/>
      <c r="Q154" s="6"/>
      <c r="R154" s="6"/>
      <c r="S154" s="6"/>
      <c r="T154" s="15" t="s">
        <v>21</v>
      </c>
      <c r="U154" s="14"/>
      <c r="V154" s="14"/>
      <c r="W154" s="14"/>
      <c r="X154" s="14"/>
      <c r="Y154" s="14"/>
      <c r="Z154" s="14"/>
      <c r="AA154" s="14"/>
    </row>
    <row r="155" spans="2:27" ht="27" x14ac:dyDescent="0.35">
      <c r="B155" s="1" t="s">
        <v>22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N155" s="1" t="s">
        <v>163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2:27" ht="27" x14ac:dyDescent="0.35">
      <c r="B156" s="1" t="s">
        <v>43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N156" s="1" t="s">
        <v>43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2:27" ht="47.25" x14ac:dyDescent="0.25">
      <c r="B157" s="91" t="s">
        <v>36</v>
      </c>
      <c r="C157" s="24">
        <v>1317</v>
      </c>
      <c r="D157" s="4"/>
      <c r="E157" s="4"/>
      <c r="F157" s="4"/>
      <c r="G157" s="4"/>
      <c r="H157" s="4"/>
      <c r="I157" s="4"/>
      <c r="J157" s="4"/>
      <c r="K157" s="4"/>
      <c r="L157" s="4"/>
      <c r="M157" s="3"/>
      <c r="N157" s="24"/>
      <c r="O157" s="4"/>
      <c r="P157" s="19"/>
      <c r="Q157" s="4"/>
      <c r="R157" s="4"/>
      <c r="S157" s="4"/>
      <c r="T157" s="4"/>
      <c r="U157" s="4"/>
      <c r="V157" s="4"/>
      <c r="W157" s="4"/>
      <c r="X157" s="4"/>
      <c r="Y157" s="5"/>
      <c r="Z157" s="5"/>
      <c r="AA157" s="5"/>
    </row>
    <row r="158" spans="2:27" ht="15.75" x14ac:dyDescent="0.25">
      <c r="B158" s="4" t="s">
        <v>35</v>
      </c>
      <c r="C158" s="4">
        <v>1808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9"/>
      <c r="R158" s="4"/>
      <c r="S158" s="4"/>
      <c r="T158" s="4"/>
      <c r="U158" s="4"/>
      <c r="V158" s="4"/>
      <c r="W158" s="4"/>
      <c r="X158" s="4"/>
      <c r="Y158" s="5"/>
      <c r="Z158" s="5"/>
      <c r="AA158" s="5"/>
    </row>
    <row r="159" spans="2:27" ht="16.5" thickBot="1" x14ac:dyDescent="0.3">
      <c r="B159" s="4" t="s">
        <v>34</v>
      </c>
      <c r="C159" s="23">
        <v>0.73</v>
      </c>
      <c r="D159" s="4"/>
      <c r="E159" s="4"/>
      <c r="M159" s="4"/>
      <c r="N159" s="23"/>
      <c r="Y159" s="5"/>
      <c r="Z159" s="5"/>
      <c r="AA159" s="5"/>
    </row>
    <row r="160" spans="2:27" s="88" customFormat="1" ht="145.5" thickBot="1" x14ac:dyDescent="0.35">
      <c r="B160" s="93" t="s">
        <v>0</v>
      </c>
      <c r="C160" s="93" t="s">
        <v>1</v>
      </c>
      <c r="D160" s="94" t="s">
        <v>3</v>
      </c>
      <c r="E160" s="94" t="s">
        <v>4</v>
      </c>
      <c r="F160" s="94" t="s">
        <v>5</v>
      </c>
      <c r="G160" s="94" t="s">
        <v>6</v>
      </c>
      <c r="H160" s="94" t="s">
        <v>7</v>
      </c>
      <c r="I160" s="94" t="s">
        <v>23</v>
      </c>
      <c r="J160" s="94" t="s">
        <v>24</v>
      </c>
      <c r="K160" s="94" t="s">
        <v>25</v>
      </c>
      <c r="L160" s="95" t="s">
        <v>26</v>
      </c>
      <c r="M160" s="94" t="s">
        <v>27</v>
      </c>
      <c r="N160" s="96" t="s">
        <v>1</v>
      </c>
      <c r="O160" s="94" t="s">
        <v>28</v>
      </c>
      <c r="P160" s="94" t="s">
        <v>8</v>
      </c>
      <c r="Q160" s="94" t="s">
        <v>9</v>
      </c>
      <c r="R160" s="94" t="s">
        <v>10</v>
      </c>
      <c r="S160" s="94" t="s">
        <v>29</v>
      </c>
      <c r="T160" s="94" t="s">
        <v>11</v>
      </c>
      <c r="U160" s="94" t="s">
        <v>12</v>
      </c>
      <c r="V160" s="94" t="s">
        <v>13</v>
      </c>
      <c r="W160" s="94" t="s">
        <v>14</v>
      </c>
      <c r="X160" s="94" t="s">
        <v>166</v>
      </c>
      <c r="Y160" s="94" t="s">
        <v>14</v>
      </c>
    </row>
    <row r="161" spans="2:25" ht="18.95" customHeight="1" thickBot="1" x14ac:dyDescent="0.35">
      <c r="B161" s="55" t="s">
        <v>40</v>
      </c>
      <c r="C161" s="81"/>
      <c r="D161" s="57"/>
      <c r="E161" s="57"/>
      <c r="F161" s="56"/>
      <c r="G161" s="56"/>
      <c r="H161" s="56"/>
      <c r="I161" s="56"/>
      <c r="J161" s="56"/>
      <c r="K161" s="56"/>
      <c r="L161" s="56"/>
      <c r="M161" s="58"/>
      <c r="N161" s="72" t="s">
        <v>40</v>
      </c>
      <c r="O161" s="56"/>
      <c r="P161" s="56"/>
      <c r="Q161" s="57"/>
      <c r="R161" s="56"/>
      <c r="S161" s="56"/>
      <c r="T161" s="56"/>
      <c r="U161" s="56"/>
      <c r="V161" s="56"/>
      <c r="W161" s="48"/>
      <c r="X161" s="48"/>
      <c r="Y161" s="48"/>
    </row>
    <row r="162" spans="2:25" ht="18.95" customHeight="1" thickBot="1" x14ac:dyDescent="0.35">
      <c r="B162" s="49"/>
      <c r="C162" s="68" t="s">
        <v>61</v>
      </c>
      <c r="D162" s="50"/>
      <c r="E162" s="50"/>
      <c r="F162" s="50"/>
      <c r="G162" s="50"/>
      <c r="H162" s="50"/>
      <c r="I162" s="50"/>
      <c r="J162" s="50">
        <f>SUM(START:END!K93)</f>
        <v>1</v>
      </c>
      <c r="K162" s="50"/>
      <c r="L162" s="50"/>
      <c r="M162" s="50"/>
      <c r="N162" s="39" t="s">
        <v>61</v>
      </c>
      <c r="O162" s="50"/>
      <c r="P162" s="50"/>
      <c r="Q162" s="50"/>
      <c r="R162" s="50"/>
      <c r="S162" s="50"/>
      <c r="T162" s="50"/>
      <c r="U162" s="50"/>
      <c r="V162" s="49"/>
      <c r="W162" s="50">
        <f>SUM(D162:V162)</f>
        <v>1</v>
      </c>
      <c r="X162" s="50"/>
      <c r="Y162" s="50">
        <f t="shared" si="7"/>
        <v>1</v>
      </c>
    </row>
    <row r="163" spans="2:25" ht="18.95" customHeight="1" thickBot="1" x14ac:dyDescent="0.35">
      <c r="B163" s="49"/>
      <c r="C163" s="68" t="s">
        <v>75</v>
      </c>
      <c r="D163" s="50"/>
      <c r="E163" s="50"/>
      <c r="F163" s="50"/>
      <c r="G163" s="50"/>
      <c r="H163" s="50"/>
      <c r="I163" s="50"/>
      <c r="J163" s="50">
        <f>SUM(START:END!K94)</f>
        <v>1</v>
      </c>
      <c r="K163" s="50"/>
      <c r="L163" s="50"/>
      <c r="M163" s="50"/>
      <c r="N163" s="39" t="s">
        <v>75</v>
      </c>
      <c r="O163" s="50"/>
      <c r="P163" s="50"/>
      <c r="Q163" s="50"/>
      <c r="R163" s="50"/>
      <c r="S163" s="50"/>
      <c r="T163" s="50"/>
      <c r="U163" s="50"/>
      <c r="V163" s="49"/>
      <c r="W163" s="50">
        <f>SUM(D163:V163)</f>
        <v>1</v>
      </c>
      <c r="X163" s="50"/>
      <c r="Y163" s="50">
        <f t="shared" si="7"/>
        <v>1</v>
      </c>
    </row>
    <row r="164" spans="2:25" ht="18.95" customHeight="1" thickBot="1" x14ac:dyDescent="0.35">
      <c r="B164" s="49"/>
      <c r="C164" s="68" t="s">
        <v>76</v>
      </c>
      <c r="D164" s="50"/>
      <c r="E164" s="50"/>
      <c r="F164" s="50"/>
      <c r="G164" s="50"/>
      <c r="H164" s="50"/>
      <c r="I164" s="50">
        <f>SUM(START:END!J95)</f>
        <v>1</v>
      </c>
      <c r="J164" s="50">
        <f>SUM(START:END!K95)</f>
        <v>1</v>
      </c>
      <c r="K164" s="50"/>
      <c r="L164" s="50"/>
      <c r="M164" s="50"/>
      <c r="N164" s="39" t="s">
        <v>76</v>
      </c>
      <c r="O164" s="50"/>
      <c r="P164" s="50"/>
      <c r="Q164" s="50"/>
      <c r="R164" s="50"/>
      <c r="S164" s="50"/>
      <c r="T164" s="50"/>
      <c r="U164" s="50"/>
      <c r="V164" s="49"/>
      <c r="W164" s="50">
        <f t="shared" ref="W164:W172" si="8">SUM(D164:V164)</f>
        <v>2</v>
      </c>
      <c r="X164" s="50"/>
      <c r="Y164" s="50">
        <f t="shared" si="7"/>
        <v>2</v>
      </c>
    </row>
    <row r="165" spans="2:25" ht="18.95" customHeight="1" thickBot="1" x14ac:dyDescent="0.35">
      <c r="B165" s="49"/>
      <c r="C165" s="68" t="s">
        <v>83</v>
      </c>
      <c r="D165" s="50"/>
      <c r="E165" s="50"/>
      <c r="F165" s="50"/>
      <c r="G165" s="50"/>
      <c r="H165" s="50"/>
      <c r="I165" s="50"/>
      <c r="J165" s="50"/>
      <c r="K165" s="50">
        <f>SUM(START:END!L96)</f>
        <v>1</v>
      </c>
      <c r="L165" s="50"/>
      <c r="M165" s="50"/>
      <c r="N165" s="39" t="s">
        <v>83</v>
      </c>
      <c r="O165" s="50"/>
      <c r="P165" s="50"/>
      <c r="Q165" s="50"/>
      <c r="R165" s="50"/>
      <c r="S165" s="50"/>
      <c r="T165" s="50"/>
      <c r="U165" s="50"/>
      <c r="V165" s="49"/>
      <c r="W165" s="50">
        <f t="shared" si="8"/>
        <v>1</v>
      </c>
      <c r="X165" s="50"/>
      <c r="Y165" s="50">
        <f t="shared" si="7"/>
        <v>1</v>
      </c>
    </row>
    <row r="166" spans="2:25" ht="18.95" customHeight="1" thickBot="1" x14ac:dyDescent="0.35">
      <c r="B166" s="49"/>
      <c r="C166" s="68" t="s">
        <v>108</v>
      </c>
      <c r="D166" s="50"/>
      <c r="E166" s="50"/>
      <c r="F166" s="50"/>
      <c r="G166" s="50"/>
      <c r="H166" s="50"/>
      <c r="I166" s="50">
        <f>SUM(START:END!J97)</f>
        <v>1</v>
      </c>
      <c r="J166" s="50">
        <f>SUM(START:END!K97)</f>
        <v>1</v>
      </c>
      <c r="K166" s="50"/>
      <c r="L166" s="50"/>
      <c r="M166" s="50"/>
      <c r="N166" s="39" t="s">
        <v>108</v>
      </c>
      <c r="O166" s="50"/>
      <c r="P166" s="50"/>
      <c r="Q166" s="50"/>
      <c r="R166" s="50"/>
      <c r="S166" s="50"/>
      <c r="T166" s="50"/>
      <c r="U166" s="50"/>
      <c r="V166" s="49"/>
      <c r="W166" s="50">
        <f t="shared" si="8"/>
        <v>2</v>
      </c>
      <c r="X166" s="50"/>
      <c r="Y166" s="50">
        <f t="shared" si="7"/>
        <v>2</v>
      </c>
    </row>
    <row r="167" spans="2:25" ht="18.95" customHeight="1" thickBot="1" x14ac:dyDescent="0.35">
      <c r="B167" s="49"/>
      <c r="C167" s="68" t="s">
        <v>109</v>
      </c>
      <c r="D167" s="50"/>
      <c r="E167" s="50"/>
      <c r="F167" s="50"/>
      <c r="G167" s="50"/>
      <c r="H167" s="50"/>
      <c r="I167" s="50"/>
      <c r="J167" s="50">
        <f>SUM(START:END!K98)</f>
        <v>1</v>
      </c>
      <c r="K167" s="50"/>
      <c r="L167" s="50"/>
      <c r="M167" s="50"/>
      <c r="N167" s="39" t="s">
        <v>109</v>
      </c>
      <c r="O167" s="50"/>
      <c r="P167" s="50"/>
      <c r="Q167" s="50"/>
      <c r="R167" s="50"/>
      <c r="S167" s="50"/>
      <c r="T167" s="50"/>
      <c r="U167" s="50"/>
      <c r="V167" s="49"/>
      <c r="W167" s="50">
        <f t="shared" si="8"/>
        <v>1</v>
      </c>
      <c r="X167" s="50"/>
      <c r="Y167" s="50">
        <f t="shared" si="7"/>
        <v>1</v>
      </c>
    </row>
    <row r="168" spans="2:25" ht="18.95" customHeight="1" thickBot="1" x14ac:dyDescent="0.35">
      <c r="B168" s="49"/>
      <c r="C168" s="68" t="s">
        <v>123</v>
      </c>
      <c r="D168" s="50"/>
      <c r="E168" s="50"/>
      <c r="F168" s="50"/>
      <c r="G168" s="50"/>
      <c r="H168" s="50"/>
      <c r="I168" s="50"/>
      <c r="J168" s="50"/>
      <c r="K168" s="50">
        <f>SUM(START:END!L99)</f>
        <v>1</v>
      </c>
      <c r="L168" s="50"/>
      <c r="M168" s="50"/>
      <c r="N168" s="39" t="s">
        <v>123</v>
      </c>
      <c r="O168" s="50"/>
      <c r="P168" s="50"/>
      <c r="Q168" s="50"/>
      <c r="R168" s="50"/>
      <c r="S168" s="50"/>
      <c r="T168" s="50"/>
      <c r="U168" s="50"/>
      <c r="V168" s="49"/>
      <c r="W168" s="50">
        <f t="shared" si="8"/>
        <v>1</v>
      </c>
      <c r="X168" s="50"/>
      <c r="Y168" s="50">
        <f t="shared" si="7"/>
        <v>1</v>
      </c>
    </row>
    <row r="169" spans="2:25" ht="18.95" customHeight="1" thickBot="1" x14ac:dyDescent="0.35">
      <c r="B169" s="49"/>
      <c r="C169" s="68" t="s">
        <v>124</v>
      </c>
      <c r="D169" s="50"/>
      <c r="E169" s="50"/>
      <c r="F169" s="50"/>
      <c r="G169" s="50"/>
      <c r="H169" s="50"/>
      <c r="I169" s="50"/>
      <c r="J169" s="50"/>
      <c r="K169" s="50">
        <f>SUM(START:END!L100)</f>
        <v>1</v>
      </c>
      <c r="L169" s="50"/>
      <c r="M169" s="50"/>
      <c r="N169" s="39" t="s">
        <v>124</v>
      </c>
      <c r="O169" s="50"/>
      <c r="P169" s="50"/>
      <c r="Q169" s="50"/>
      <c r="R169" s="50"/>
      <c r="S169" s="50"/>
      <c r="T169" s="50"/>
      <c r="U169" s="50"/>
      <c r="V169" s="49"/>
      <c r="W169" s="50">
        <f t="shared" si="8"/>
        <v>1</v>
      </c>
      <c r="X169" s="50"/>
      <c r="Y169" s="50">
        <f t="shared" si="7"/>
        <v>1</v>
      </c>
    </row>
    <row r="170" spans="2:25" ht="18.95" customHeight="1" thickBot="1" x14ac:dyDescent="0.35">
      <c r="B170" s="49"/>
      <c r="C170" s="68" t="s">
        <v>125</v>
      </c>
      <c r="D170" s="50"/>
      <c r="E170" s="50"/>
      <c r="F170" s="50"/>
      <c r="G170" s="50"/>
      <c r="H170" s="50"/>
      <c r="I170" s="50"/>
      <c r="J170" s="50"/>
      <c r="K170" s="50">
        <f>SUM(START:END!L101)</f>
        <v>1</v>
      </c>
      <c r="L170" s="50"/>
      <c r="M170" s="50"/>
      <c r="N170" s="39" t="s">
        <v>125</v>
      </c>
      <c r="O170" s="50"/>
      <c r="P170" s="50"/>
      <c r="Q170" s="50"/>
      <c r="R170" s="50"/>
      <c r="S170" s="50"/>
      <c r="T170" s="50"/>
      <c r="U170" s="50"/>
      <c r="V170" s="49"/>
      <c r="W170" s="50">
        <f t="shared" si="8"/>
        <v>1</v>
      </c>
      <c r="X170" s="50"/>
      <c r="Y170" s="50">
        <f t="shared" si="7"/>
        <v>1</v>
      </c>
    </row>
    <row r="171" spans="2:25" ht="18.95" customHeight="1" thickBot="1" x14ac:dyDescent="0.35">
      <c r="B171" s="49"/>
      <c r="C171" s="68" t="s">
        <v>126</v>
      </c>
      <c r="D171" s="50"/>
      <c r="E171" s="50"/>
      <c r="F171" s="50"/>
      <c r="G171" s="50"/>
      <c r="H171" s="50"/>
      <c r="I171" s="50"/>
      <c r="J171" s="50"/>
      <c r="K171" s="50">
        <f>SUM(START:END!L102)</f>
        <v>1</v>
      </c>
      <c r="L171" s="50"/>
      <c r="M171" s="50"/>
      <c r="N171" s="39" t="s">
        <v>126</v>
      </c>
      <c r="O171" s="50"/>
      <c r="P171" s="50"/>
      <c r="Q171" s="50"/>
      <c r="R171" s="50"/>
      <c r="S171" s="50"/>
      <c r="T171" s="50"/>
      <c r="U171" s="50"/>
      <c r="V171" s="49"/>
      <c r="W171" s="50">
        <f t="shared" si="8"/>
        <v>1</v>
      </c>
      <c r="X171" s="50"/>
      <c r="Y171" s="50">
        <f t="shared" si="7"/>
        <v>1</v>
      </c>
    </row>
    <row r="172" spans="2:25" ht="18.95" customHeight="1" thickBot="1" x14ac:dyDescent="0.35">
      <c r="B172" s="49"/>
      <c r="C172" s="68" t="s">
        <v>98</v>
      </c>
      <c r="D172" s="50"/>
      <c r="E172" s="50"/>
      <c r="F172" s="50"/>
      <c r="G172" s="50"/>
      <c r="H172" s="50"/>
      <c r="I172" s="50"/>
      <c r="J172" s="50">
        <f>SUM(START:END!K103)</f>
        <v>1</v>
      </c>
      <c r="K172" s="50"/>
      <c r="L172" s="50"/>
      <c r="M172" s="50"/>
      <c r="N172" s="68" t="s">
        <v>98</v>
      </c>
      <c r="O172" s="50"/>
      <c r="P172" s="50"/>
      <c r="Q172" s="50"/>
      <c r="R172" s="50"/>
      <c r="S172" s="50"/>
      <c r="T172" s="50"/>
      <c r="U172" s="50"/>
      <c r="V172" s="49"/>
      <c r="W172" s="50">
        <f t="shared" si="8"/>
        <v>1</v>
      </c>
      <c r="X172" s="50"/>
      <c r="Y172" s="50">
        <f t="shared" si="7"/>
        <v>1</v>
      </c>
    </row>
    <row r="173" spans="2:25" ht="19.5" customHeight="1" x14ac:dyDescent="0.35">
      <c r="B173" s="1"/>
      <c r="C173" s="1"/>
      <c r="D173" s="1"/>
      <c r="E173" s="1"/>
      <c r="F173" s="1"/>
      <c r="G173" s="1"/>
      <c r="H173" s="1"/>
      <c r="I173" s="1"/>
      <c r="J173" s="1"/>
      <c r="K173" s="1"/>
      <c r="N173" s="13" t="s">
        <v>15</v>
      </c>
      <c r="O173" s="13"/>
      <c r="P173" s="13"/>
      <c r="Q173" s="13"/>
      <c r="R173" s="13"/>
      <c r="S173" s="13"/>
      <c r="T173" s="13"/>
      <c r="U173" s="13"/>
      <c r="V173" s="13"/>
      <c r="W173" s="13"/>
      <c r="X173" s="13"/>
    </row>
    <row r="174" spans="2:25" ht="19.5" customHeight="1" x14ac:dyDescent="0.35">
      <c r="B174" s="1"/>
      <c r="C174" s="1"/>
      <c r="D174" s="1"/>
      <c r="E174" s="1"/>
      <c r="F174" s="1"/>
      <c r="G174" s="1"/>
      <c r="H174" s="1"/>
      <c r="I174" s="1"/>
      <c r="J174" s="1"/>
      <c r="K174" s="1"/>
      <c r="N174" s="13" t="s">
        <v>16</v>
      </c>
      <c r="O174" s="13"/>
      <c r="P174" s="13"/>
      <c r="Q174" s="13"/>
      <c r="R174" s="13"/>
      <c r="S174" s="13"/>
      <c r="T174" s="13"/>
      <c r="U174" s="13"/>
      <c r="V174" s="13"/>
      <c r="W174" s="13"/>
      <c r="X174" s="13"/>
    </row>
    <row r="175" spans="2:25" ht="14.25" customHeight="1" x14ac:dyDescent="0.35">
      <c r="B175" s="1"/>
      <c r="C175" s="1"/>
      <c r="D175" s="1"/>
      <c r="E175" s="1"/>
      <c r="F175" s="1"/>
      <c r="G175" s="1"/>
      <c r="H175" s="1"/>
      <c r="I175" s="1"/>
      <c r="J175" s="1"/>
      <c r="K175" s="1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</row>
    <row r="176" spans="2:25" ht="18" customHeight="1" x14ac:dyDescent="0.35">
      <c r="B176" s="1"/>
      <c r="C176" s="1"/>
      <c r="D176" s="1"/>
      <c r="E176" s="1"/>
      <c r="F176" s="1"/>
      <c r="G176" s="1"/>
      <c r="H176" s="1"/>
      <c r="I176" s="1"/>
      <c r="J176" s="1"/>
      <c r="K176" s="1"/>
      <c r="N176" s="13" t="s">
        <v>164</v>
      </c>
      <c r="O176" s="13"/>
      <c r="P176" s="13"/>
      <c r="Q176" s="13"/>
      <c r="R176" s="13"/>
      <c r="S176" s="13"/>
      <c r="T176" s="13"/>
      <c r="U176" s="13"/>
      <c r="V176" s="13"/>
      <c r="W176" s="13"/>
      <c r="X176" s="13"/>
    </row>
    <row r="177" spans="2:27" ht="18" customHeight="1" x14ac:dyDescent="0.35">
      <c r="B177" s="1"/>
      <c r="C177" s="1"/>
      <c r="D177" s="1"/>
      <c r="E177" s="1"/>
      <c r="F177" s="1"/>
      <c r="G177" s="1"/>
      <c r="H177" s="1"/>
      <c r="I177" s="1"/>
      <c r="J177" s="1"/>
      <c r="K177" s="1"/>
      <c r="N177" s="13" t="s">
        <v>17</v>
      </c>
      <c r="O177" s="13"/>
      <c r="P177" s="13"/>
      <c r="Q177" s="13"/>
      <c r="R177" s="13"/>
      <c r="S177" s="13"/>
      <c r="T177" s="13"/>
      <c r="U177" s="13"/>
      <c r="V177" s="13"/>
      <c r="W177" s="13"/>
      <c r="X177" s="13"/>
    </row>
    <row r="178" spans="2:27" ht="17.25" customHeight="1" x14ac:dyDescent="0.35">
      <c r="B178" s="1"/>
      <c r="C178" s="1"/>
      <c r="D178" s="1"/>
      <c r="E178" s="1"/>
      <c r="F178" s="1"/>
      <c r="G178" s="1"/>
      <c r="H178" s="1"/>
      <c r="I178" s="1"/>
      <c r="J178" s="1"/>
      <c r="K178" s="1"/>
      <c r="N178" s="13" t="s">
        <v>167</v>
      </c>
      <c r="O178" s="13"/>
      <c r="P178" s="13"/>
      <c r="Q178" s="13"/>
      <c r="R178" s="13"/>
      <c r="S178" s="13"/>
      <c r="T178" s="13"/>
      <c r="U178" s="13"/>
      <c r="V178" s="13"/>
      <c r="W178" s="13"/>
      <c r="X178" s="13"/>
    </row>
    <row r="179" spans="2:27" ht="21" customHeight="1" x14ac:dyDescent="0.35">
      <c r="B179" s="1"/>
      <c r="C179" s="1"/>
      <c r="D179" s="1"/>
      <c r="E179" s="1"/>
      <c r="F179" s="1"/>
      <c r="G179" s="1"/>
      <c r="H179" s="1"/>
      <c r="I179" s="1"/>
      <c r="J179" s="1"/>
      <c r="K179" s="1"/>
      <c r="N179" s="13" t="s">
        <v>168</v>
      </c>
      <c r="O179" s="13"/>
      <c r="P179" s="13"/>
      <c r="Q179" s="13"/>
      <c r="R179" s="13"/>
      <c r="S179" s="13"/>
      <c r="T179" s="13"/>
      <c r="U179" s="13"/>
      <c r="V179" s="13"/>
      <c r="W179" s="13"/>
      <c r="X179" s="13"/>
    </row>
    <row r="180" spans="2:27" ht="21.75" customHeight="1" x14ac:dyDescent="0.4">
      <c r="B180" s="1"/>
      <c r="C180" s="1"/>
      <c r="D180" s="2"/>
      <c r="E180" s="1"/>
      <c r="F180" s="1"/>
      <c r="G180" s="1"/>
      <c r="H180" s="1"/>
      <c r="I180" s="1"/>
      <c r="J180" s="1"/>
      <c r="K180" s="1"/>
      <c r="N180" s="13" t="s">
        <v>18</v>
      </c>
      <c r="O180" s="13"/>
      <c r="P180" s="13"/>
      <c r="Q180" s="14" t="s">
        <v>19</v>
      </c>
      <c r="R180" s="13"/>
      <c r="S180" s="13"/>
      <c r="T180" s="13"/>
      <c r="U180" s="13"/>
      <c r="V180" s="13"/>
      <c r="W180" s="13"/>
      <c r="X180" s="13"/>
    </row>
    <row r="181" spans="2:27" ht="22.5" customHeight="1" x14ac:dyDescent="0.4">
      <c r="B181" s="1"/>
      <c r="C181" s="1"/>
      <c r="D181" s="2"/>
      <c r="E181" s="1"/>
      <c r="F181" s="1"/>
      <c r="G181" s="1"/>
      <c r="H181" s="1"/>
      <c r="I181" s="1"/>
      <c r="J181" s="1"/>
      <c r="K181" s="1"/>
      <c r="N181" s="6" t="s">
        <v>20</v>
      </c>
      <c r="O181" s="6"/>
      <c r="P181" s="6"/>
      <c r="Q181" s="14" t="s">
        <v>19</v>
      </c>
      <c r="R181" s="14"/>
      <c r="S181" s="14"/>
      <c r="T181" s="14"/>
      <c r="U181" s="14"/>
      <c r="V181" s="14"/>
      <c r="W181" s="14"/>
      <c r="X181" s="14"/>
    </row>
    <row r="182" spans="2:27" ht="21.75" customHeight="1" x14ac:dyDescent="0.4">
      <c r="B182" s="1"/>
      <c r="C182" s="1"/>
      <c r="D182" s="2"/>
      <c r="E182" s="1"/>
      <c r="F182" s="1"/>
      <c r="G182" s="1"/>
      <c r="H182" s="1"/>
      <c r="I182" s="1"/>
      <c r="J182" s="1"/>
      <c r="K182" s="1"/>
      <c r="N182" s="15" t="s">
        <v>37</v>
      </c>
      <c r="O182" s="6"/>
      <c r="P182" s="6"/>
      <c r="Q182" s="14" t="s">
        <v>19</v>
      </c>
      <c r="R182" s="14"/>
      <c r="S182" s="14"/>
      <c r="T182" s="14"/>
      <c r="U182" s="14"/>
      <c r="V182" s="14"/>
      <c r="W182" s="14"/>
      <c r="X182" s="14"/>
    </row>
    <row r="183" spans="2:27" ht="18" customHeight="1" x14ac:dyDescent="0.4">
      <c r="B183" s="1"/>
      <c r="C183" s="1"/>
      <c r="D183" s="2"/>
      <c r="E183" s="1"/>
      <c r="F183" s="1"/>
      <c r="G183" s="1"/>
      <c r="H183" s="1"/>
      <c r="I183" s="1"/>
      <c r="J183" s="1"/>
      <c r="K183" s="1"/>
      <c r="N183" s="14"/>
      <c r="O183" s="6"/>
      <c r="P183" s="6"/>
      <c r="Q183" s="6"/>
      <c r="R183" s="15" t="s">
        <v>21</v>
      </c>
      <c r="S183" s="14"/>
      <c r="T183" s="14"/>
      <c r="U183" s="14"/>
      <c r="V183" s="14"/>
      <c r="W183" s="14"/>
      <c r="X183" s="14"/>
      <c r="Y183" s="14"/>
    </row>
    <row r="184" spans="2:27" ht="27" x14ac:dyDescent="0.35">
      <c r="B184" s="1" t="s">
        <v>22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N184" s="1" t="s">
        <v>163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2:27" ht="27" x14ac:dyDescent="0.35">
      <c r="B185" s="1" t="s">
        <v>43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N185" s="1" t="s">
        <v>43</v>
      </c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2:27" ht="47.25" x14ac:dyDescent="0.25">
      <c r="B186" s="91" t="s">
        <v>36</v>
      </c>
      <c r="C186" s="24">
        <v>1317</v>
      </c>
      <c r="D186" s="4"/>
      <c r="E186" s="4"/>
      <c r="F186" s="4"/>
      <c r="G186" s="4"/>
      <c r="H186" s="4"/>
      <c r="I186" s="4"/>
      <c r="J186" s="4"/>
      <c r="K186" s="4"/>
      <c r="L186" s="4"/>
      <c r="M186" s="3"/>
      <c r="N186" s="24"/>
      <c r="O186" s="4"/>
      <c r="P186" s="19"/>
      <c r="Q186" s="4"/>
      <c r="R186" s="4"/>
      <c r="S186" s="4"/>
      <c r="T186" s="4"/>
      <c r="U186" s="4"/>
      <c r="V186" s="4"/>
      <c r="W186" s="4"/>
      <c r="X186" s="4"/>
      <c r="Y186" s="5"/>
      <c r="Z186" s="5"/>
      <c r="AA186" s="5"/>
    </row>
    <row r="187" spans="2:27" ht="15.75" x14ac:dyDescent="0.25">
      <c r="B187" s="4" t="s">
        <v>35</v>
      </c>
      <c r="C187" s="4">
        <v>1808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9"/>
      <c r="R187" s="4"/>
      <c r="S187" s="4"/>
      <c r="T187" s="4"/>
      <c r="U187" s="4"/>
      <c r="V187" s="4"/>
      <c r="W187" s="4"/>
      <c r="X187" s="4"/>
      <c r="Y187" s="5"/>
      <c r="Z187" s="5"/>
      <c r="AA187" s="5"/>
    </row>
    <row r="188" spans="2:27" ht="16.5" thickBot="1" x14ac:dyDescent="0.3">
      <c r="B188" s="4" t="s">
        <v>34</v>
      </c>
      <c r="C188" s="23">
        <v>0.73</v>
      </c>
      <c r="D188" s="4"/>
      <c r="E188" s="4"/>
      <c r="M188" s="4"/>
      <c r="N188" s="23"/>
      <c r="Y188" s="5"/>
      <c r="Z188" s="5"/>
      <c r="AA188" s="5"/>
    </row>
    <row r="189" spans="2:27" s="88" customFormat="1" ht="145.5" thickBot="1" x14ac:dyDescent="0.35">
      <c r="B189" s="93" t="s">
        <v>0</v>
      </c>
      <c r="C189" s="93" t="s">
        <v>1</v>
      </c>
      <c r="D189" s="94" t="s">
        <v>3</v>
      </c>
      <c r="E189" s="94" t="s">
        <v>4</v>
      </c>
      <c r="F189" s="94" t="s">
        <v>5</v>
      </c>
      <c r="G189" s="94" t="s">
        <v>6</v>
      </c>
      <c r="H189" s="94" t="s">
        <v>7</v>
      </c>
      <c r="I189" s="94" t="s">
        <v>23</v>
      </c>
      <c r="J189" s="94" t="s">
        <v>24</v>
      </c>
      <c r="K189" s="94" t="s">
        <v>25</v>
      </c>
      <c r="L189" s="95" t="s">
        <v>26</v>
      </c>
      <c r="M189" s="94" t="s">
        <v>27</v>
      </c>
      <c r="N189" s="96" t="s">
        <v>1</v>
      </c>
      <c r="O189" s="94" t="s">
        <v>28</v>
      </c>
      <c r="P189" s="94" t="s">
        <v>8</v>
      </c>
      <c r="Q189" s="94" t="s">
        <v>9</v>
      </c>
      <c r="R189" s="94" t="s">
        <v>10</v>
      </c>
      <c r="S189" s="94" t="s">
        <v>29</v>
      </c>
      <c r="T189" s="94" t="s">
        <v>11</v>
      </c>
      <c r="U189" s="94" t="s">
        <v>12</v>
      </c>
      <c r="V189" s="94" t="s">
        <v>13</v>
      </c>
      <c r="W189" s="94" t="s">
        <v>14</v>
      </c>
      <c r="X189" s="94" t="s">
        <v>166</v>
      </c>
      <c r="Y189" s="94" t="s">
        <v>14</v>
      </c>
    </row>
    <row r="190" spans="2:27" s="43" customFormat="1" ht="18.95" customHeight="1" thickBot="1" x14ac:dyDescent="0.35">
      <c r="B190" s="44" t="s">
        <v>31</v>
      </c>
      <c r="C190" s="83"/>
      <c r="D190" s="45"/>
      <c r="E190" s="45"/>
      <c r="F190" s="45"/>
      <c r="G190" s="45"/>
      <c r="H190" s="45"/>
      <c r="I190" s="45"/>
      <c r="J190" s="45"/>
      <c r="K190" s="45"/>
      <c r="L190" s="45"/>
      <c r="M190" s="46"/>
      <c r="N190" s="74" t="s">
        <v>31</v>
      </c>
      <c r="O190" s="47"/>
      <c r="P190" s="45"/>
      <c r="Q190" s="47"/>
      <c r="R190" s="45"/>
      <c r="S190" s="45"/>
      <c r="T190" s="45"/>
      <c r="U190" s="45"/>
      <c r="V190" s="45"/>
      <c r="W190" s="48"/>
      <c r="X190" s="48"/>
      <c r="Y190" s="48"/>
    </row>
    <row r="191" spans="2:27" s="43" customFormat="1" ht="18.95" customHeight="1" thickBot="1" x14ac:dyDescent="0.35">
      <c r="B191" s="44" t="s">
        <v>149</v>
      </c>
      <c r="C191" s="83"/>
      <c r="D191" s="45"/>
      <c r="E191" s="45"/>
      <c r="F191" s="45"/>
      <c r="G191" s="45"/>
      <c r="H191" s="45"/>
      <c r="I191" s="45"/>
      <c r="J191" s="45"/>
      <c r="K191" s="45"/>
      <c r="L191" s="45"/>
      <c r="M191" s="46"/>
      <c r="N191" s="74" t="s">
        <v>149</v>
      </c>
      <c r="O191" s="47"/>
      <c r="P191" s="45"/>
      <c r="Q191" s="47"/>
      <c r="R191" s="45"/>
      <c r="S191" s="45"/>
      <c r="T191" s="45"/>
      <c r="U191" s="45"/>
      <c r="V191" s="45"/>
      <c r="W191" s="48"/>
      <c r="X191" s="48"/>
      <c r="Y191" s="48"/>
    </row>
    <row r="192" spans="2:27" s="43" customFormat="1" ht="18.95" customHeight="1" thickBot="1" x14ac:dyDescent="0.35">
      <c r="B192" s="49"/>
      <c r="C192" s="68" t="s">
        <v>48</v>
      </c>
      <c r="D192" s="50">
        <f>SUM(START:END!E110)</f>
        <v>1</v>
      </c>
      <c r="E192" s="50">
        <f>SUM(START:END!F110)</f>
        <v>0</v>
      </c>
      <c r="F192" s="50">
        <f>SUM(START:END!G110)</f>
        <v>0</v>
      </c>
      <c r="G192" s="50">
        <f>SUM(START:END!H110)</f>
        <v>0</v>
      </c>
      <c r="H192" s="50">
        <f>SUM(START:END!I110)</f>
        <v>0</v>
      </c>
      <c r="I192" s="50">
        <f>SUM(START:END!J110)</f>
        <v>0</v>
      </c>
      <c r="J192" s="50">
        <f>SUM(START:END!K110)</f>
        <v>0</v>
      </c>
      <c r="K192" s="50">
        <f>SUM(START:END!L110)</f>
        <v>0</v>
      </c>
      <c r="L192" s="50">
        <f>SUM(START:END!M110)</f>
        <v>0</v>
      </c>
      <c r="M192" s="50">
        <f>SUM(START:END!N110)</f>
        <v>0</v>
      </c>
      <c r="N192" s="39" t="s">
        <v>48</v>
      </c>
      <c r="O192" s="50">
        <f>SUM(START:END!Q110)</f>
        <v>0</v>
      </c>
      <c r="P192" s="50">
        <f>SUM(START:END!R110)</f>
        <v>0</v>
      </c>
      <c r="Q192" s="50">
        <f>SUM(START:END!S110)</f>
        <v>0</v>
      </c>
      <c r="R192" s="50">
        <f>SUM(START:END!T110)</f>
        <v>0</v>
      </c>
      <c r="S192" s="50">
        <f>SUM(START:END!U110)</f>
        <v>0</v>
      </c>
      <c r="T192" s="50">
        <f>SUM(START:END!V110)</f>
        <v>0</v>
      </c>
      <c r="U192" s="50">
        <f>SUM(START:END!W110)</f>
        <v>0</v>
      </c>
      <c r="V192" s="49">
        <f>SUM(START:END!X110)</f>
        <v>0</v>
      </c>
      <c r="W192" s="50">
        <f>SUM(D192:V192)</f>
        <v>1</v>
      </c>
      <c r="X192" s="50"/>
      <c r="Y192" s="50">
        <f>SUM(W192:X192)</f>
        <v>1</v>
      </c>
    </row>
    <row r="193" spans="2:25" s="43" customFormat="1" ht="18.95" customHeight="1" thickBot="1" x14ac:dyDescent="0.35">
      <c r="B193" s="49"/>
      <c r="C193" s="68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39"/>
      <c r="O193" s="50"/>
      <c r="P193" s="50"/>
      <c r="Q193" s="50"/>
      <c r="R193" s="50"/>
      <c r="S193" s="50"/>
      <c r="T193" s="50"/>
      <c r="U193" s="50"/>
      <c r="V193" s="49"/>
      <c r="W193" s="50"/>
      <c r="X193" s="50"/>
      <c r="Y193" s="50">
        <f t="shared" ref="Y193:Y213" si="9">SUM(W193:X193)</f>
        <v>0</v>
      </c>
    </row>
    <row r="194" spans="2:25" s="43" customFormat="1" ht="18.95" customHeight="1" thickBot="1" x14ac:dyDescent="0.35">
      <c r="B194" s="44" t="s">
        <v>150</v>
      </c>
      <c r="C194" s="83"/>
      <c r="D194" s="45"/>
      <c r="E194" s="45"/>
      <c r="F194" s="45"/>
      <c r="G194" s="45"/>
      <c r="H194" s="45"/>
      <c r="I194" s="45"/>
      <c r="J194" s="45"/>
      <c r="K194" s="45"/>
      <c r="L194" s="45"/>
      <c r="M194" s="46"/>
      <c r="N194" s="74" t="s">
        <v>150</v>
      </c>
      <c r="O194" s="47"/>
      <c r="P194" s="45"/>
      <c r="Q194" s="47"/>
      <c r="R194" s="45"/>
      <c r="S194" s="45"/>
      <c r="T194" s="45"/>
      <c r="U194" s="45"/>
      <c r="V194" s="45"/>
      <c r="W194" s="48"/>
      <c r="X194" s="48"/>
      <c r="Y194" s="48"/>
    </row>
    <row r="195" spans="2:25" s="43" customFormat="1" ht="18.95" customHeight="1" thickBot="1" x14ac:dyDescent="0.35">
      <c r="B195" s="49"/>
      <c r="C195" s="68" t="s">
        <v>51</v>
      </c>
      <c r="D195" s="50">
        <f>SUM(START:END!E113)</f>
        <v>0</v>
      </c>
      <c r="E195" s="50">
        <f>SUM(START:END!F113)</f>
        <v>4</v>
      </c>
      <c r="F195" s="50">
        <f>SUM(START:END!G113)</f>
        <v>0</v>
      </c>
      <c r="G195" s="50">
        <f>SUM(START:END!H113)</f>
        <v>0</v>
      </c>
      <c r="H195" s="50">
        <f>SUM(START:END!I113)</f>
        <v>0</v>
      </c>
      <c r="I195" s="50">
        <f>SUM(START:END!J113)</f>
        <v>0</v>
      </c>
      <c r="J195" s="50">
        <f>SUM(START:END!K113)</f>
        <v>0</v>
      </c>
      <c r="K195" s="50">
        <f>SUM(START:END!L113)</f>
        <v>0</v>
      </c>
      <c r="L195" s="50">
        <f>SUM(START:END!M113)</f>
        <v>0</v>
      </c>
      <c r="M195" s="50">
        <f>SUM(START:END!N113)</f>
        <v>0</v>
      </c>
      <c r="N195" s="39" t="s">
        <v>51</v>
      </c>
      <c r="O195" s="50">
        <f>SUM(START:END!Q113)</f>
        <v>0</v>
      </c>
      <c r="P195" s="50">
        <f>SUM(START:END!R113)</f>
        <v>0</v>
      </c>
      <c r="Q195" s="50">
        <f>SUM(START:END!S113)</f>
        <v>0</v>
      </c>
      <c r="R195" s="50">
        <f>SUM(START:END!T113)</f>
        <v>0</v>
      </c>
      <c r="S195" s="50">
        <f>SUM(START:END!U113)</f>
        <v>0</v>
      </c>
      <c r="T195" s="50">
        <f>SUM(START:END!V113)</f>
        <v>0</v>
      </c>
      <c r="U195" s="50">
        <f>SUM(START:END!W113)</f>
        <v>0</v>
      </c>
      <c r="V195" s="49">
        <f>SUM(START:END!X113)</f>
        <v>0</v>
      </c>
      <c r="W195" s="50">
        <f>SUM(D195:V195)</f>
        <v>4</v>
      </c>
      <c r="X195" s="50"/>
      <c r="Y195" s="50">
        <f t="shared" si="9"/>
        <v>4</v>
      </c>
    </row>
    <row r="196" spans="2:25" s="43" customFormat="1" ht="18.95" customHeight="1" thickBot="1" x14ac:dyDescent="0.35">
      <c r="B196" s="44" t="s">
        <v>151</v>
      </c>
      <c r="C196" s="83"/>
      <c r="D196" s="45"/>
      <c r="E196" s="45"/>
      <c r="F196" s="45"/>
      <c r="G196" s="45"/>
      <c r="H196" s="45"/>
      <c r="I196" s="45"/>
      <c r="J196" s="45"/>
      <c r="K196" s="45"/>
      <c r="L196" s="45"/>
      <c r="M196" s="46"/>
      <c r="N196" s="74" t="s">
        <v>151</v>
      </c>
      <c r="O196" s="47"/>
      <c r="P196" s="45"/>
      <c r="Q196" s="47"/>
      <c r="R196" s="45"/>
      <c r="S196" s="45"/>
      <c r="T196" s="45"/>
      <c r="U196" s="45"/>
      <c r="V196" s="45"/>
      <c r="W196" s="48"/>
      <c r="X196" s="48"/>
      <c r="Y196" s="48"/>
    </row>
    <row r="197" spans="2:25" s="43" customFormat="1" ht="18.95" customHeight="1" thickBot="1" x14ac:dyDescent="0.35">
      <c r="B197" s="49"/>
      <c r="C197" s="68" t="s">
        <v>53</v>
      </c>
      <c r="D197" s="50">
        <f>SUM(START:END!E115)</f>
        <v>0</v>
      </c>
      <c r="E197" s="50">
        <f>SUM(START:END!F115)</f>
        <v>0</v>
      </c>
      <c r="F197" s="50">
        <f>SUM(START:END!G115)</f>
        <v>0</v>
      </c>
      <c r="G197" s="50">
        <f>SUM(START:END!H115)</f>
        <v>1</v>
      </c>
      <c r="H197" s="50">
        <f>SUM(START:END!I115)</f>
        <v>0</v>
      </c>
      <c r="I197" s="50">
        <f>SUM(START:END!J115)</f>
        <v>0</v>
      </c>
      <c r="J197" s="50">
        <f>SUM(START:END!K115)</f>
        <v>0</v>
      </c>
      <c r="K197" s="50">
        <f>SUM(START:END!L115)</f>
        <v>0</v>
      </c>
      <c r="L197" s="50">
        <f>SUM(START:END!M115)</f>
        <v>0</v>
      </c>
      <c r="M197" s="50">
        <f>SUM(START:END!N115)</f>
        <v>0</v>
      </c>
      <c r="N197" s="39" t="s">
        <v>53</v>
      </c>
      <c r="O197" s="50">
        <f>SUM(START:END!Q115)</f>
        <v>0</v>
      </c>
      <c r="P197" s="50">
        <f>SUM(START:END!R115)</f>
        <v>0</v>
      </c>
      <c r="Q197" s="50">
        <f>SUM(START:END!S115)</f>
        <v>0</v>
      </c>
      <c r="R197" s="50">
        <f>SUM(START:END!T115)</f>
        <v>0</v>
      </c>
      <c r="S197" s="50">
        <f>SUM(START:END!U115)</f>
        <v>0</v>
      </c>
      <c r="T197" s="50">
        <f>SUM(START:END!V115)</f>
        <v>0</v>
      </c>
      <c r="U197" s="50">
        <f>SUM(START:END!W115)</f>
        <v>0</v>
      </c>
      <c r="V197" s="49">
        <f>SUM(START:END!X115)</f>
        <v>0</v>
      </c>
      <c r="W197" s="50">
        <f>SUM(D197:V197)</f>
        <v>1</v>
      </c>
      <c r="X197" s="50"/>
      <c r="Y197" s="50">
        <f t="shared" si="9"/>
        <v>1</v>
      </c>
    </row>
    <row r="198" spans="2:25" s="43" customFormat="1" ht="18.95" customHeight="1" thickBot="1" x14ac:dyDescent="0.35">
      <c r="B198" s="49"/>
      <c r="C198" s="68" t="s">
        <v>105</v>
      </c>
      <c r="D198" s="50">
        <f>SUM(START:END!E116)</f>
        <v>0</v>
      </c>
      <c r="E198" s="50">
        <f>SUM(START:END!F116)</f>
        <v>0</v>
      </c>
      <c r="F198" s="50">
        <f>SUM(START:END!G116)</f>
        <v>0</v>
      </c>
      <c r="G198" s="50">
        <f>SUM(START:END!H116)</f>
        <v>3</v>
      </c>
      <c r="H198" s="50">
        <f>SUM(START:END!I116)</f>
        <v>0</v>
      </c>
      <c r="I198" s="50">
        <f>SUM(START:END!J116)</f>
        <v>0</v>
      </c>
      <c r="J198" s="50">
        <f>SUM(START:END!K116)</f>
        <v>0</v>
      </c>
      <c r="K198" s="50">
        <f>SUM(START:END!L116)</f>
        <v>0</v>
      </c>
      <c r="L198" s="50">
        <f>SUM(START:END!M116)</f>
        <v>0</v>
      </c>
      <c r="M198" s="50">
        <f>SUM(START:END!N116)</f>
        <v>0</v>
      </c>
      <c r="N198" s="39" t="s">
        <v>105</v>
      </c>
      <c r="O198" s="50">
        <f>SUM(START:END!Q116)</f>
        <v>0</v>
      </c>
      <c r="P198" s="50">
        <f>SUM(START:END!R116)</f>
        <v>0</v>
      </c>
      <c r="Q198" s="50">
        <f>SUM(START:END!S116)</f>
        <v>0</v>
      </c>
      <c r="R198" s="50">
        <f>SUM(START:END!T116)</f>
        <v>0</v>
      </c>
      <c r="S198" s="50">
        <f>SUM(START:END!U116)</f>
        <v>0</v>
      </c>
      <c r="T198" s="50">
        <f>SUM(START:END!V116)</f>
        <v>0</v>
      </c>
      <c r="U198" s="50">
        <f>SUM(START:END!W116)</f>
        <v>0</v>
      </c>
      <c r="V198" s="49">
        <f>SUM(START:END!X116)</f>
        <v>0</v>
      </c>
      <c r="W198" s="50">
        <f>SUM(D198:V198)</f>
        <v>3</v>
      </c>
      <c r="X198" s="50"/>
      <c r="Y198" s="50">
        <f t="shared" si="9"/>
        <v>3</v>
      </c>
    </row>
    <row r="199" spans="2:25" s="43" customFormat="1" ht="18.95" customHeight="1" thickBot="1" x14ac:dyDescent="0.35">
      <c r="B199" s="49"/>
      <c r="C199" s="68" t="s">
        <v>54</v>
      </c>
      <c r="D199" s="50">
        <f>SUM(START:END!E117)</f>
        <v>0</v>
      </c>
      <c r="E199" s="50">
        <f>SUM(START:END!F117)</f>
        <v>0</v>
      </c>
      <c r="F199" s="50">
        <f>SUM(START:END!G117)</f>
        <v>0</v>
      </c>
      <c r="G199" s="50">
        <f>SUM(START:END!H117)</f>
        <v>8</v>
      </c>
      <c r="H199" s="50">
        <f>SUM(START:END!I117)</f>
        <v>0</v>
      </c>
      <c r="I199" s="50">
        <f>SUM(START:END!J117)</f>
        <v>0</v>
      </c>
      <c r="J199" s="50">
        <f>SUM(START:END!K117)</f>
        <v>0</v>
      </c>
      <c r="K199" s="50">
        <f>SUM(START:END!L117)</f>
        <v>0</v>
      </c>
      <c r="L199" s="50">
        <f>SUM(START:END!M117)</f>
        <v>0</v>
      </c>
      <c r="M199" s="50">
        <f>SUM(START:END!N117)</f>
        <v>0</v>
      </c>
      <c r="N199" s="39" t="s">
        <v>54</v>
      </c>
      <c r="O199" s="50">
        <f>SUM(START:END!Q117)</f>
        <v>0</v>
      </c>
      <c r="P199" s="50">
        <f>SUM(START:END!R117)</f>
        <v>0</v>
      </c>
      <c r="Q199" s="50">
        <f>SUM(START:END!S117)</f>
        <v>0</v>
      </c>
      <c r="R199" s="50">
        <f>SUM(START:END!T117)</f>
        <v>0</v>
      </c>
      <c r="S199" s="50">
        <f>SUM(START:END!U117)</f>
        <v>0</v>
      </c>
      <c r="T199" s="50">
        <f>SUM(START:END!V117)</f>
        <v>0</v>
      </c>
      <c r="U199" s="50">
        <f>SUM(START:END!W117)</f>
        <v>0</v>
      </c>
      <c r="V199" s="49">
        <f>SUM(START:END!X117)</f>
        <v>0</v>
      </c>
      <c r="W199" s="50">
        <f>SUM(D199:V199)</f>
        <v>8</v>
      </c>
      <c r="X199" s="50"/>
      <c r="Y199" s="50">
        <f t="shared" si="9"/>
        <v>8</v>
      </c>
    </row>
    <row r="200" spans="2:25" s="43" customFormat="1" ht="18.95" customHeight="1" thickBot="1" x14ac:dyDescent="0.35">
      <c r="B200" s="44" t="s">
        <v>155</v>
      </c>
      <c r="C200" s="83"/>
      <c r="D200" s="45"/>
      <c r="E200" s="45"/>
      <c r="F200" s="45"/>
      <c r="G200" s="45"/>
      <c r="H200" s="45"/>
      <c r="I200" s="45"/>
      <c r="J200" s="45"/>
      <c r="K200" s="45"/>
      <c r="L200" s="45"/>
      <c r="M200" s="46"/>
      <c r="N200" s="74" t="s">
        <v>155</v>
      </c>
      <c r="O200" s="47"/>
      <c r="P200" s="45"/>
      <c r="Q200" s="47"/>
      <c r="R200" s="45"/>
      <c r="S200" s="45"/>
      <c r="T200" s="45"/>
      <c r="U200" s="45"/>
      <c r="V200" s="45"/>
      <c r="W200" s="48"/>
      <c r="X200" s="48"/>
      <c r="Y200" s="48"/>
    </row>
    <row r="201" spans="2:25" s="43" customFormat="1" ht="18.95" customHeight="1" thickBot="1" x14ac:dyDescent="0.35">
      <c r="B201" s="49"/>
      <c r="C201" s="68" t="s">
        <v>129</v>
      </c>
      <c r="D201" s="50">
        <f>SUM(START:END!E119)</f>
        <v>0</v>
      </c>
      <c r="E201" s="50">
        <f>SUM(START:END!F119)</f>
        <v>0</v>
      </c>
      <c r="F201" s="50">
        <f>SUM(START:END!G119)</f>
        <v>0</v>
      </c>
      <c r="G201" s="50">
        <f>SUM(START:END!H119)</f>
        <v>0</v>
      </c>
      <c r="H201" s="50">
        <f>SUM(START:END!I119)</f>
        <v>0</v>
      </c>
      <c r="I201" s="50">
        <f>SUM(START:END!J119)</f>
        <v>0</v>
      </c>
      <c r="J201" s="50">
        <f>SUM(START:END!K119)</f>
        <v>0</v>
      </c>
      <c r="K201" s="50">
        <f>SUM(START:END!L119)</f>
        <v>0</v>
      </c>
      <c r="L201" s="50">
        <f>SUM(START:END!M119)</f>
        <v>0</v>
      </c>
      <c r="M201" s="50">
        <f>SUM(START:END!N119)</f>
        <v>0</v>
      </c>
      <c r="N201" s="68" t="s">
        <v>129</v>
      </c>
      <c r="O201" s="50">
        <f>SUM(START:END!Q119)</f>
        <v>0</v>
      </c>
      <c r="P201" s="50">
        <f>SUM(START:END!R119)</f>
        <v>1</v>
      </c>
      <c r="Q201" s="50">
        <f>SUM(START:END!S119)</f>
        <v>0</v>
      </c>
      <c r="R201" s="50">
        <f>SUM(START:END!T119)</f>
        <v>0</v>
      </c>
      <c r="S201" s="50">
        <f>SUM(START:END!U119)</f>
        <v>0</v>
      </c>
      <c r="T201" s="50">
        <f>SUM(START:END!V119)</f>
        <v>0</v>
      </c>
      <c r="U201" s="50">
        <f>SUM(START:END!W119)</f>
        <v>0</v>
      </c>
      <c r="V201" s="49">
        <f>SUM(START:END!X119)</f>
        <v>0</v>
      </c>
      <c r="W201" s="50">
        <f>SUM(D201:V201)</f>
        <v>1</v>
      </c>
      <c r="X201" s="50"/>
      <c r="Y201" s="50">
        <f t="shared" si="9"/>
        <v>1</v>
      </c>
    </row>
    <row r="202" spans="2:25" s="43" customFormat="1" ht="18.95" customHeight="1" thickBot="1" x14ac:dyDescent="0.35">
      <c r="B202" s="44" t="s">
        <v>152</v>
      </c>
      <c r="C202" s="83"/>
      <c r="D202" s="45"/>
      <c r="E202" s="45"/>
      <c r="F202" s="45"/>
      <c r="G202" s="45"/>
      <c r="H202" s="45"/>
      <c r="I202" s="45"/>
      <c r="J202" s="45"/>
      <c r="K202" s="45"/>
      <c r="L202" s="45"/>
      <c r="M202" s="46"/>
      <c r="N202" s="74" t="s">
        <v>152</v>
      </c>
      <c r="O202" s="47"/>
      <c r="P202" s="45"/>
      <c r="Q202" s="47"/>
      <c r="R202" s="45"/>
      <c r="S202" s="45"/>
      <c r="T202" s="45"/>
      <c r="U202" s="45"/>
      <c r="V202" s="45"/>
      <c r="W202" s="48"/>
      <c r="X202" s="48"/>
      <c r="Y202" s="48"/>
    </row>
    <row r="203" spans="2:25" s="43" customFormat="1" ht="18.95" customHeight="1" thickBot="1" x14ac:dyDescent="0.35">
      <c r="B203" s="49"/>
      <c r="C203" s="68" t="s">
        <v>96</v>
      </c>
      <c r="D203" s="50">
        <f>SUM(START:END!E121)</f>
        <v>0</v>
      </c>
      <c r="E203" s="50">
        <f>SUM(START:END!F121)</f>
        <v>0</v>
      </c>
      <c r="F203" s="50">
        <f>SUM(START:END!G121)</f>
        <v>0</v>
      </c>
      <c r="G203" s="50">
        <f>SUM(START:END!H121)</f>
        <v>0</v>
      </c>
      <c r="H203" s="50">
        <f>SUM(START:END!I121)</f>
        <v>0</v>
      </c>
      <c r="I203" s="50">
        <f>SUM(START:END!J121)</f>
        <v>0</v>
      </c>
      <c r="J203" s="50">
        <f>SUM(START:END!K121)</f>
        <v>0</v>
      </c>
      <c r="K203" s="50">
        <f>SUM(START:END!L121)</f>
        <v>0</v>
      </c>
      <c r="L203" s="50">
        <f>SUM(START:END!M121)</f>
        <v>0</v>
      </c>
      <c r="M203" s="50">
        <f>SUM(START:END!N121)</f>
        <v>0</v>
      </c>
      <c r="N203" s="39" t="s">
        <v>96</v>
      </c>
      <c r="O203" s="50">
        <f>SUM(START:END!Q121)</f>
        <v>0</v>
      </c>
      <c r="P203" s="50">
        <f>SUM(START:END!R121)</f>
        <v>0</v>
      </c>
      <c r="Q203" s="50">
        <f>SUM(START:END!S121)</f>
        <v>0</v>
      </c>
      <c r="R203" s="50">
        <f>SUM(START:END!T121)</f>
        <v>0</v>
      </c>
      <c r="S203" s="50">
        <f>SUM(START:END!U121)</f>
        <v>2</v>
      </c>
      <c r="T203" s="50">
        <f>SUM(START:END!V121)</f>
        <v>0</v>
      </c>
      <c r="U203" s="50">
        <f>SUM(START:END!W121)</f>
        <v>0</v>
      </c>
      <c r="V203" s="49">
        <f>SUM(START:END!X121)</f>
        <v>0</v>
      </c>
      <c r="W203" s="50">
        <f>SUM(D203:V203)</f>
        <v>2</v>
      </c>
      <c r="X203" s="50"/>
      <c r="Y203" s="50">
        <f t="shared" si="9"/>
        <v>2</v>
      </c>
    </row>
    <row r="204" spans="2:25" s="43" customFormat="1" ht="18.95" customHeight="1" thickBot="1" x14ac:dyDescent="0.35">
      <c r="B204" s="49"/>
      <c r="C204" s="68" t="s">
        <v>158</v>
      </c>
      <c r="D204" s="50">
        <f>SUM(START:END!E122)</f>
        <v>0</v>
      </c>
      <c r="E204" s="50">
        <f>SUM(START:END!F122)</f>
        <v>0</v>
      </c>
      <c r="F204" s="50">
        <f>SUM(START:END!G122)</f>
        <v>0</v>
      </c>
      <c r="G204" s="50">
        <f>SUM(START:END!H122)</f>
        <v>0</v>
      </c>
      <c r="H204" s="50">
        <f>SUM(START:END!I122)</f>
        <v>0</v>
      </c>
      <c r="I204" s="50">
        <f>SUM(START:END!J122)</f>
        <v>0</v>
      </c>
      <c r="J204" s="50">
        <f>SUM(START:END!K122)</f>
        <v>0</v>
      </c>
      <c r="K204" s="50">
        <f>SUM(START:END!L122)</f>
        <v>0</v>
      </c>
      <c r="L204" s="50">
        <f>SUM(START:END!M122)</f>
        <v>0</v>
      </c>
      <c r="M204" s="50">
        <f>SUM(START:END!N122)</f>
        <v>0</v>
      </c>
      <c r="N204" s="39" t="s">
        <v>158</v>
      </c>
      <c r="O204" s="50">
        <f>SUM(START:END!Q122)</f>
        <v>0</v>
      </c>
      <c r="P204" s="50">
        <f>SUM(START:END!R122)</f>
        <v>0</v>
      </c>
      <c r="Q204" s="50">
        <f>SUM(START:END!S122)</f>
        <v>0</v>
      </c>
      <c r="R204" s="50">
        <f>SUM(START:END!T122)</f>
        <v>0</v>
      </c>
      <c r="S204" s="50">
        <f>SUM(START:END!U122)</f>
        <v>1</v>
      </c>
      <c r="T204" s="50">
        <f>SUM(START:END!V122)</f>
        <v>0</v>
      </c>
      <c r="U204" s="50">
        <f>SUM(START:END!W122)</f>
        <v>0</v>
      </c>
      <c r="V204" s="49">
        <f>SUM(START:END!X122)</f>
        <v>0</v>
      </c>
      <c r="W204" s="50">
        <f>SUM(D204:V204)</f>
        <v>1</v>
      </c>
      <c r="X204" s="50"/>
      <c r="Y204" s="50">
        <f t="shared" si="9"/>
        <v>1</v>
      </c>
    </row>
    <row r="205" spans="2:25" s="43" customFormat="1" ht="18.95" customHeight="1" thickBot="1" x14ac:dyDescent="0.35">
      <c r="B205" s="49"/>
      <c r="C205" s="68" t="s">
        <v>95</v>
      </c>
      <c r="D205" s="50">
        <f>SUM(START:END!E123)</f>
        <v>0</v>
      </c>
      <c r="E205" s="50">
        <f>SUM(START:END!F123)</f>
        <v>0</v>
      </c>
      <c r="F205" s="50">
        <f>SUM(START:END!G123)</f>
        <v>0</v>
      </c>
      <c r="G205" s="50">
        <f>SUM(START:END!H123)</f>
        <v>0</v>
      </c>
      <c r="H205" s="50">
        <f>SUM(START:END!I123)</f>
        <v>0</v>
      </c>
      <c r="I205" s="50">
        <f>SUM(START:END!J123)</f>
        <v>0</v>
      </c>
      <c r="J205" s="50">
        <f>SUM(START:END!K123)</f>
        <v>0</v>
      </c>
      <c r="K205" s="50">
        <f>SUM(START:END!L123)</f>
        <v>0</v>
      </c>
      <c r="L205" s="50">
        <f>SUM(START:END!M123)</f>
        <v>0</v>
      </c>
      <c r="M205" s="50">
        <f>SUM(START:END!N123)</f>
        <v>0</v>
      </c>
      <c r="N205" s="39" t="s">
        <v>95</v>
      </c>
      <c r="O205" s="50">
        <f>SUM(START:END!Q123)</f>
        <v>0</v>
      </c>
      <c r="P205" s="50">
        <f>SUM(START:END!R123)</f>
        <v>0</v>
      </c>
      <c r="Q205" s="50">
        <f>SUM(START:END!S123)</f>
        <v>0</v>
      </c>
      <c r="R205" s="50">
        <f>SUM(START:END!T123)</f>
        <v>0</v>
      </c>
      <c r="S205" s="50">
        <f>SUM(START:END!U123)</f>
        <v>10</v>
      </c>
      <c r="T205" s="50">
        <f>SUM(START:END!V123)</f>
        <v>0</v>
      </c>
      <c r="U205" s="50">
        <f>SUM(START:END!W123)</f>
        <v>0</v>
      </c>
      <c r="V205" s="49">
        <f>SUM(START:END!X123)</f>
        <v>0</v>
      </c>
      <c r="W205" s="50">
        <f>SUM(D205:V205)</f>
        <v>10</v>
      </c>
      <c r="X205" s="50"/>
      <c r="Y205" s="50">
        <f t="shared" si="9"/>
        <v>10</v>
      </c>
    </row>
    <row r="206" spans="2:25" s="43" customFormat="1" ht="18.95" customHeight="1" thickBot="1" x14ac:dyDescent="0.35">
      <c r="B206" s="44" t="s">
        <v>153</v>
      </c>
      <c r="C206" s="83"/>
      <c r="D206" s="45"/>
      <c r="E206" s="45"/>
      <c r="F206" s="45"/>
      <c r="G206" s="45"/>
      <c r="H206" s="45"/>
      <c r="I206" s="45"/>
      <c r="J206" s="45"/>
      <c r="K206" s="45"/>
      <c r="L206" s="45"/>
      <c r="M206" s="46"/>
      <c r="N206" s="74" t="s">
        <v>153</v>
      </c>
      <c r="O206" s="47"/>
      <c r="P206" s="45"/>
      <c r="Q206" s="47"/>
      <c r="R206" s="45"/>
      <c r="S206" s="45"/>
      <c r="T206" s="45"/>
      <c r="U206" s="45"/>
      <c r="V206" s="45"/>
      <c r="W206" s="48"/>
      <c r="X206" s="48"/>
      <c r="Y206" s="48"/>
    </row>
    <row r="207" spans="2:25" s="43" customFormat="1" ht="18.95" customHeight="1" thickBot="1" x14ac:dyDescent="0.35">
      <c r="B207" s="49"/>
      <c r="C207" s="68" t="s">
        <v>56</v>
      </c>
      <c r="D207" s="50">
        <f>SUM(START:END!E125)</f>
        <v>0</v>
      </c>
      <c r="E207" s="50">
        <f>SUM(START:END!F125)</f>
        <v>0</v>
      </c>
      <c r="F207" s="50">
        <f>SUM(START:END!G125)</f>
        <v>0</v>
      </c>
      <c r="G207" s="50">
        <f>SUM(START:END!H125)</f>
        <v>0</v>
      </c>
      <c r="H207" s="50">
        <f>SUM(START:END!I125)</f>
        <v>0</v>
      </c>
      <c r="I207" s="50">
        <f>SUM(START:END!J125)</f>
        <v>0</v>
      </c>
      <c r="J207" s="50">
        <f>SUM(START:END!K125)</f>
        <v>0</v>
      </c>
      <c r="K207" s="50">
        <f>SUM(START:END!L125)</f>
        <v>0</v>
      </c>
      <c r="L207" s="50">
        <f>SUM(START:END!M125)</f>
        <v>0</v>
      </c>
      <c r="M207" s="50">
        <f>SUM(START:END!N125)</f>
        <v>0</v>
      </c>
      <c r="N207" s="39" t="s">
        <v>56</v>
      </c>
      <c r="O207" s="50">
        <f>SUM(START:END!Q125)</f>
        <v>0</v>
      </c>
      <c r="P207" s="50">
        <f>SUM(START:END!R125)</f>
        <v>0</v>
      </c>
      <c r="Q207" s="50">
        <f>SUM(START:END!S125)</f>
        <v>0</v>
      </c>
      <c r="R207" s="50">
        <f>SUM(START:END!T125)</f>
        <v>0</v>
      </c>
      <c r="S207" s="50">
        <f>SUM(START:END!U125)</f>
        <v>0</v>
      </c>
      <c r="T207" s="50">
        <f>SUM(START:END!V125)</f>
        <v>1</v>
      </c>
      <c r="U207" s="50">
        <f>SUM(START:END!W125)</f>
        <v>0</v>
      </c>
      <c r="V207" s="49">
        <f>SUM(START:END!X125)</f>
        <v>0</v>
      </c>
      <c r="W207" s="50">
        <f>SUM(D207:V207)</f>
        <v>1</v>
      </c>
      <c r="X207" s="50"/>
      <c r="Y207" s="50">
        <f t="shared" si="9"/>
        <v>1</v>
      </c>
    </row>
    <row r="208" spans="2:25" s="43" customFormat="1" ht="18.95" customHeight="1" thickBot="1" x14ac:dyDescent="0.35">
      <c r="B208" s="49"/>
      <c r="C208" s="68" t="s">
        <v>139</v>
      </c>
      <c r="D208" s="50">
        <f>SUM(START:END!E126)</f>
        <v>0</v>
      </c>
      <c r="E208" s="50">
        <f>SUM(START:END!F126)</f>
        <v>0</v>
      </c>
      <c r="F208" s="50">
        <f>SUM(START:END!G126)</f>
        <v>0</v>
      </c>
      <c r="G208" s="50">
        <f>SUM(START:END!H126)</f>
        <v>0</v>
      </c>
      <c r="H208" s="50">
        <f>SUM(START:END!I126)</f>
        <v>0</v>
      </c>
      <c r="I208" s="50">
        <f>SUM(START:END!J126)</f>
        <v>0</v>
      </c>
      <c r="J208" s="50">
        <f>SUM(START:END!K126)</f>
        <v>0</v>
      </c>
      <c r="K208" s="50">
        <f>SUM(START:END!L126)</f>
        <v>0</v>
      </c>
      <c r="L208" s="50">
        <f>SUM(START:END!M126)</f>
        <v>0</v>
      </c>
      <c r="M208" s="50">
        <f>SUM(START:END!N126)</f>
        <v>0</v>
      </c>
      <c r="N208" s="39" t="s">
        <v>139</v>
      </c>
      <c r="O208" s="50">
        <f>SUM(START:END!Q126)</f>
        <v>0</v>
      </c>
      <c r="P208" s="50">
        <f>SUM(START:END!R126)</f>
        <v>0</v>
      </c>
      <c r="Q208" s="50">
        <f>SUM(START:END!S126)</f>
        <v>0</v>
      </c>
      <c r="R208" s="50">
        <f>SUM(START:END!T126)</f>
        <v>0</v>
      </c>
      <c r="S208" s="50">
        <f>SUM(START:END!U126)</f>
        <v>0</v>
      </c>
      <c r="T208" s="50">
        <f>SUM(START:END!V126)</f>
        <v>1</v>
      </c>
      <c r="U208" s="50">
        <f>SUM(START:END!W126)</f>
        <v>0</v>
      </c>
      <c r="V208" s="49">
        <f>SUM(START:END!X126)</f>
        <v>0</v>
      </c>
      <c r="W208" s="50">
        <f>SUM(D208:V208)</f>
        <v>1</v>
      </c>
      <c r="X208" s="50"/>
      <c r="Y208" s="50">
        <f t="shared" si="9"/>
        <v>1</v>
      </c>
    </row>
    <row r="209" spans="2:30" s="43" customFormat="1" ht="18.95" customHeight="1" thickBot="1" x14ac:dyDescent="0.35">
      <c r="B209" s="49"/>
      <c r="C209" s="68" t="s">
        <v>38</v>
      </c>
      <c r="D209" s="50">
        <f>SUM(START:END!E127)</f>
        <v>0</v>
      </c>
      <c r="E209" s="50">
        <f>SUM(START:END!F127)</f>
        <v>0</v>
      </c>
      <c r="F209" s="50">
        <f>SUM(START:END!G127)</f>
        <v>0</v>
      </c>
      <c r="G209" s="50">
        <f>SUM(START:END!H127)</f>
        <v>0</v>
      </c>
      <c r="H209" s="50">
        <f>SUM(START:END!I127)</f>
        <v>0</v>
      </c>
      <c r="I209" s="50">
        <f>SUM(START:END!J127)</f>
        <v>0</v>
      </c>
      <c r="J209" s="50">
        <f>SUM(START:END!K127)</f>
        <v>0</v>
      </c>
      <c r="K209" s="50">
        <f>SUM(START:END!L127)</f>
        <v>0</v>
      </c>
      <c r="L209" s="50">
        <f>SUM(START:END!M127)</f>
        <v>0</v>
      </c>
      <c r="M209" s="50">
        <f>SUM(START:END!N127)</f>
        <v>0</v>
      </c>
      <c r="N209" s="39" t="s">
        <v>38</v>
      </c>
      <c r="O209" s="50">
        <f>SUM(START:END!Q127)</f>
        <v>0</v>
      </c>
      <c r="P209" s="50">
        <f>SUM(START:END!R127)</f>
        <v>0</v>
      </c>
      <c r="Q209" s="50">
        <f>SUM(START:END!S127)</f>
        <v>0</v>
      </c>
      <c r="R209" s="50">
        <f>SUM(START:END!T127)</f>
        <v>0</v>
      </c>
      <c r="S209" s="50">
        <f>SUM(START:END!U127)</f>
        <v>0</v>
      </c>
      <c r="T209" s="50">
        <f>SUM(START:END!V127)</f>
        <v>3</v>
      </c>
      <c r="U209" s="50">
        <f>SUM(START:END!W127)</f>
        <v>0</v>
      </c>
      <c r="V209" s="49">
        <f>SUM(START:END!X127)</f>
        <v>0</v>
      </c>
      <c r="W209" s="50">
        <f>SUM(D209:V209)</f>
        <v>3</v>
      </c>
      <c r="X209" s="50"/>
      <c r="Y209" s="50">
        <f t="shared" si="9"/>
        <v>3</v>
      </c>
      <c r="AD209" s="48"/>
    </row>
    <row r="210" spans="2:30" s="43" customFormat="1" ht="18.95" customHeight="1" thickBot="1" x14ac:dyDescent="0.35">
      <c r="B210" s="44" t="s">
        <v>159</v>
      </c>
      <c r="C210" s="83"/>
      <c r="D210" s="45"/>
      <c r="E210" s="45"/>
      <c r="F210" s="45"/>
      <c r="G210" s="45"/>
      <c r="H210" s="45"/>
      <c r="I210" s="45"/>
      <c r="J210" s="45"/>
      <c r="K210" s="45"/>
      <c r="L210" s="45"/>
      <c r="M210" s="46"/>
      <c r="N210" s="74" t="s">
        <v>159</v>
      </c>
      <c r="O210" s="47"/>
      <c r="P210" s="45"/>
      <c r="Q210" s="47"/>
      <c r="R210" s="45"/>
      <c r="S210" s="45"/>
      <c r="T210" s="45"/>
      <c r="U210" s="45"/>
      <c r="V210" s="45"/>
      <c r="W210" s="48"/>
      <c r="X210" s="48"/>
      <c r="Y210" s="48"/>
    </row>
    <row r="211" spans="2:30" s="43" customFormat="1" ht="18.95" customHeight="1" thickBot="1" x14ac:dyDescent="0.35">
      <c r="B211" s="49"/>
      <c r="C211" s="68" t="s">
        <v>141</v>
      </c>
      <c r="D211" s="50">
        <f>SUM(START:END!E129)</f>
        <v>0</v>
      </c>
      <c r="E211" s="50">
        <f>SUM(START:END!F129)</f>
        <v>0</v>
      </c>
      <c r="F211" s="50">
        <f>SUM(START:END!G129)</f>
        <v>0</v>
      </c>
      <c r="G211" s="50">
        <f>SUM(START:END!H129)</f>
        <v>0</v>
      </c>
      <c r="H211" s="50">
        <f>SUM(START:END!I129)</f>
        <v>0</v>
      </c>
      <c r="I211" s="50">
        <f>SUM(START:END!J129)</f>
        <v>0</v>
      </c>
      <c r="J211" s="50">
        <f>SUM(START:END!K129)</f>
        <v>0</v>
      </c>
      <c r="K211" s="50">
        <f>SUM(START:END!L129)</f>
        <v>0</v>
      </c>
      <c r="L211" s="50">
        <f>SUM(START:END!M129)</f>
        <v>0</v>
      </c>
      <c r="M211" s="50">
        <f>SUM(START:END!N129)</f>
        <v>0</v>
      </c>
      <c r="N211" s="39" t="s">
        <v>141</v>
      </c>
      <c r="O211" s="50">
        <f>SUM(START:END!Q129)</f>
        <v>0</v>
      </c>
      <c r="P211" s="50">
        <f>SUM(START:END!R129)</f>
        <v>0</v>
      </c>
      <c r="Q211" s="50">
        <f>SUM(START:END!S129)</f>
        <v>0</v>
      </c>
      <c r="R211" s="50">
        <f>SUM(START:END!T129)</f>
        <v>0</v>
      </c>
      <c r="S211" s="50">
        <f>SUM(START:END!U129)</f>
        <v>0</v>
      </c>
      <c r="T211" s="50">
        <f>SUM(START:END!V129)</f>
        <v>0</v>
      </c>
      <c r="U211" s="50">
        <f>SUM(START:END!W129)</f>
        <v>0</v>
      </c>
      <c r="V211" s="49">
        <f>SUM(START:END!X129)</f>
        <v>1</v>
      </c>
      <c r="W211" s="50">
        <f>SUM(D211:V211)</f>
        <v>1</v>
      </c>
      <c r="X211" s="50"/>
      <c r="Y211" s="50">
        <f t="shared" si="9"/>
        <v>1</v>
      </c>
    </row>
    <row r="212" spans="2:30" s="43" customFormat="1" ht="18.95" customHeight="1" thickBot="1" x14ac:dyDescent="0.35">
      <c r="B212" s="49"/>
      <c r="C212" s="68" t="s">
        <v>148</v>
      </c>
      <c r="D212" s="49">
        <f>SUM(START:END!E130)</f>
        <v>0</v>
      </c>
      <c r="E212" s="49">
        <f>SUM(START:END!F130)</f>
        <v>0</v>
      </c>
      <c r="F212" s="49">
        <f>SUM(START:END!G130)</f>
        <v>0</v>
      </c>
      <c r="G212" s="49">
        <f>SUM(START:END!H130)</f>
        <v>0</v>
      </c>
      <c r="H212" s="49">
        <f>SUM(START:END!I130)</f>
        <v>0</v>
      </c>
      <c r="I212" s="49">
        <f>SUM(START:END!J130)</f>
        <v>0</v>
      </c>
      <c r="J212" s="49">
        <f>SUM(START:END!K130)</f>
        <v>0</v>
      </c>
      <c r="K212" s="49">
        <f>SUM(START:END!L130)</f>
        <v>0</v>
      </c>
      <c r="L212" s="49">
        <f>SUM(START:END!M130)</f>
        <v>0</v>
      </c>
      <c r="M212" s="49">
        <f>SUM(START:END!N130)</f>
        <v>0</v>
      </c>
      <c r="N212" s="39" t="s">
        <v>148</v>
      </c>
      <c r="O212" s="49">
        <f>SUM(START:END!Q130)</f>
        <v>0</v>
      </c>
      <c r="P212" s="49">
        <f>SUM(START:END!R130)</f>
        <v>0</v>
      </c>
      <c r="Q212" s="49">
        <f>SUM(START:END!S130)</f>
        <v>0</v>
      </c>
      <c r="R212" s="49">
        <f>SUM(START:END!T130)</f>
        <v>0</v>
      </c>
      <c r="S212" s="49">
        <f>SUM(START:END!U130)</f>
        <v>0</v>
      </c>
      <c r="T212" s="49">
        <f>SUM(START:END!V130)</f>
        <v>0</v>
      </c>
      <c r="U212" s="49">
        <f>SUM(START:END!W130)</f>
        <v>0</v>
      </c>
      <c r="V212" s="49">
        <f>SUM(START:END!X130)</f>
        <v>1</v>
      </c>
      <c r="W212" s="50">
        <f>SUM(D212:V212)</f>
        <v>1</v>
      </c>
      <c r="X212" s="50"/>
      <c r="Y212" s="50">
        <f t="shared" si="9"/>
        <v>1</v>
      </c>
    </row>
    <row r="213" spans="2:30" s="43" customFormat="1" ht="18.95" customHeight="1" thickBot="1" x14ac:dyDescent="0.35">
      <c r="B213" s="49"/>
      <c r="C213" s="68" t="s">
        <v>39</v>
      </c>
      <c r="D213" s="49">
        <f>SUM(START:END!E131)</f>
        <v>0</v>
      </c>
      <c r="E213" s="49">
        <f>SUM(START:END!F131)</f>
        <v>0</v>
      </c>
      <c r="F213" s="49">
        <f>SUM(START:END!G131)</f>
        <v>0</v>
      </c>
      <c r="G213" s="49">
        <f>SUM(START:END!H131)</f>
        <v>0</v>
      </c>
      <c r="H213" s="49">
        <f>SUM(START:END!I131)</f>
        <v>0</v>
      </c>
      <c r="I213" s="49">
        <f>SUM(START:END!J131)</f>
        <v>0</v>
      </c>
      <c r="J213" s="49">
        <f>SUM(START:END!K131)</f>
        <v>0</v>
      </c>
      <c r="K213" s="49">
        <f>SUM(START:END!L131)</f>
        <v>0</v>
      </c>
      <c r="L213" s="49">
        <f>SUM(START:END!M131)</f>
        <v>0</v>
      </c>
      <c r="M213" s="49">
        <f>SUM(START:END!N131)</f>
        <v>0</v>
      </c>
      <c r="N213" s="39" t="s">
        <v>39</v>
      </c>
      <c r="O213" s="49">
        <f>SUM(START:END!Q131)</f>
        <v>0</v>
      </c>
      <c r="P213" s="49">
        <f>SUM(START:END!R131)</f>
        <v>0</v>
      </c>
      <c r="Q213" s="49">
        <f>SUM(START:END!S131)</f>
        <v>0</v>
      </c>
      <c r="R213" s="49">
        <f>SUM(START:END!T131)</f>
        <v>0</v>
      </c>
      <c r="S213" s="49">
        <f>SUM(START:END!U131)</f>
        <v>0</v>
      </c>
      <c r="T213" s="49">
        <f>SUM(START:END!V131)</f>
        <v>0</v>
      </c>
      <c r="U213" s="49">
        <f>SUM(START:END!W131)</f>
        <v>0</v>
      </c>
      <c r="V213" s="49">
        <f>SUM(START:END!X131)</f>
        <v>1</v>
      </c>
      <c r="W213" s="50">
        <f>SUM(D213:V213)</f>
        <v>1</v>
      </c>
      <c r="X213" s="50"/>
      <c r="Y213" s="50">
        <f t="shared" si="9"/>
        <v>1</v>
      </c>
    </row>
    <row r="214" spans="2:30" ht="27" x14ac:dyDescent="0.3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N214"/>
      <c r="O214" s="13" t="s">
        <v>15</v>
      </c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2:30" ht="27" x14ac:dyDescent="0.3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N215"/>
      <c r="O215" s="13" t="s">
        <v>16</v>
      </c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2:30" ht="27" x14ac:dyDescent="0.3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N216"/>
      <c r="O216" s="13"/>
      <c r="P216" s="13" t="s">
        <v>169</v>
      </c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2:30" ht="27" x14ac:dyDescent="0.3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N217"/>
      <c r="O217" s="13" t="s">
        <v>164</v>
      </c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2:30" ht="27" x14ac:dyDescent="0.3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N218"/>
      <c r="O218" s="13" t="s">
        <v>17</v>
      </c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2:30" ht="27" x14ac:dyDescent="0.3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N219"/>
      <c r="O219" s="13" t="s">
        <v>167</v>
      </c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2:30" ht="27" x14ac:dyDescent="0.3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N220"/>
      <c r="O220" s="13" t="s">
        <v>168</v>
      </c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2:30" ht="27.75" x14ac:dyDescent="0.4"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N221"/>
      <c r="O221" s="13" t="s">
        <v>18</v>
      </c>
      <c r="P221" s="13"/>
      <c r="Q221" s="13"/>
      <c r="R221" s="13"/>
      <c r="S221" s="14" t="s">
        <v>19</v>
      </c>
      <c r="T221" s="13"/>
      <c r="U221" s="13"/>
      <c r="V221" s="13"/>
      <c r="W221" s="13"/>
      <c r="X221" s="13"/>
      <c r="Y221" s="13"/>
      <c r="Z221" s="13"/>
    </row>
    <row r="222" spans="2:30" ht="27.75" x14ac:dyDescent="0.4"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N222"/>
      <c r="O222" s="6" t="s">
        <v>20</v>
      </c>
      <c r="P222" s="20"/>
      <c r="Q222" s="6"/>
      <c r="R222" s="6"/>
      <c r="S222" s="14" t="s">
        <v>19</v>
      </c>
      <c r="T222" s="14"/>
      <c r="U222" s="14"/>
      <c r="V222" s="14"/>
      <c r="W222" s="14"/>
      <c r="X222" s="14"/>
      <c r="Y222" s="14"/>
      <c r="Z222" s="14"/>
    </row>
    <row r="223" spans="2:30" ht="27.75" x14ac:dyDescent="0.4"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N223"/>
      <c r="O223" s="15" t="s">
        <v>37</v>
      </c>
      <c r="P223" s="20"/>
      <c r="Q223" s="6"/>
      <c r="R223" s="6"/>
      <c r="S223" s="14" t="s">
        <v>19</v>
      </c>
      <c r="T223" s="14"/>
      <c r="U223" s="14"/>
      <c r="V223" s="14"/>
      <c r="W223" s="14"/>
      <c r="X223" s="14"/>
      <c r="Y223" s="14"/>
      <c r="Z223" s="14"/>
    </row>
    <row r="224" spans="2:30" ht="27.75" x14ac:dyDescent="0.4"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N224"/>
      <c r="O224" s="14"/>
      <c r="P224" s="20"/>
      <c r="Q224" s="6"/>
      <c r="R224" s="6"/>
      <c r="S224" s="6"/>
      <c r="T224" s="15" t="s">
        <v>21</v>
      </c>
      <c r="U224" s="14"/>
      <c r="V224" s="14"/>
      <c r="W224" s="14"/>
      <c r="X224" s="14"/>
      <c r="Y224" s="14"/>
      <c r="Z224" s="14"/>
      <c r="AA224" s="14"/>
    </row>
    <row r="225" spans="2:27" ht="27.75" x14ac:dyDescent="0.4">
      <c r="B225" s="1"/>
      <c r="C225" s="1"/>
      <c r="D225" s="2"/>
      <c r="E225" s="1"/>
      <c r="F225" s="1"/>
      <c r="G225" s="1"/>
      <c r="H225" s="1"/>
      <c r="I225" s="1"/>
      <c r="J225" s="1"/>
      <c r="K225" s="1"/>
      <c r="N225" s="14"/>
      <c r="O225" s="6"/>
      <c r="P225" s="6"/>
      <c r="Q225" s="6"/>
      <c r="R225" s="15"/>
      <c r="S225" s="14"/>
      <c r="T225" s="14"/>
      <c r="U225" s="14"/>
      <c r="V225" s="14"/>
      <c r="W225" s="14"/>
      <c r="X225" s="14"/>
      <c r="Y225" s="14"/>
    </row>
    <row r="226" spans="2:27" ht="27" x14ac:dyDescent="0.35">
      <c r="B226" s="1" t="s">
        <v>22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N226" s="1" t="s">
        <v>163</v>
      </c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2:27" ht="27" x14ac:dyDescent="0.35">
      <c r="B227" s="1" t="s">
        <v>43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N227" s="1" t="s">
        <v>43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2:27" ht="47.25" x14ac:dyDescent="0.25">
      <c r="B228" s="91" t="s">
        <v>36</v>
      </c>
      <c r="C228" s="24">
        <v>1317</v>
      </c>
      <c r="D228" s="4"/>
      <c r="E228" s="4"/>
      <c r="F228" s="4"/>
      <c r="G228" s="4"/>
      <c r="H228" s="4"/>
      <c r="I228" s="4"/>
      <c r="J228" s="4"/>
      <c r="K228" s="4"/>
      <c r="L228" s="4"/>
      <c r="M228" s="3"/>
      <c r="N228" s="24"/>
      <c r="O228" s="4"/>
      <c r="P228" s="19"/>
      <c r="Q228" s="4"/>
      <c r="R228" s="4"/>
      <c r="S228" s="4"/>
      <c r="T228" s="4"/>
      <c r="U228" s="4"/>
      <c r="V228" s="4"/>
      <c r="W228" s="4"/>
      <c r="X228" s="4"/>
      <c r="Y228" s="5"/>
      <c r="Z228" s="5"/>
      <c r="AA228" s="5"/>
    </row>
    <row r="229" spans="2:27" ht="15.75" x14ac:dyDescent="0.25">
      <c r="B229" s="4" t="s">
        <v>35</v>
      </c>
      <c r="C229" s="4">
        <v>1808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9"/>
      <c r="R229" s="4"/>
      <c r="S229" s="4"/>
      <c r="T229" s="4"/>
      <c r="U229" s="4"/>
      <c r="V229" s="4"/>
      <c r="W229" s="4"/>
      <c r="X229" s="4"/>
      <c r="Y229" s="5"/>
      <c r="Z229" s="5"/>
      <c r="AA229" s="5"/>
    </row>
    <row r="230" spans="2:27" ht="16.5" thickBot="1" x14ac:dyDescent="0.3">
      <c r="B230" s="4" t="s">
        <v>34</v>
      </c>
      <c r="C230" s="23">
        <v>0.73</v>
      </c>
      <c r="D230" s="4"/>
      <c r="E230" s="4"/>
      <c r="M230" s="4"/>
      <c r="N230" s="23"/>
      <c r="Y230" s="5"/>
      <c r="Z230" s="5"/>
      <c r="AA230" s="5"/>
    </row>
    <row r="231" spans="2:27" s="88" customFormat="1" ht="145.5" thickBot="1" x14ac:dyDescent="0.35">
      <c r="B231" s="93" t="s">
        <v>0</v>
      </c>
      <c r="C231" s="93" t="s">
        <v>1</v>
      </c>
      <c r="D231" s="94" t="s">
        <v>3</v>
      </c>
      <c r="E231" s="94" t="s">
        <v>4</v>
      </c>
      <c r="F231" s="94" t="s">
        <v>5</v>
      </c>
      <c r="G231" s="94" t="s">
        <v>6</v>
      </c>
      <c r="H231" s="94" t="s">
        <v>7</v>
      </c>
      <c r="I231" s="94" t="s">
        <v>23</v>
      </c>
      <c r="J231" s="94" t="s">
        <v>24</v>
      </c>
      <c r="K231" s="94" t="s">
        <v>25</v>
      </c>
      <c r="L231" s="95" t="s">
        <v>26</v>
      </c>
      <c r="M231" s="94" t="s">
        <v>27</v>
      </c>
      <c r="N231" s="96" t="s">
        <v>1</v>
      </c>
      <c r="O231" s="94" t="s">
        <v>28</v>
      </c>
      <c r="P231" s="94" t="s">
        <v>8</v>
      </c>
      <c r="Q231" s="94" t="s">
        <v>9</v>
      </c>
      <c r="R231" s="94" t="s">
        <v>10</v>
      </c>
      <c r="S231" s="94" t="s">
        <v>29</v>
      </c>
      <c r="T231" s="94" t="s">
        <v>11</v>
      </c>
      <c r="U231" s="94" t="s">
        <v>12</v>
      </c>
      <c r="V231" s="94" t="s">
        <v>13</v>
      </c>
      <c r="W231" s="94" t="s">
        <v>14</v>
      </c>
      <c r="X231" s="94" t="s">
        <v>166</v>
      </c>
      <c r="Y231" s="94" t="s">
        <v>14</v>
      </c>
    </row>
    <row r="232" spans="2:27" s="43" customFormat="1" ht="18.95" customHeight="1" thickBot="1" x14ac:dyDescent="0.35">
      <c r="B232" s="44" t="s">
        <v>32</v>
      </c>
      <c r="C232" s="83"/>
      <c r="D232" s="45"/>
      <c r="E232" s="45"/>
      <c r="F232" s="45"/>
      <c r="G232" s="45"/>
      <c r="H232" s="45"/>
      <c r="I232" s="45"/>
      <c r="J232" s="45"/>
      <c r="K232" s="45"/>
      <c r="L232" s="45"/>
      <c r="M232" s="46"/>
      <c r="N232" s="74" t="s">
        <v>32</v>
      </c>
      <c r="O232" s="47"/>
      <c r="P232" s="45"/>
      <c r="Q232" s="47"/>
      <c r="R232" s="45"/>
      <c r="S232" s="45"/>
      <c r="T232" s="45"/>
      <c r="U232" s="45"/>
      <c r="V232" s="45"/>
      <c r="W232" s="52"/>
      <c r="X232" s="52"/>
      <c r="Y232" s="52"/>
    </row>
    <row r="233" spans="2:27" s="43" customFormat="1" ht="18.95" customHeight="1" thickBot="1" x14ac:dyDescent="0.35">
      <c r="B233" s="44" t="s">
        <v>149</v>
      </c>
      <c r="C233" s="83"/>
      <c r="D233" s="45"/>
      <c r="E233" s="45"/>
      <c r="F233" s="45"/>
      <c r="G233" s="45"/>
      <c r="H233" s="45"/>
      <c r="I233" s="45"/>
      <c r="J233" s="45"/>
      <c r="K233" s="45"/>
      <c r="L233" s="45"/>
      <c r="M233" s="46"/>
      <c r="N233" s="74" t="s">
        <v>149</v>
      </c>
      <c r="O233" s="47"/>
      <c r="P233" s="45"/>
      <c r="Q233" s="47"/>
      <c r="R233" s="45"/>
      <c r="S233" s="45"/>
      <c r="T233" s="45"/>
      <c r="U233" s="45"/>
      <c r="V233" s="45"/>
      <c r="W233" s="48"/>
      <c r="X233" s="48"/>
      <c r="Y233" s="48"/>
    </row>
    <row r="234" spans="2:27" s="43" customFormat="1" ht="18.95" customHeight="1" thickBot="1" x14ac:dyDescent="0.35">
      <c r="B234" s="49"/>
      <c r="C234" s="68" t="s">
        <v>48</v>
      </c>
      <c r="D234" s="50">
        <f>SUM(START:END!E139)</f>
        <v>1</v>
      </c>
      <c r="E234" s="50">
        <f>SUM(START:END!F139)</f>
        <v>0</v>
      </c>
      <c r="F234" s="50">
        <f>SUM(START:END!G139)</f>
        <v>0</v>
      </c>
      <c r="G234" s="50">
        <f>SUM(START:END!H139)</f>
        <v>0</v>
      </c>
      <c r="H234" s="50">
        <f>SUM(START:END!I139)</f>
        <v>0</v>
      </c>
      <c r="I234" s="50">
        <f>SUM(START:END!J139)</f>
        <v>0</v>
      </c>
      <c r="J234" s="50">
        <f>SUM(START:END!K139)</f>
        <v>0</v>
      </c>
      <c r="K234" s="50">
        <f>SUM(START:END!L139)</f>
        <v>0</v>
      </c>
      <c r="L234" s="50">
        <f>SUM(START:END!M139)</f>
        <v>0</v>
      </c>
      <c r="M234" s="50">
        <f>SUM(START:END!N139)</f>
        <v>0</v>
      </c>
      <c r="N234" s="39" t="s">
        <v>48</v>
      </c>
      <c r="O234" s="50">
        <f>SUM(START:END!Q139)</f>
        <v>0</v>
      </c>
      <c r="P234" s="50">
        <f>SUM(START:END!R139)</f>
        <v>0</v>
      </c>
      <c r="Q234" s="50">
        <f>SUM(START:END!S139)</f>
        <v>0</v>
      </c>
      <c r="R234" s="50">
        <f>SUM(START:END!T139)</f>
        <v>0</v>
      </c>
      <c r="S234" s="50">
        <f>SUM(START:END!U139)</f>
        <v>0</v>
      </c>
      <c r="T234" s="50">
        <f>SUM(START:END!V139)</f>
        <v>0</v>
      </c>
      <c r="U234" s="50">
        <f>SUM(START:END!W139)</f>
        <v>0</v>
      </c>
      <c r="V234" s="50">
        <f>SUM(START:END!X139)</f>
        <v>0</v>
      </c>
      <c r="W234" s="50">
        <f>SUM(D234:V234)</f>
        <v>1</v>
      </c>
      <c r="X234" s="50"/>
      <c r="Y234" s="50">
        <f>SUM(W234:X234)</f>
        <v>1</v>
      </c>
    </row>
    <row r="235" spans="2:27" s="43" customFormat="1" ht="18.95" customHeight="1" thickBot="1" x14ac:dyDescent="0.35">
      <c r="B235" s="44" t="s">
        <v>150</v>
      </c>
      <c r="C235" s="83"/>
      <c r="D235" s="45"/>
      <c r="E235" s="45"/>
      <c r="F235" s="45"/>
      <c r="G235" s="45"/>
      <c r="H235" s="45"/>
      <c r="I235" s="45"/>
      <c r="J235" s="45"/>
      <c r="K235" s="45"/>
      <c r="L235" s="45"/>
      <c r="M235" s="46"/>
      <c r="N235" s="74" t="s">
        <v>150</v>
      </c>
      <c r="O235" s="45"/>
      <c r="P235" s="45"/>
      <c r="Q235" s="45"/>
      <c r="R235" s="45"/>
      <c r="S235" s="45"/>
      <c r="T235" s="45"/>
      <c r="U235" s="45"/>
      <c r="V235" s="45"/>
      <c r="W235" s="48"/>
      <c r="X235" s="48"/>
      <c r="Y235" s="48"/>
    </row>
    <row r="236" spans="2:27" s="43" customFormat="1" ht="18.95" customHeight="1" thickBot="1" x14ac:dyDescent="0.35">
      <c r="B236" s="49"/>
      <c r="C236" s="68" t="s">
        <v>52</v>
      </c>
      <c r="D236" s="50">
        <f>SUM(START:END!E141)</f>
        <v>0</v>
      </c>
      <c r="E236" s="50">
        <f>SUM(START:END!F141)</f>
        <v>4</v>
      </c>
      <c r="F236" s="50">
        <f>SUM(START:END!G141)</f>
        <v>0</v>
      </c>
      <c r="G236" s="50">
        <f>SUM(START:END!H141)</f>
        <v>0</v>
      </c>
      <c r="H236" s="50">
        <f>SUM(START:END!I141)</f>
        <v>0</v>
      </c>
      <c r="I236" s="50">
        <f>SUM(START:END!J141)</f>
        <v>0</v>
      </c>
      <c r="J236" s="50">
        <f>SUM(START:END!K141)</f>
        <v>0</v>
      </c>
      <c r="K236" s="50">
        <f>SUM(START:END!L141)</f>
        <v>0</v>
      </c>
      <c r="L236" s="50">
        <f>SUM(START:END!M141)</f>
        <v>0</v>
      </c>
      <c r="M236" s="50">
        <f>SUM(START:END!N141)</f>
        <v>0</v>
      </c>
      <c r="N236" s="39" t="s">
        <v>52</v>
      </c>
      <c r="O236" s="50">
        <f>SUM(START:END!Q141)</f>
        <v>0</v>
      </c>
      <c r="P236" s="50">
        <f>SUM(START:END!R141)</f>
        <v>0</v>
      </c>
      <c r="Q236" s="50">
        <f>SUM(START:END!S141)</f>
        <v>0</v>
      </c>
      <c r="R236" s="50">
        <f>SUM(START:END!T141)</f>
        <v>0</v>
      </c>
      <c r="S236" s="50">
        <f>SUM(START:END!U141)</f>
        <v>0</v>
      </c>
      <c r="T236" s="50">
        <f>SUM(START:END!V141)</f>
        <v>0</v>
      </c>
      <c r="U236" s="50">
        <f>SUM(START:END!W141)</f>
        <v>0</v>
      </c>
      <c r="V236" s="50">
        <f>SUM(START:END!X141)</f>
        <v>0</v>
      </c>
      <c r="W236" s="50">
        <f>SUM(D236:V236)</f>
        <v>4</v>
      </c>
      <c r="X236" s="50"/>
      <c r="Y236" s="50">
        <f t="shared" ref="Y236:Y251" si="10">SUM(W236:X236)</f>
        <v>4</v>
      </c>
    </row>
    <row r="237" spans="2:27" s="43" customFormat="1" ht="18.95" customHeight="1" thickBot="1" x14ac:dyDescent="0.35">
      <c r="B237" s="44" t="s">
        <v>155</v>
      </c>
      <c r="C237" s="83"/>
      <c r="D237" s="45"/>
      <c r="E237" s="45"/>
      <c r="F237" s="45"/>
      <c r="G237" s="45"/>
      <c r="H237" s="45"/>
      <c r="I237" s="45"/>
      <c r="J237" s="45"/>
      <c r="K237" s="45"/>
      <c r="L237" s="45"/>
      <c r="M237" s="46"/>
      <c r="N237" s="74" t="s">
        <v>155</v>
      </c>
      <c r="O237" s="45"/>
      <c r="P237" s="45"/>
      <c r="Q237" s="45"/>
      <c r="R237" s="45"/>
      <c r="S237" s="45"/>
      <c r="T237" s="45"/>
      <c r="U237" s="45"/>
      <c r="V237" s="45"/>
      <c r="W237" s="48"/>
      <c r="X237" s="48"/>
      <c r="Y237" s="48"/>
    </row>
    <row r="238" spans="2:27" s="43" customFormat="1" ht="18.95" customHeight="1" thickBot="1" x14ac:dyDescent="0.35">
      <c r="B238" s="49"/>
      <c r="C238" s="68" t="s">
        <v>131</v>
      </c>
      <c r="D238" s="49">
        <f>SUM(START:END!E143)</f>
        <v>0</v>
      </c>
      <c r="E238" s="49">
        <f>SUM(START:END!F143)</f>
        <v>0</v>
      </c>
      <c r="F238" s="49">
        <f>SUM(START:END!G143)</f>
        <v>0</v>
      </c>
      <c r="G238" s="49">
        <f>SUM(START:END!H143)</f>
        <v>0</v>
      </c>
      <c r="H238" s="49">
        <f>SUM(START:END!I143)</f>
        <v>0</v>
      </c>
      <c r="I238" s="49">
        <f>SUM(START:END!J143)</f>
        <v>0</v>
      </c>
      <c r="J238" s="49">
        <f>SUM(START:END!K143)</f>
        <v>0</v>
      </c>
      <c r="K238" s="49">
        <f>SUM(START:END!L143)</f>
        <v>0</v>
      </c>
      <c r="L238" s="49">
        <f>SUM(START:END!M143)</f>
        <v>0</v>
      </c>
      <c r="M238" s="50">
        <f>SUM(START:END!N143)</f>
        <v>0</v>
      </c>
      <c r="N238" s="39" t="s">
        <v>131</v>
      </c>
      <c r="O238" s="49">
        <f>SUM(START:END!Q143)</f>
        <v>0</v>
      </c>
      <c r="P238" s="49">
        <f>SUM(START:END!R143)</f>
        <v>2</v>
      </c>
      <c r="Q238" s="49">
        <f>SUM(START:END!S143)</f>
        <v>0</v>
      </c>
      <c r="R238" s="49">
        <f>SUM(START:END!T143)</f>
        <v>0</v>
      </c>
      <c r="S238" s="49">
        <f>SUM(START:END!U143)</f>
        <v>0</v>
      </c>
      <c r="T238" s="49">
        <f>SUM(START:END!V143)</f>
        <v>0</v>
      </c>
      <c r="U238" s="49">
        <f>SUM(START:END!W143)</f>
        <v>0</v>
      </c>
      <c r="V238" s="49">
        <f>SUM(START:END!X143)</f>
        <v>0</v>
      </c>
      <c r="W238" s="50">
        <f>SUM(D238:V238)</f>
        <v>2</v>
      </c>
      <c r="X238" s="50"/>
      <c r="Y238" s="50">
        <f t="shared" si="10"/>
        <v>2</v>
      </c>
    </row>
    <row r="239" spans="2:27" s="43" customFormat="1" ht="18.95" customHeight="1" thickBot="1" x14ac:dyDescent="0.35">
      <c r="B239" s="49"/>
      <c r="C239" s="68" t="s">
        <v>129</v>
      </c>
      <c r="D239" s="49">
        <f>SUM(START:END!E144)</f>
        <v>0</v>
      </c>
      <c r="E239" s="49">
        <f>SUM(START:END!F144)</f>
        <v>0</v>
      </c>
      <c r="F239" s="49">
        <f>SUM(START:END!G144)</f>
        <v>0</v>
      </c>
      <c r="G239" s="49">
        <f>SUM(START:END!H144)</f>
        <v>0</v>
      </c>
      <c r="H239" s="49">
        <f>SUM(START:END!I144)</f>
        <v>0</v>
      </c>
      <c r="I239" s="49">
        <f>SUM(START:END!J144)</f>
        <v>0</v>
      </c>
      <c r="J239" s="49">
        <f>SUM(START:END!K144)</f>
        <v>0</v>
      </c>
      <c r="K239" s="49">
        <f>SUM(START:END!L144)</f>
        <v>0</v>
      </c>
      <c r="L239" s="49">
        <f>SUM(START:END!M144)</f>
        <v>0</v>
      </c>
      <c r="M239" s="50">
        <f>SUM(START:END!N144)</f>
        <v>0</v>
      </c>
      <c r="N239" s="39" t="s">
        <v>129</v>
      </c>
      <c r="O239" s="49">
        <f>SUM(START:END!Q144)</f>
        <v>0</v>
      </c>
      <c r="P239" s="49">
        <f>SUM(START:END!R144)</f>
        <v>1</v>
      </c>
      <c r="Q239" s="49">
        <f>SUM(START:END!S144)</f>
        <v>0</v>
      </c>
      <c r="R239" s="49">
        <f>SUM(START:END!T144)</f>
        <v>0</v>
      </c>
      <c r="S239" s="49">
        <f>SUM(START:END!U144)</f>
        <v>0</v>
      </c>
      <c r="T239" s="49">
        <f>SUM(START:END!V144)</f>
        <v>0</v>
      </c>
      <c r="U239" s="49">
        <f>SUM(START:END!W144)</f>
        <v>0</v>
      </c>
      <c r="V239" s="49">
        <f>SUM(START:END!X144)</f>
        <v>0</v>
      </c>
      <c r="W239" s="50">
        <f>SUM(D239:V239)</f>
        <v>1</v>
      </c>
      <c r="X239" s="50"/>
      <c r="Y239" s="50">
        <f t="shared" si="10"/>
        <v>1</v>
      </c>
    </row>
    <row r="240" spans="2:27" s="43" customFormat="1" ht="18.95" customHeight="1" thickBot="1" x14ac:dyDescent="0.35">
      <c r="B240" s="49"/>
      <c r="C240" s="68" t="s">
        <v>130</v>
      </c>
      <c r="D240" s="49">
        <f>SUM(START:END!E145)</f>
        <v>0</v>
      </c>
      <c r="E240" s="49">
        <f>SUM(START:END!F145)</f>
        <v>0</v>
      </c>
      <c r="F240" s="49">
        <f>SUM(START:END!G145)</f>
        <v>0</v>
      </c>
      <c r="G240" s="49">
        <f>SUM(START:END!H145)</f>
        <v>0</v>
      </c>
      <c r="H240" s="49">
        <f>SUM(START:END!I145)</f>
        <v>0</v>
      </c>
      <c r="I240" s="49">
        <f>SUM(START:END!J145)</f>
        <v>0</v>
      </c>
      <c r="J240" s="49">
        <f>SUM(START:END!K145)</f>
        <v>0</v>
      </c>
      <c r="K240" s="49">
        <f>SUM(START:END!L145)</f>
        <v>0</v>
      </c>
      <c r="L240" s="49">
        <f>SUM(START:END!M145)</f>
        <v>0</v>
      </c>
      <c r="M240" s="50">
        <f>SUM(START:END!N145)</f>
        <v>0</v>
      </c>
      <c r="N240" s="39" t="s">
        <v>130</v>
      </c>
      <c r="O240" s="49">
        <f>SUM(START:END!Q145)</f>
        <v>0</v>
      </c>
      <c r="P240" s="49">
        <f>SUM(START:END!R145)</f>
        <v>2</v>
      </c>
      <c r="Q240" s="49">
        <f>SUM(START:END!S145)</f>
        <v>0</v>
      </c>
      <c r="R240" s="49">
        <f>SUM(START:END!T145)</f>
        <v>0</v>
      </c>
      <c r="S240" s="49">
        <f>SUM(START:END!U145)</f>
        <v>0</v>
      </c>
      <c r="T240" s="49">
        <f>SUM(START:END!V145)</f>
        <v>0</v>
      </c>
      <c r="U240" s="49">
        <f>SUM(START:END!W145)</f>
        <v>0</v>
      </c>
      <c r="V240" s="49">
        <f>SUM(START:END!X145)</f>
        <v>0</v>
      </c>
      <c r="W240" s="50">
        <f>SUM(D240:V240)</f>
        <v>2</v>
      </c>
      <c r="X240" s="50"/>
      <c r="Y240" s="50">
        <f t="shared" si="10"/>
        <v>2</v>
      </c>
    </row>
    <row r="241" spans="2:26" s="43" customFormat="1" ht="18.95" customHeight="1" thickBot="1" x14ac:dyDescent="0.35">
      <c r="B241" s="44" t="s">
        <v>156</v>
      </c>
      <c r="C241" s="83"/>
      <c r="D241" s="45"/>
      <c r="E241" s="45"/>
      <c r="F241" s="45"/>
      <c r="G241" s="45"/>
      <c r="H241" s="45"/>
      <c r="I241" s="45"/>
      <c r="J241" s="45"/>
      <c r="K241" s="45"/>
      <c r="L241" s="45"/>
      <c r="M241" s="46"/>
      <c r="N241" s="74" t="s">
        <v>156</v>
      </c>
      <c r="O241" s="45"/>
      <c r="P241" s="45"/>
      <c r="Q241" s="45"/>
      <c r="R241" s="45"/>
      <c r="S241" s="45"/>
      <c r="T241" s="45"/>
      <c r="U241" s="45"/>
      <c r="V241" s="45"/>
      <c r="W241" s="48"/>
      <c r="X241" s="48"/>
      <c r="Y241" s="48"/>
    </row>
    <row r="242" spans="2:26" s="43" customFormat="1" ht="18.95" customHeight="1" thickBot="1" x14ac:dyDescent="0.35">
      <c r="B242" s="49"/>
      <c r="C242" s="68" t="s">
        <v>135</v>
      </c>
      <c r="D242" s="49">
        <f>SUM(START:END!E147)</f>
        <v>0</v>
      </c>
      <c r="E242" s="49">
        <f>SUM(START:END!F147)</f>
        <v>0</v>
      </c>
      <c r="F242" s="49">
        <f>SUM(START:END!G147)</f>
        <v>0</v>
      </c>
      <c r="G242" s="49">
        <f>SUM(START:END!H147)</f>
        <v>0</v>
      </c>
      <c r="H242" s="49">
        <f>SUM(START:END!I147)</f>
        <v>0</v>
      </c>
      <c r="I242" s="49">
        <f>SUM(START:END!J147)</f>
        <v>0</v>
      </c>
      <c r="J242" s="49">
        <f>SUM(START:END!K147)</f>
        <v>0</v>
      </c>
      <c r="K242" s="49">
        <f>SUM(START:END!L147)</f>
        <v>0</v>
      </c>
      <c r="L242" s="49">
        <f>SUM(START:END!M147)</f>
        <v>0</v>
      </c>
      <c r="M242" s="50">
        <f>SUM(START:END!N147)</f>
        <v>0</v>
      </c>
      <c r="N242" s="39" t="s">
        <v>135</v>
      </c>
      <c r="O242" s="49">
        <f>SUM(START:END!Q147)</f>
        <v>0</v>
      </c>
      <c r="P242" s="49">
        <f>SUM(START:END!R147)</f>
        <v>0</v>
      </c>
      <c r="Q242" s="49">
        <f>SUM(START:END!S147)</f>
        <v>1</v>
      </c>
      <c r="R242" s="49">
        <f>SUM(START:END!T147)</f>
        <v>0</v>
      </c>
      <c r="S242" s="49">
        <f>SUM(START:END!U147)</f>
        <v>0</v>
      </c>
      <c r="T242" s="49">
        <f>SUM(START:END!V147)</f>
        <v>0</v>
      </c>
      <c r="U242" s="49">
        <f>SUM(START:END!W147)</f>
        <v>0</v>
      </c>
      <c r="V242" s="49">
        <f>SUM(START:END!X147)</f>
        <v>0</v>
      </c>
      <c r="W242" s="50">
        <f>SUM(D242:V242)</f>
        <v>1</v>
      </c>
      <c r="X242" s="50"/>
      <c r="Y242" s="50">
        <f t="shared" si="10"/>
        <v>1</v>
      </c>
    </row>
    <row r="243" spans="2:26" s="43" customFormat="1" ht="18.95" customHeight="1" thickBot="1" x14ac:dyDescent="0.35">
      <c r="B243" s="44" t="s">
        <v>157</v>
      </c>
      <c r="C243" s="83"/>
      <c r="D243" s="45"/>
      <c r="E243" s="45"/>
      <c r="F243" s="45"/>
      <c r="G243" s="45"/>
      <c r="H243" s="45"/>
      <c r="I243" s="45"/>
      <c r="J243" s="45"/>
      <c r="K243" s="45"/>
      <c r="L243" s="45"/>
      <c r="M243" s="46"/>
      <c r="N243" s="74" t="s">
        <v>157</v>
      </c>
      <c r="O243" s="45"/>
      <c r="P243" s="45"/>
      <c r="Q243" s="45"/>
      <c r="R243" s="45"/>
      <c r="S243" s="45"/>
      <c r="T243" s="45"/>
      <c r="U243" s="45"/>
      <c r="V243" s="45"/>
      <c r="W243" s="48"/>
      <c r="X243" s="48"/>
      <c r="Y243" s="48"/>
    </row>
    <row r="244" spans="2:26" s="43" customFormat="1" ht="18.95" customHeight="1" thickBot="1" x14ac:dyDescent="0.35">
      <c r="B244" s="49"/>
      <c r="C244" s="68" t="s">
        <v>137</v>
      </c>
      <c r="D244" s="49">
        <f>SUM(START:END!E149)</f>
        <v>0</v>
      </c>
      <c r="E244" s="49">
        <f>SUM(START:END!F149)</f>
        <v>0</v>
      </c>
      <c r="F244" s="49">
        <f>SUM(START:END!G149)</f>
        <v>0</v>
      </c>
      <c r="G244" s="49">
        <f>SUM(START:END!H149)</f>
        <v>0</v>
      </c>
      <c r="H244" s="49">
        <f>SUM(START:END!I149)</f>
        <v>0</v>
      </c>
      <c r="I244" s="49">
        <f>SUM(START:END!J149)</f>
        <v>0</v>
      </c>
      <c r="J244" s="49">
        <f>SUM(START:END!K149)</f>
        <v>0</v>
      </c>
      <c r="K244" s="49">
        <f>SUM(START:END!L149)</f>
        <v>0</v>
      </c>
      <c r="L244" s="49">
        <f>SUM(START:END!M149)</f>
        <v>0</v>
      </c>
      <c r="M244" s="50">
        <f>SUM(START:END!N149)</f>
        <v>0</v>
      </c>
      <c r="N244" s="39" t="s">
        <v>137</v>
      </c>
      <c r="O244" s="49">
        <f>SUM(START:END!Q149)</f>
        <v>0</v>
      </c>
      <c r="P244" s="49">
        <f>SUM(START:END!R149)</f>
        <v>0</v>
      </c>
      <c r="Q244" s="49">
        <f>SUM(START:END!S149)</f>
        <v>0</v>
      </c>
      <c r="R244" s="49">
        <f>SUM(START:END!T149)</f>
        <v>1</v>
      </c>
      <c r="S244" s="49">
        <f>SUM(START:END!U149)</f>
        <v>0</v>
      </c>
      <c r="T244" s="49">
        <f>SUM(START:END!V149)</f>
        <v>0</v>
      </c>
      <c r="U244" s="49">
        <f>SUM(START:END!W149)</f>
        <v>0</v>
      </c>
      <c r="V244" s="49">
        <f>SUM(START:END!X149)</f>
        <v>0</v>
      </c>
      <c r="W244" s="50">
        <f>SUM(D244:V244)</f>
        <v>1</v>
      </c>
      <c r="X244" s="50"/>
      <c r="Y244" s="50">
        <f t="shared" si="10"/>
        <v>1</v>
      </c>
    </row>
    <row r="245" spans="2:26" s="43" customFormat="1" ht="18.95" customHeight="1" thickBot="1" x14ac:dyDescent="0.35">
      <c r="B245" s="49"/>
      <c r="C245" s="68" t="s">
        <v>136</v>
      </c>
      <c r="D245" s="49">
        <f>SUM(START:END!E150)</f>
        <v>0</v>
      </c>
      <c r="E245" s="49">
        <f>SUM(START:END!F150)</f>
        <v>0</v>
      </c>
      <c r="F245" s="49">
        <f>SUM(START:END!G150)</f>
        <v>0</v>
      </c>
      <c r="G245" s="49">
        <f>SUM(START:END!H150)</f>
        <v>0</v>
      </c>
      <c r="H245" s="49">
        <f>SUM(START:END!I150)</f>
        <v>0</v>
      </c>
      <c r="I245" s="49">
        <f>SUM(START:END!J150)</f>
        <v>0</v>
      </c>
      <c r="J245" s="49">
        <f>SUM(START:END!K150)</f>
        <v>0</v>
      </c>
      <c r="K245" s="49">
        <f>SUM(START:END!L150)</f>
        <v>0</v>
      </c>
      <c r="L245" s="49">
        <f>SUM(START:END!M150)</f>
        <v>0</v>
      </c>
      <c r="M245" s="50">
        <f>SUM(START:END!N150)</f>
        <v>0</v>
      </c>
      <c r="N245" s="39" t="s">
        <v>136</v>
      </c>
      <c r="O245" s="49">
        <f>SUM(START:END!Q150)</f>
        <v>0</v>
      </c>
      <c r="P245" s="49">
        <f>SUM(START:END!R150)</f>
        <v>0</v>
      </c>
      <c r="Q245" s="49">
        <f>SUM(START:END!S150)</f>
        <v>0</v>
      </c>
      <c r="R245" s="49">
        <f>SUM(START:END!T150)</f>
        <v>1</v>
      </c>
      <c r="S245" s="49">
        <f>SUM(START:END!U150)</f>
        <v>0</v>
      </c>
      <c r="T245" s="49">
        <f>SUM(START:END!V150)</f>
        <v>0</v>
      </c>
      <c r="U245" s="49">
        <f>SUM(START:END!W150)</f>
        <v>0</v>
      </c>
      <c r="V245" s="49">
        <f>SUM(START:END!X150)</f>
        <v>0</v>
      </c>
      <c r="W245" s="50">
        <f>SUM(D245:V245)</f>
        <v>1</v>
      </c>
      <c r="X245" s="50"/>
      <c r="Y245" s="50">
        <f t="shared" si="10"/>
        <v>1</v>
      </c>
    </row>
    <row r="246" spans="2:26" s="43" customFormat="1" ht="18.95" customHeight="1" thickBot="1" x14ac:dyDescent="0.35">
      <c r="B246" s="44" t="s">
        <v>152</v>
      </c>
      <c r="C246" s="83"/>
      <c r="D246" s="45"/>
      <c r="E246" s="45"/>
      <c r="F246" s="45"/>
      <c r="G246" s="45"/>
      <c r="H246" s="45"/>
      <c r="I246" s="45"/>
      <c r="J246" s="45"/>
      <c r="K246" s="45"/>
      <c r="L246" s="45"/>
      <c r="M246" s="46"/>
      <c r="N246" s="74" t="s">
        <v>152</v>
      </c>
      <c r="O246" s="45"/>
      <c r="P246" s="45"/>
      <c r="Q246" s="45"/>
      <c r="R246" s="45"/>
      <c r="S246" s="45"/>
      <c r="T246" s="45"/>
      <c r="U246" s="45"/>
      <c r="V246" s="45"/>
      <c r="W246" s="48"/>
      <c r="X246" s="48"/>
      <c r="Y246" s="48"/>
    </row>
    <row r="247" spans="2:26" s="43" customFormat="1" ht="18.95" customHeight="1" thickBot="1" x14ac:dyDescent="0.35">
      <c r="B247" s="49"/>
      <c r="C247" s="68" t="s">
        <v>96</v>
      </c>
      <c r="D247" s="64">
        <f>SUM(START:END!E152)</f>
        <v>0</v>
      </c>
      <c r="E247" s="64">
        <f>SUM(START:END!F152)</f>
        <v>0</v>
      </c>
      <c r="F247" s="64">
        <f>SUM(START:END!G152)</f>
        <v>0</v>
      </c>
      <c r="G247" s="64">
        <f>SUM(START:END!H152)</f>
        <v>0</v>
      </c>
      <c r="H247" s="64">
        <f>SUM(START:END!I152)</f>
        <v>0</v>
      </c>
      <c r="I247" s="64">
        <f>SUM(START:END!J152)</f>
        <v>0</v>
      </c>
      <c r="J247" s="64">
        <f>SUM(START:END!K152)</f>
        <v>0</v>
      </c>
      <c r="K247" s="64">
        <f>SUM(START:END!L152)</f>
        <v>0</v>
      </c>
      <c r="L247" s="64">
        <f>SUM(START:END!M152)</f>
        <v>0</v>
      </c>
      <c r="M247" s="50">
        <f>SUM(START:END!N152)</f>
        <v>0</v>
      </c>
      <c r="N247" s="39" t="s">
        <v>96</v>
      </c>
      <c r="O247" s="64">
        <f>SUM(START:END!Q152)</f>
        <v>0</v>
      </c>
      <c r="P247" s="64">
        <f>SUM(START:END!R152)</f>
        <v>0</v>
      </c>
      <c r="Q247" s="64">
        <f>SUM(START:END!S152)</f>
        <v>0</v>
      </c>
      <c r="R247" s="64">
        <f>SUM(START:END!T152)</f>
        <v>0</v>
      </c>
      <c r="S247" s="64">
        <f>SUM(START:END!U152)</f>
        <v>5</v>
      </c>
      <c r="T247" s="64">
        <f>SUM(START:END!V152)</f>
        <v>0</v>
      </c>
      <c r="U247" s="64">
        <f>SUM(START:END!W152)</f>
        <v>0</v>
      </c>
      <c r="V247" s="64">
        <f>SUM(START:END!X152)</f>
        <v>0</v>
      </c>
      <c r="W247" s="50">
        <f>SUM(D247:V247)</f>
        <v>5</v>
      </c>
      <c r="X247" s="50"/>
      <c r="Y247" s="50">
        <f t="shared" si="10"/>
        <v>5</v>
      </c>
    </row>
    <row r="248" spans="2:26" s="43" customFormat="1" ht="18.95" customHeight="1" thickBot="1" x14ac:dyDescent="0.35">
      <c r="B248" s="44" t="s">
        <v>154</v>
      </c>
      <c r="C248" s="83"/>
      <c r="D248" s="45"/>
      <c r="E248" s="45"/>
      <c r="F248" s="45"/>
      <c r="G248" s="45"/>
      <c r="H248" s="45"/>
      <c r="I248" s="45"/>
      <c r="J248" s="45"/>
      <c r="K248" s="45"/>
      <c r="L248" s="45"/>
      <c r="M248" s="46"/>
      <c r="N248" s="74" t="s">
        <v>154</v>
      </c>
      <c r="O248" s="45"/>
      <c r="P248" s="45"/>
      <c r="Q248" s="45"/>
      <c r="R248" s="45"/>
      <c r="S248" s="45"/>
      <c r="T248" s="45"/>
      <c r="U248" s="45"/>
      <c r="V248" s="45"/>
      <c r="W248" s="48"/>
      <c r="X248" s="48"/>
      <c r="Y248" s="48"/>
    </row>
    <row r="249" spans="2:26" s="43" customFormat="1" ht="18.95" customHeight="1" thickBot="1" x14ac:dyDescent="0.35">
      <c r="B249" s="49"/>
      <c r="C249" s="68" t="s">
        <v>100</v>
      </c>
      <c r="D249" s="64">
        <f>SUM(START:END!E154)</f>
        <v>0</v>
      </c>
      <c r="E249" s="64">
        <f>SUM(START:END!F154)</f>
        <v>0</v>
      </c>
      <c r="F249" s="64">
        <f>SUM(START:END!G154)</f>
        <v>0</v>
      </c>
      <c r="G249" s="64">
        <f>SUM(START:END!H154)</f>
        <v>0</v>
      </c>
      <c r="H249" s="64">
        <f>SUM(START:END!I154)</f>
        <v>0</v>
      </c>
      <c r="I249" s="64">
        <f>SUM(START:END!J154)</f>
        <v>0</v>
      </c>
      <c r="J249" s="64">
        <f>SUM(START:END!K154)</f>
        <v>0</v>
      </c>
      <c r="K249" s="64">
        <f>SUM(START:END!L154)</f>
        <v>0</v>
      </c>
      <c r="L249" s="64">
        <f>SUM(START:END!M154)</f>
        <v>0</v>
      </c>
      <c r="M249" s="50">
        <f>SUM(START:END!N154)</f>
        <v>0</v>
      </c>
      <c r="N249" s="39" t="s">
        <v>100</v>
      </c>
      <c r="O249" s="64">
        <f>SUM(START:END!Q154)</f>
        <v>0</v>
      </c>
      <c r="P249" s="64">
        <f>SUM(START:END!R154)</f>
        <v>0</v>
      </c>
      <c r="Q249" s="64">
        <f>SUM(START:END!S154)</f>
        <v>0</v>
      </c>
      <c r="R249" s="64">
        <f>SUM(START:END!T154)</f>
        <v>0</v>
      </c>
      <c r="S249" s="64">
        <f>SUM(START:END!U154)</f>
        <v>0</v>
      </c>
      <c r="T249" s="64">
        <f>SUM(START:END!V154)</f>
        <v>0</v>
      </c>
      <c r="U249" s="64">
        <f>SUM(START:END!W154)</f>
        <v>1</v>
      </c>
      <c r="V249" s="64">
        <f>SUM(START:END!X154)</f>
        <v>0</v>
      </c>
      <c r="W249" s="50">
        <f>SUM(D249:V249)</f>
        <v>1</v>
      </c>
      <c r="X249" s="50"/>
      <c r="Y249" s="50">
        <f t="shared" si="10"/>
        <v>1</v>
      </c>
    </row>
    <row r="250" spans="2:26" s="43" customFormat="1" ht="18.95" customHeight="1" thickBot="1" x14ac:dyDescent="0.35">
      <c r="B250" s="49"/>
      <c r="C250" s="68" t="s">
        <v>140</v>
      </c>
      <c r="D250" s="64">
        <f>SUM(START:END!E155)</f>
        <v>0</v>
      </c>
      <c r="E250" s="64">
        <f>SUM(START:END!F155)</f>
        <v>0</v>
      </c>
      <c r="F250" s="64">
        <f>SUM(START:END!G155)</f>
        <v>0</v>
      </c>
      <c r="G250" s="64">
        <f>SUM(START:END!H155)</f>
        <v>0</v>
      </c>
      <c r="H250" s="64">
        <f>SUM(START:END!I155)</f>
        <v>0</v>
      </c>
      <c r="I250" s="64">
        <f>SUM(START:END!J155)</f>
        <v>0</v>
      </c>
      <c r="J250" s="64">
        <f>SUM(START:END!K155)</f>
        <v>0</v>
      </c>
      <c r="K250" s="64">
        <f>SUM(START:END!L155)</f>
        <v>0</v>
      </c>
      <c r="L250" s="64">
        <f>SUM(START:END!M155)</f>
        <v>0</v>
      </c>
      <c r="M250" s="50">
        <f>SUM(START:END!N155)</f>
        <v>0</v>
      </c>
      <c r="N250" s="39" t="s">
        <v>140</v>
      </c>
      <c r="O250" s="64">
        <f>SUM(START:END!Q155)</f>
        <v>0</v>
      </c>
      <c r="P250" s="64">
        <f>SUM(START:END!R155)</f>
        <v>0</v>
      </c>
      <c r="Q250" s="64">
        <f>SUM(START:END!S155)</f>
        <v>0</v>
      </c>
      <c r="R250" s="64">
        <f>SUM(START:END!T155)</f>
        <v>0</v>
      </c>
      <c r="S250" s="64">
        <f>SUM(START:END!U155)</f>
        <v>0</v>
      </c>
      <c r="T250" s="64">
        <f>SUM(START:END!V155)</f>
        <v>0</v>
      </c>
      <c r="U250" s="64">
        <f>SUM(START:END!W155)</f>
        <v>1</v>
      </c>
      <c r="V250" s="64">
        <f>SUM(START:END!X155)</f>
        <v>0</v>
      </c>
      <c r="W250" s="50">
        <f>SUM(D250:V250)</f>
        <v>1</v>
      </c>
      <c r="X250" s="50"/>
      <c r="Y250" s="50">
        <f t="shared" si="10"/>
        <v>1</v>
      </c>
    </row>
    <row r="251" spans="2:26" s="43" customFormat="1" ht="18.95" customHeight="1" thickBot="1" x14ac:dyDescent="0.35">
      <c r="B251" s="49"/>
      <c r="C251" s="68" t="s">
        <v>162</v>
      </c>
      <c r="D251" s="64">
        <f>SUM(START:END!E156)</f>
        <v>0</v>
      </c>
      <c r="E251" s="64">
        <f>SUM(START:END!F156)</f>
        <v>0</v>
      </c>
      <c r="F251" s="64">
        <f>SUM(START:END!G156)</f>
        <v>0</v>
      </c>
      <c r="G251" s="64">
        <f>SUM(START:END!H156)</f>
        <v>0</v>
      </c>
      <c r="H251" s="64">
        <f>SUM(START:END!I156)</f>
        <v>0</v>
      </c>
      <c r="I251" s="64">
        <f>SUM(START:END!J156)</f>
        <v>0</v>
      </c>
      <c r="J251" s="64">
        <f>SUM(START:END!K156)</f>
        <v>0</v>
      </c>
      <c r="K251" s="64">
        <f>SUM(START:END!L156)</f>
        <v>0</v>
      </c>
      <c r="L251" s="64">
        <f>SUM(START:END!M156)</f>
        <v>0</v>
      </c>
      <c r="M251" s="50">
        <f>SUM(START:END!N156)</f>
        <v>0</v>
      </c>
      <c r="N251" s="39" t="s">
        <v>162</v>
      </c>
      <c r="O251" s="64">
        <f>SUM(START:END!Q156)</f>
        <v>0</v>
      </c>
      <c r="P251" s="64">
        <f>SUM(START:END!R156)</f>
        <v>0</v>
      </c>
      <c r="Q251" s="64">
        <f>SUM(START:END!S156)</f>
        <v>0</v>
      </c>
      <c r="R251" s="64">
        <f>SUM(START:END!T156)</f>
        <v>0</v>
      </c>
      <c r="S251" s="64">
        <f>SUM(START:END!U156)</f>
        <v>0</v>
      </c>
      <c r="T251" s="64">
        <f>SUM(START:END!V156)</f>
        <v>0</v>
      </c>
      <c r="U251" s="64">
        <f>SUM(START:END!W156)</f>
        <v>14</v>
      </c>
      <c r="V251" s="64">
        <f>SUM(START:END!X156)</f>
        <v>0</v>
      </c>
      <c r="W251" s="50">
        <f>SUM(D251:V251)</f>
        <v>14</v>
      </c>
      <c r="X251" s="50"/>
      <c r="Y251" s="50">
        <f t="shared" si="10"/>
        <v>14</v>
      </c>
    </row>
    <row r="252" spans="2:26" s="43" customFormat="1" ht="18.95" customHeight="1" thickBot="1" x14ac:dyDescent="0.35">
      <c r="B252" s="44" t="s">
        <v>159</v>
      </c>
      <c r="C252" s="83"/>
      <c r="D252" s="45"/>
      <c r="E252" s="45"/>
      <c r="F252" s="45"/>
      <c r="G252" s="45"/>
      <c r="H252" s="45"/>
      <c r="I252" s="45"/>
      <c r="J252" s="45"/>
      <c r="K252" s="45"/>
      <c r="L252" s="45"/>
      <c r="M252" s="46"/>
      <c r="N252" s="74" t="s">
        <v>159</v>
      </c>
      <c r="O252" s="45"/>
      <c r="P252" s="45"/>
      <c r="Q252" s="45"/>
      <c r="R252" s="45"/>
      <c r="S252" s="45"/>
      <c r="T252" s="45"/>
      <c r="U252" s="45"/>
      <c r="V252" s="45"/>
      <c r="W252" s="48"/>
      <c r="X252" s="48"/>
      <c r="Y252" s="48"/>
    </row>
    <row r="253" spans="2:26" s="43" customFormat="1" ht="18.95" customHeight="1" thickBot="1" x14ac:dyDescent="0.35">
      <c r="B253" s="49"/>
      <c r="C253" s="68" t="s">
        <v>161</v>
      </c>
      <c r="D253" s="64">
        <f>SUM(START:END!E146)</f>
        <v>0</v>
      </c>
      <c r="E253" s="64">
        <f>SUM(START:END!F146)</f>
        <v>0</v>
      </c>
      <c r="F253" s="64">
        <f>SUM(START:END!G146)</f>
        <v>0</v>
      </c>
      <c r="G253" s="64">
        <f>SUM(START:END!H146)</f>
        <v>0</v>
      </c>
      <c r="H253" s="64">
        <f>SUM(START:END!I146)</f>
        <v>0</v>
      </c>
      <c r="I253" s="64">
        <f>SUM(START:END!J146)</f>
        <v>0</v>
      </c>
      <c r="J253" s="64">
        <f>SUM(START:END!K146)</f>
        <v>0</v>
      </c>
      <c r="K253" s="64">
        <f>SUM(START:END!L146)</f>
        <v>0</v>
      </c>
      <c r="L253" s="64">
        <f>SUM(START:END!M146)</f>
        <v>0</v>
      </c>
      <c r="M253" s="50">
        <f>SUM(START:END!N146)</f>
        <v>0</v>
      </c>
      <c r="N253" s="39" t="s">
        <v>161</v>
      </c>
      <c r="O253" s="64">
        <f>SUM(START:END!Q146)</f>
        <v>0</v>
      </c>
      <c r="P253" s="64">
        <f>SUM(START:END!R146)</f>
        <v>0</v>
      </c>
      <c r="Q253" s="64">
        <f>SUM(START:END!S146)</f>
        <v>0</v>
      </c>
      <c r="R253" s="64">
        <f>SUM(START:END!T146)</f>
        <v>0</v>
      </c>
      <c r="S253" s="64">
        <f>SUM(START:END!U146)</f>
        <v>0</v>
      </c>
      <c r="T253" s="64">
        <f>SUM(START:END!V146)</f>
        <v>0</v>
      </c>
      <c r="U253" s="64">
        <f>SUM(START:END!W146)</f>
        <v>0</v>
      </c>
      <c r="V253" s="64">
        <f>SUM(START:END!X146)</f>
        <v>0</v>
      </c>
      <c r="W253" s="50">
        <f>SUM(D253:V253)</f>
        <v>0</v>
      </c>
      <c r="X253" s="50"/>
      <c r="Y253" s="50">
        <f t="shared" ref="Y253" si="11">SUM(W253:X253)</f>
        <v>0</v>
      </c>
    </row>
    <row r="254" spans="2:26" ht="27" x14ac:dyDescent="0.3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N254"/>
      <c r="O254" s="13" t="s">
        <v>15</v>
      </c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2:26" ht="27" x14ac:dyDescent="0.3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N255"/>
      <c r="O255" s="13" t="s">
        <v>16</v>
      </c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2:26" ht="27" x14ac:dyDescent="0.3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N256"/>
      <c r="O256" s="13"/>
      <c r="P256" s="13" t="s">
        <v>169</v>
      </c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7" ht="27" x14ac:dyDescent="0.3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N257"/>
      <c r="O257" s="13" t="s">
        <v>164</v>
      </c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7" ht="27" x14ac:dyDescent="0.3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N258"/>
      <c r="O258" s="13" t="s">
        <v>17</v>
      </c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7" ht="27" x14ac:dyDescent="0.3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N259"/>
      <c r="O259" s="13" t="s">
        <v>167</v>
      </c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7" ht="27" x14ac:dyDescent="0.3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N260"/>
      <c r="O260" s="13" t="s">
        <v>168</v>
      </c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7" ht="27.75" x14ac:dyDescent="0.4"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N261"/>
      <c r="O261" s="13" t="s">
        <v>18</v>
      </c>
      <c r="P261" s="13"/>
      <c r="Q261" s="13"/>
      <c r="R261" s="13"/>
      <c r="S261" s="14" t="s">
        <v>19</v>
      </c>
      <c r="T261" s="13"/>
      <c r="U261" s="13"/>
      <c r="V261" s="13"/>
      <c r="W261" s="13"/>
      <c r="X261" s="13"/>
      <c r="Y261" s="13"/>
      <c r="Z261" s="13"/>
    </row>
    <row r="262" spans="1:27" ht="27.75" x14ac:dyDescent="0.4"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N262"/>
      <c r="O262" s="6" t="s">
        <v>20</v>
      </c>
      <c r="P262" s="20"/>
      <c r="Q262" s="6"/>
      <c r="R262" s="6"/>
      <c r="S262" s="14" t="s">
        <v>19</v>
      </c>
      <c r="T262" s="14"/>
      <c r="U262" s="14"/>
      <c r="V262" s="14"/>
      <c r="W262" s="14"/>
      <c r="X262" s="14"/>
      <c r="Y262" s="14"/>
      <c r="Z262" s="14"/>
    </row>
    <row r="263" spans="1:27" ht="27.75" x14ac:dyDescent="0.4"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N263"/>
      <c r="O263" s="15" t="s">
        <v>37</v>
      </c>
      <c r="P263" s="20"/>
      <c r="Q263" s="6"/>
      <c r="R263" s="6"/>
      <c r="S263" s="14" t="s">
        <v>19</v>
      </c>
      <c r="T263" s="14"/>
      <c r="U263" s="14"/>
      <c r="V263" s="14"/>
      <c r="W263" s="14"/>
      <c r="X263" s="14"/>
      <c r="Y263" s="14"/>
      <c r="Z263" s="14"/>
    </row>
    <row r="264" spans="1:27" ht="27.75" x14ac:dyDescent="0.4"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N264"/>
      <c r="O264" s="14"/>
      <c r="P264" s="20"/>
      <c r="Q264" s="6"/>
      <c r="R264" s="6"/>
      <c r="S264" s="6"/>
      <c r="T264" s="15" t="s">
        <v>21</v>
      </c>
      <c r="U264" s="14"/>
      <c r="V264" s="14"/>
      <c r="W264" s="14"/>
      <c r="X264" s="14"/>
      <c r="Y264" s="14"/>
      <c r="Z264" s="14"/>
      <c r="AA264" s="14"/>
    </row>
    <row r="265" spans="1:27" ht="27.75" x14ac:dyDescent="0.4">
      <c r="B265" s="1"/>
      <c r="C265" s="70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70"/>
      <c r="O265" s="1"/>
      <c r="P265" s="2"/>
      <c r="Q265" s="1"/>
      <c r="R265" s="1"/>
      <c r="S265" s="1"/>
      <c r="T265" s="1"/>
      <c r="U265" s="1"/>
      <c r="V265" s="1"/>
      <c r="W265" s="1"/>
    </row>
    <row r="266" spans="1:27" ht="20.100000000000001" customHeight="1" x14ac:dyDescent="0.4">
      <c r="B266" s="1"/>
      <c r="C266" s="70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70"/>
      <c r="O266" s="1"/>
      <c r="P266" s="1"/>
      <c r="Q266" s="18"/>
      <c r="R266" s="1"/>
      <c r="S266" s="1"/>
      <c r="T266" s="1"/>
      <c r="U266" s="1"/>
      <c r="V266" s="1"/>
      <c r="W266" s="1"/>
    </row>
    <row r="267" spans="1:27" ht="20.100000000000001" customHeight="1" x14ac:dyDescent="0.4">
      <c r="B267" s="1"/>
      <c r="C267" s="70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70"/>
      <c r="O267" s="1"/>
      <c r="P267" s="1"/>
      <c r="Q267" s="18"/>
      <c r="R267" s="1"/>
      <c r="S267" s="1"/>
      <c r="T267" s="1"/>
      <c r="U267" s="1"/>
      <c r="V267" s="1"/>
      <c r="W267" s="1"/>
    </row>
    <row r="268" spans="1:27" ht="15.75" x14ac:dyDescent="0.25">
      <c r="B268" s="3"/>
      <c r="C268" s="85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76"/>
      <c r="O268" s="4"/>
      <c r="P268" s="4"/>
      <c r="Q268" s="19"/>
      <c r="R268" s="4"/>
      <c r="S268" s="4"/>
      <c r="T268" s="4"/>
      <c r="U268" s="4"/>
      <c r="V268" s="4"/>
      <c r="W268" s="5"/>
    </row>
    <row r="269" spans="1:27" ht="15.75" x14ac:dyDescent="0.25">
      <c r="B269" s="4"/>
      <c r="C269" s="76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76"/>
      <c r="O269" s="4"/>
      <c r="P269" s="4"/>
      <c r="Q269" s="19"/>
      <c r="R269" s="4"/>
      <c r="S269" s="4"/>
      <c r="T269" s="4"/>
      <c r="U269" s="4"/>
      <c r="V269" s="4"/>
      <c r="W269" s="5"/>
    </row>
    <row r="270" spans="1:27" ht="15" customHeight="1" x14ac:dyDescent="0.25">
      <c r="A270" s="6"/>
      <c r="W270" s="7"/>
    </row>
  </sheetData>
  <pageMargins left="0.7" right="0.7" top="0.75" bottom="0.75" header="0.3" footer="0.3"/>
  <pageSetup paperSize="5" scale="63" fitToHeight="0" pageOrder="overThenDown" orientation="landscape" r:id="rId1"/>
  <rowBreaks count="6" manualBreakCount="6">
    <brk id="40" max="24" man="1"/>
    <brk id="72" max="16383" man="1"/>
    <brk id="110" max="24" man="1"/>
    <brk id="154" max="24" man="1"/>
    <brk id="183" max="16383" man="1"/>
    <brk id="225" max="16383" man="1"/>
  </rowBreaks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START</vt:lpstr>
      <vt:lpstr>ADVANCE</vt:lpstr>
      <vt:lpstr>ELECTION DAY</vt:lpstr>
      <vt:lpstr>END</vt:lpstr>
      <vt:lpstr>ADVANCE &amp; ELECTION DAY TOTAL</vt:lpstr>
      <vt:lpstr>Abstract</vt:lpstr>
      <vt:lpstr>Abstract!Print_Area</vt:lpstr>
      <vt:lpstr>ADVANCE!Print_Area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County Clerk</dc:creator>
  <cp:lastModifiedBy>Bri Mikkelson</cp:lastModifiedBy>
  <cp:lastPrinted>2024-11-18T14:52:55Z</cp:lastPrinted>
  <dcterms:created xsi:type="dcterms:W3CDTF">2010-11-02T15:33:34Z</dcterms:created>
  <dcterms:modified xsi:type="dcterms:W3CDTF">2024-11-19T22:50:42Z</dcterms:modified>
</cp:coreProperties>
</file>