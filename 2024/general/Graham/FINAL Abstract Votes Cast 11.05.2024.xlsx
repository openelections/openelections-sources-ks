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bmikkelson\Desktop\2024 Election files\Abstract Votes Cast\"/>
    </mc:Choice>
  </mc:AlternateContent>
  <xr:revisionPtr revIDLastSave="0" documentId="13_ncr:1_{17D2C7FC-D9B0-44C7-A5D0-532345069F7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ADVANCE" sheetId="8" r:id="rId1"/>
    <sheet name="ELECTION DAY" sheetId="3" r:id="rId2"/>
    <sheet name="ADVANCE &amp; ELECTION DAY TOTAL" sheetId="6" r:id="rId3"/>
    <sheet name="Abstract" sheetId="12" r:id="rId4"/>
  </sheets>
  <definedNames>
    <definedName name="_xlnm.Print_Area" localSheetId="3">Abstract!$A$1:$AA$244</definedName>
    <definedName name="_xlnm.Print_Area" localSheetId="0">ADVANCE!$B$1:$Y$178</definedName>
    <definedName name="_xlnm.Print_Area" localSheetId="1">'ELECTION DAY'!$B$1:$Y$174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" i="12" l="1"/>
  <c r="AA10" i="12"/>
  <c r="AA11" i="12"/>
  <c r="AA13" i="12"/>
  <c r="AA14" i="12"/>
  <c r="AA17" i="12"/>
  <c r="AA19" i="12"/>
  <c r="AA20" i="12"/>
  <c r="AA22" i="12"/>
  <c r="AA25" i="12"/>
  <c r="AA27" i="12"/>
  <c r="AA8" i="12"/>
  <c r="AA52" i="12"/>
  <c r="AA55" i="12"/>
  <c r="AA57" i="12"/>
  <c r="AA60" i="12"/>
  <c r="AA61" i="12"/>
  <c r="AA63" i="12"/>
  <c r="AA65" i="12"/>
  <c r="AA49" i="12"/>
  <c r="AA91" i="12"/>
  <c r="AA94" i="12"/>
  <c r="AA99" i="12"/>
  <c r="AA101" i="12"/>
  <c r="AA104" i="12"/>
  <c r="AA106" i="12"/>
  <c r="AA110" i="12"/>
  <c r="AA117" i="12"/>
  <c r="AA120" i="12"/>
  <c r="AA88" i="12"/>
  <c r="AA145" i="12"/>
  <c r="AA148" i="12"/>
  <c r="AA151" i="12"/>
  <c r="AA153" i="12"/>
  <c r="AA155" i="12"/>
  <c r="AA159" i="12"/>
  <c r="AA163" i="12"/>
  <c r="AA166" i="12"/>
  <c r="AA168" i="12"/>
  <c r="AA170" i="12"/>
  <c r="AA173" i="12"/>
  <c r="AA142" i="12"/>
  <c r="AA201" i="12"/>
  <c r="AA202" i="12"/>
  <c r="AA203" i="12"/>
  <c r="AA204" i="12"/>
  <c r="AA205" i="12"/>
  <c r="AA200" i="12"/>
  <c r="Y207" i="12"/>
  <c r="AA207" i="12"/>
  <c r="Y208" i="12"/>
  <c r="AA208" i="12" s="1"/>
  <c r="Y210" i="12"/>
  <c r="AA210" i="12"/>
  <c r="Y211" i="12"/>
  <c r="AA211" i="12"/>
  <c r="AA213" i="12"/>
  <c r="AA214" i="12"/>
  <c r="AA216" i="12"/>
  <c r="AA217" i="12"/>
  <c r="AA219" i="12"/>
  <c r="AA220" i="12"/>
  <c r="AA222" i="12"/>
  <c r="AA223" i="12"/>
  <c r="AA225" i="12"/>
  <c r="AA226" i="12"/>
  <c r="Y213" i="12" l="1"/>
  <c r="Y214" i="12"/>
  <c r="Y216" i="12"/>
  <c r="Y217" i="12"/>
  <c r="Y219" i="12"/>
  <c r="Y220" i="12"/>
  <c r="Y222" i="12"/>
  <c r="Y223" i="12"/>
  <c r="Y225" i="12"/>
  <c r="Y226" i="12"/>
  <c r="X205" i="12"/>
  <c r="W205" i="12"/>
  <c r="V205" i="12"/>
  <c r="U205" i="12"/>
  <c r="T205" i="12"/>
  <c r="S205" i="12"/>
  <c r="R205" i="12"/>
  <c r="Q205" i="12"/>
  <c r="N205" i="12"/>
  <c r="M205" i="12"/>
  <c r="I205" i="12"/>
  <c r="H205" i="12"/>
  <c r="G205" i="12"/>
  <c r="F205" i="12"/>
  <c r="E205" i="12"/>
  <c r="X204" i="12"/>
  <c r="W204" i="12"/>
  <c r="V204" i="12"/>
  <c r="U204" i="12"/>
  <c r="T204" i="12"/>
  <c r="S204" i="12"/>
  <c r="R204" i="12"/>
  <c r="Q204" i="12"/>
  <c r="N204" i="12"/>
  <c r="M204" i="12"/>
  <c r="I204" i="12"/>
  <c r="H204" i="12"/>
  <c r="G204" i="12"/>
  <c r="F204" i="12"/>
  <c r="E204" i="12"/>
  <c r="X203" i="12"/>
  <c r="W203" i="12"/>
  <c r="V203" i="12"/>
  <c r="U203" i="12"/>
  <c r="T203" i="12"/>
  <c r="S203" i="12"/>
  <c r="R203" i="12"/>
  <c r="Q203" i="12"/>
  <c r="N203" i="12"/>
  <c r="M203" i="12"/>
  <c r="I203" i="12"/>
  <c r="H203" i="12"/>
  <c r="G203" i="12"/>
  <c r="F203" i="12"/>
  <c r="E203" i="12"/>
  <c r="X202" i="12"/>
  <c r="W202" i="12"/>
  <c r="V202" i="12"/>
  <c r="U202" i="12"/>
  <c r="T202" i="12"/>
  <c r="S202" i="12"/>
  <c r="R202" i="12"/>
  <c r="Q202" i="12"/>
  <c r="N202" i="12"/>
  <c r="M202" i="12"/>
  <c r="I202" i="12"/>
  <c r="H202" i="12"/>
  <c r="G202" i="12"/>
  <c r="F202" i="12"/>
  <c r="E202" i="12"/>
  <c r="X201" i="12"/>
  <c r="W201" i="12"/>
  <c r="V201" i="12"/>
  <c r="U201" i="12"/>
  <c r="T201" i="12"/>
  <c r="S201" i="12"/>
  <c r="R201" i="12"/>
  <c r="Q201" i="12"/>
  <c r="N201" i="12"/>
  <c r="M201" i="12"/>
  <c r="I201" i="12"/>
  <c r="H201" i="12"/>
  <c r="G201" i="12"/>
  <c r="F201" i="12"/>
  <c r="E201" i="12"/>
  <c r="X200" i="12"/>
  <c r="W200" i="12"/>
  <c r="V200" i="12"/>
  <c r="U200" i="12"/>
  <c r="T200" i="12"/>
  <c r="S200" i="12"/>
  <c r="R200" i="12"/>
  <c r="Q200" i="12"/>
  <c r="N200" i="12"/>
  <c r="M200" i="12"/>
  <c r="I200" i="12"/>
  <c r="H200" i="12"/>
  <c r="G200" i="12"/>
  <c r="F200" i="12"/>
  <c r="E200" i="12"/>
  <c r="Y198" i="12"/>
  <c r="Y197" i="12"/>
  <c r="Y196" i="12"/>
  <c r="Y195" i="12"/>
  <c r="Q174" i="12"/>
  <c r="Y174" i="12" s="1"/>
  <c r="E174" i="12"/>
  <c r="W173" i="12"/>
  <c r="V173" i="12"/>
  <c r="U173" i="12"/>
  <c r="T173" i="12"/>
  <c r="S173" i="12"/>
  <c r="R173" i="12"/>
  <c r="Q173" i="12"/>
  <c r="N173" i="12"/>
  <c r="M173" i="12"/>
  <c r="L173" i="12"/>
  <c r="K173" i="12"/>
  <c r="J173" i="12"/>
  <c r="I173" i="12"/>
  <c r="H173" i="12"/>
  <c r="G173" i="12"/>
  <c r="F173" i="12"/>
  <c r="E173" i="12"/>
  <c r="Q171" i="12"/>
  <c r="E171" i="12"/>
  <c r="X170" i="12"/>
  <c r="V170" i="12"/>
  <c r="U170" i="12"/>
  <c r="T170" i="12"/>
  <c r="S170" i="12"/>
  <c r="R170" i="12"/>
  <c r="Q170" i="12"/>
  <c r="N170" i="12"/>
  <c r="M170" i="12"/>
  <c r="L170" i="12"/>
  <c r="K170" i="12"/>
  <c r="J170" i="12"/>
  <c r="I170" i="12"/>
  <c r="H170" i="12"/>
  <c r="G170" i="12"/>
  <c r="F170" i="12"/>
  <c r="E170" i="12"/>
  <c r="X168" i="12"/>
  <c r="W168" i="12"/>
  <c r="U168" i="12"/>
  <c r="T168" i="12"/>
  <c r="S168" i="12"/>
  <c r="R168" i="12"/>
  <c r="Q168" i="12"/>
  <c r="N168" i="12"/>
  <c r="M168" i="12"/>
  <c r="L168" i="12"/>
  <c r="K168" i="12"/>
  <c r="J168" i="12"/>
  <c r="I168" i="12"/>
  <c r="H168" i="12"/>
  <c r="G168" i="12"/>
  <c r="F168" i="12"/>
  <c r="E168" i="12"/>
  <c r="X166" i="12"/>
  <c r="W166" i="12"/>
  <c r="V166" i="12"/>
  <c r="T166" i="12"/>
  <c r="S166" i="12"/>
  <c r="R166" i="12"/>
  <c r="Q166" i="12"/>
  <c r="N166" i="12"/>
  <c r="M166" i="12"/>
  <c r="L166" i="12"/>
  <c r="K166" i="12"/>
  <c r="J166" i="12"/>
  <c r="I166" i="12"/>
  <c r="H166" i="12"/>
  <c r="G166" i="12"/>
  <c r="F166" i="12"/>
  <c r="E166" i="12"/>
  <c r="Q164" i="12"/>
  <c r="E164" i="12"/>
  <c r="X163" i="12"/>
  <c r="W163" i="12"/>
  <c r="V163" i="12"/>
  <c r="U163" i="12"/>
  <c r="S163" i="12"/>
  <c r="R163" i="12"/>
  <c r="Q163" i="12"/>
  <c r="N163" i="12"/>
  <c r="M163" i="12"/>
  <c r="L163" i="12"/>
  <c r="K163" i="12"/>
  <c r="J163" i="12"/>
  <c r="I163" i="12"/>
  <c r="H163" i="12"/>
  <c r="G163" i="12"/>
  <c r="F163" i="12"/>
  <c r="E163" i="12"/>
  <c r="Q161" i="12"/>
  <c r="E161" i="12"/>
  <c r="Y161" i="12" s="1"/>
  <c r="Q160" i="12"/>
  <c r="E160" i="12"/>
  <c r="X159" i="12"/>
  <c r="W159" i="12"/>
  <c r="V159" i="12"/>
  <c r="U159" i="12"/>
  <c r="T159" i="12"/>
  <c r="R159" i="12"/>
  <c r="Q159" i="12"/>
  <c r="N159" i="12"/>
  <c r="M159" i="12"/>
  <c r="L159" i="12"/>
  <c r="K159" i="12"/>
  <c r="J159" i="12"/>
  <c r="I159" i="12"/>
  <c r="H159" i="12"/>
  <c r="G159" i="12"/>
  <c r="F159" i="12"/>
  <c r="E159" i="12"/>
  <c r="Q157" i="12"/>
  <c r="E157" i="12"/>
  <c r="Y157" i="12" s="1"/>
  <c r="X155" i="12"/>
  <c r="W155" i="12"/>
  <c r="V155" i="12"/>
  <c r="U155" i="12"/>
  <c r="T155" i="12"/>
  <c r="S155" i="12"/>
  <c r="R155" i="12"/>
  <c r="I155" i="12"/>
  <c r="H155" i="12"/>
  <c r="G155" i="12"/>
  <c r="F155" i="12"/>
  <c r="E155" i="12"/>
  <c r="X153" i="12"/>
  <c r="W153" i="12"/>
  <c r="V153" i="12"/>
  <c r="U153" i="12"/>
  <c r="T153" i="12"/>
  <c r="S153" i="12"/>
  <c r="R153" i="12"/>
  <c r="Q153" i="12"/>
  <c r="N153" i="12"/>
  <c r="M153" i="12"/>
  <c r="L153" i="12"/>
  <c r="K153" i="12"/>
  <c r="J153" i="12"/>
  <c r="H153" i="12"/>
  <c r="G153" i="12"/>
  <c r="F153" i="12"/>
  <c r="E153" i="12"/>
  <c r="X151" i="12"/>
  <c r="W151" i="12"/>
  <c r="V151" i="12"/>
  <c r="U151" i="12"/>
  <c r="T151" i="12"/>
  <c r="S151" i="12"/>
  <c r="R151" i="12"/>
  <c r="Q151" i="12"/>
  <c r="N151" i="12"/>
  <c r="M151" i="12"/>
  <c r="L151" i="12"/>
  <c r="K151" i="12"/>
  <c r="J151" i="12"/>
  <c r="I151" i="12"/>
  <c r="G151" i="12"/>
  <c r="F151" i="12"/>
  <c r="E151" i="12"/>
  <c r="Q149" i="12"/>
  <c r="E149" i="12"/>
  <c r="Y149" i="12" s="1"/>
  <c r="X148" i="12"/>
  <c r="W148" i="12"/>
  <c r="V148" i="12"/>
  <c r="U148" i="12"/>
  <c r="T148" i="12"/>
  <c r="S148" i="12"/>
  <c r="R148" i="12"/>
  <c r="Q148" i="12"/>
  <c r="N148" i="12"/>
  <c r="M148" i="12"/>
  <c r="L148" i="12"/>
  <c r="K148" i="12"/>
  <c r="J148" i="12"/>
  <c r="I148" i="12"/>
  <c r="H148" i="12"/>
  <c r="F148" i="12"/>
  <c r="E148" i="12"/>
  <c r="Q146" i="12"/>
  <c r="E146" i="12"/>
  <c r="X145" i="12"/>
  <c r="W145" i="12"/>
  <c r="V145" i="12"/>
  <c r="U145" i="12"/>
  <c r="T145" i="12"/>
  <c r="S145" i="12"/>
  <c r="R145" i="12"/>
  <c r="Q145" i="12"/>
  <c r="N145" i="12"/>
  <c r="M145" i="12"/>
  <c r="L145" i="12"/>
  <c r="K145" i="12"/>
  <c r="J145" i="12"/>
  <c r="I145" i="12"/>
  <c r="H145" i="12"/>
  <c r="G145" i="12"/>
  <c r="E145" i="12"/>
  <c r="Q143" i="12"/>
  <c r="Y143" i="12" s="1"/>
  <c r="X142" i="12"/>
  <c r="W142" i="12"/>
  <c r="V142" i="12"/>
  <c r="U142" i="12"/>
  <c r="T142" i="12"/>
  <c r="S142" i="12"/>
  <c r="R142" i="12"/>
  <c r="Q142" i="12"/>
  <c r="N142" i="12"/>
  <c r="M142" i="12"/>
  <c r="L142" i="12"/>
  <c r="K142" i="12"/>
  <c r="J142" i="12"/>
  <c r="I142" i="12"/>
  <c r="H142" i="12"/>
  <c r="G142" i="12"/>
  <c r="F142" i="12"/>
  <c r="W120" i="12"/>
  <c r="V120" i="12"/>
  <c r="U120" i="12"/>
  <c r="T120" i="12"/>
  <c r="S120" i="12"/>
  <c r="R120" i="12"/>
  <c r="Q120" i="12"/>
  <c r="N120" i="12"/>
  <c r="M120" i="12"/>
  <c r="L120" i="12"/>
  <c r="K120" i="12"/>
  <c r="J120" i="12"/>
  <c r="I120" i="12"/>
  <c r="H120" i="12"/>
  <c r="G120" i="12"/>
  <c r="F120" i="12"/>
  <c r="E120" i="12"/>
  <c r="E118" i="12"/>
  <c r="Y118" i="12" s="1"/>
  <c r="X117" i="12"/>
  <c r="V117" i="12"/>
  <c r="U117" i="12"/>
  <c r="T117" i="12"/>
  <c r="S117" i="12"/>
  <c r="R117" i="12"/>
  <c r="Q117" i="12"/>
  <c r="N117" i="12"/>
  <c r="M117" i="12"/>
  <c r="L117" i="12"/>
  <c r="K117" i="12"/>
  <c r="J117" i="12"/>
  <c r="I117" i="12"/>
  <c r="H117" i="12"/>
  <c r="G117" i="12"/>
  <c r="F117" i="12"/>
  <c r="E117" i="12"/>
  <c r="E115" i="12"/>
  <c r="Y115" i="12" s="1"/>
  <c r="E113" i="12"/>
  <c r="Y113" i="12" s="1"/>
  <c r="E112" i="12"/>
  <c r="Y112" i="12" s="1"/>
  <c r="X110" i="12"/>
  <c r="W110" i="12"/>
  <c r="V110" i="12"/>
  <c r="U110" i="12"/>
  <c r="S110" i="12"/>
  <c r="R110" i="12"/>
  <c r="Q110" i="12"/>
  <c r="N110" i="12"/>
  <c r="M110" i="12"/>
  <c r="L110" i="12"/>
  <c r="K110" i="12"/>
  <c r="J110" i="12"/>
  <c r="I110" i="12"/>
  <c r="H110" i="12"/>
  <c r="G110" i="12"/>
  <c r="F110" i="12"/>
  <c r="E110" i="12"/>
  <c r="E108" i="12"/>
  <c r="Y108" i="12" s="1"/>
  <c r="E107" i="12"/>
  <c r="Y107" i="12" s="1"/>
  <c r="X106" i="12"/>
  <c r="W106" i="12"/>
  <c r="V106" i="12"/>
  <c r="U106" i="12"/>
  <c r="T106" i="12"/>
  <c r="R106" i="12"/>
  <c r="Q106" i="12"/>
  <c r="N106" i="12"/>
  <c r="M106" i="12"/>
  <c r="L106" i="12"/>
  <c r="K106" i="12"/>
  <c r="J106" i="12"/>
  <c r="I106" i="12"/>
  <c r="H106" i="12"/>
  <c r="G106" i="12"/>
  <c r="F106" i="12"/>
  <c r="E106" i="12"/>
  <c r="X104" i="12"/>
  <c r="W104" i="12"/>
  <c r="V104" i="12"/>
  <c r="U104" i="12"/>
  <c r="T104" i="12"/>
  <c r="S104" i="12"/>
  <c r="Q104" i="12"/>
  <c r="N104" i="12"/>
  <c r="M104" i="12"/>
  <c r="L104" i="12"/>
  <c r="K104" i="12"/>
  <c r="J104" i="12"/>
  <c r="I104" i="12"/>
  <c r="H104" i="12"/>
  <c r="G104" i="12"/>
  <c r="F104" i="12"/>
  <c r="E104" i="12"/>
  <c r="E102" i="12"/>
  <c r="Y102" i="12" s="1"/>
  <c r="X101" i="12"/>
  <c r="W101" i="12"/>
  <c r="V101" i="12"/>
  <c r="U101" i="12"/>
  <c r="T101" i="12"/>
  <c r="S101" i="12"/>
  <c r="R101" i="12"/>
  <c r="I101" i="12"/>
  <c r="H101" i="12"/>
  <c r="G101" i="12"/>
  <c r="F101" i="12"/>
  <c r="E101" i="12"/>
  <c r="X99" i="12"/>
  <c r="W99" i="12"/>
  <c r="V99" i="12"/>
  <c r="U99" i="12"/>
  <c r="T99" i="12"/>
  <c r="S99" i="12"/>
  <c r="R99" i="12"/>
  <c r="Q99" i="12"/>
  <c r="N99" i="12"/>
  <c r="M99" i="12"/>
  <c r="L99" i="12"/>
  <c r="K99" i="12"/>
  <c r="J99" i="12"/>
  <c r="H99" i="12"/>
  <c r="G99" i="12"/>
  <c r="F99" i="12"/>
  <c r="E99" i="12"/>
  <c r="X97" i="12"/>
  <c r="W97" i="12"/>
  <c r="V97" i="12"/>
  <c r="U97" i="12"/>
  <c r="T97" i="12"/>
  <c r="S97" i="12"/>
  <c r="R97" i="12"/>
  <c r="Q97" i="12"/>
  <c r="N97" i="12"/>
  <c r="M97" i="12"/>
  <c r="L97" i="12"/>
  <c r="K97" i="12"/>
  <c r="J97" i="12"/>
  <c r="I97" i="12"/>
  <c r="H97" i="12"/>
  <c r="G97" i="12"/>
  <c r="F97" i="12"/>
  <c r="E97" i="12"/>
  <c r="X95" i="12"/>
  <c r="W95" i="12"/>
  <c r="V95" i="12"/>
  <c r="U95" i="12"/>
  <c r="T95" i="12"/>
  <c r="S95" i="12"/>
  <c r="R95" i="12"/>
  <c r="Q95" i="12"/>
  <c r="N95" i="12"/>
  <c r="M95" i="12"/>
  <c r="L95" i="12"/>
  <c r="K95" i="12"/>
  <c r="J95" i="12"/>
  <c r="I95" i="12"/>
  <c r="H95" i="12"/>
  <c r="G95" i="12"/>
  <c r="F95" i="12"/>
  <c r="E95" i="12"/>
  <c r="X94" i="12"/>
  <c r="W94" i="12"/>
  <c r="V94" i="12"/>
  <c r="U94" i="12"/>
  <c r="T94" i="12"/>
  <c r="S94" i="12"/>
  <c r="R94" i="12"/>
  <c r="Q94" i="12"/>
  <c r="N94" i="12"/>
  <c r="M94" i="12"/>
  <c r="L94" i="12"/>
  <c r="K94" i="12"/>
  <c r="J94" i="12"/>
  <c r="I94" i="12"/>
  <c r="H94" i="12"/>
  <c r="F94" i="12"/>
  <c r="E94" i="12"/>
  <c r="X92" i="12"/>
  <c r="W92" i="12"/>
  <c r="V92" i="12"/>
  <c r="U92" i="12"/>
  <c r="T92" i="12"/>
  <c r="S92" i="12"/>
  <c r="R92" i="12"/>
  <c r="Q92" i="12"/>
  <c r="N92" i="12"/>
  <c r="M92" i="12"/>
  <c r="L92" i="12"/>
  <c r="K92" i="12"/>
  <c r="J92" i="12"/>
  <c r="I92" i="12"/>
  <c r="H92" i="12"/>
  <c r="G92" i="12"/>
  <c r="F92" i="12"/>
  <c r="E92" i="12"/>
  <c r="X91" i="12"/>
  <c r="W91" i="12"/>
  <c r="V91" i="12"/>
  <c r="U91" i="12"/>
  <c r="T91" i="12"/>
  <c r="S91" i="12"/>
  <c r="R91" i="12"/>
  <c r="Q91" i="12"/>
  <c r="N91" i="12"/>
  <c r="M91" i="12"/>
  <c r="L91" i="12"/>
  <c r="K91" i="12"/>
  <c r="J91" i="12"/>
  <c r="I91" i="12"/>
  <c r="H91" i="12"/>
  <c r="G91" i="12"/>
  <c r="E91" i="12"/>
  <c r="X89" i="12"/>
  <c r="W89" i="12"/>
  <c r="V89" i="12"/>
  <c r="U89" i="12"/>
  <c r="T89" i="12"/>
  <c r="S89" i="12"/>
  <c r="R89" i="12"/>
  <c r="Q89" i="12"/>
  <c r="N89" i="12"/>
  <c r="M89" i="12"/>
  <c r="L89" i="12"/>
  <c r="K89" i="12"/>
  <c r="J89" i="12"/>
  <c r="I89" i="12"/>
  <c r="H89" i="12"/>
  <c r="G89" i="12"/>
  <c r="F89" i="12"/>
  <c r="E89" i="12"/>
  <c r="X88" i="12"/>
  <c r="W88" i="12"/>
  <c r="V88" i="12"/>
  <c r="U88" i="12"/>
  <c r="T88" i="12"/>
  <c r="S88" i="12"/>
  <c r="R88" i="12"/>
  <c r="Q88" i="12"/>
  <c r="N88" i="12"/>
  <c r="M88" i="12"/>
  <c r="L88" i="12"/>
  <c r="K88" i="12"/>
  <c r="J88" i="12"/>
  <c r="I88" i="12"/>
  <c r="H88" i="12"/>
  <c r="G88" i="12"/>
  <c r="F88" i="12"/>
  <c r="E66" i="12"/>
  <c r="Y66" i="12" s="1"/>
  <c r="X65" i="12"/>
  <c r="W65" i="12"/>
  <c r="V65" i="12"/>
  <c r="U65" i="12"/>
  <c r="T65" i="12"/>
  <c r="S65" i="12"/>
  <c r="R65" i="12"/>
  <c r="Q65" i="12"/>
  <c r="N65" i="12"/>
  <c r="M65" i="12"/>
  <c r="L65" i="12"/>
  <c r="J65" i="12"/>
  <c r="I65" i="12"/>
  <c r="H65" i="12"/>
  <c r="G65" i="12"/>
  <c r="X63" i="12"/>
  <c r="W63" i="12"/>
  <c r="V63" i="12"/>
  <c r="U63" i="12"/>
  <c r="S63" i="12"/>
  <c r="R63" i="12"/>
  <c r="Q63" i="12"/>
  <c r="N63" i="12"/>
  <c r="M63" i="12"/>
  <c r="J63" i="12"/>
  <c r="I63" i="12"/>
  <c r="H63" i="12"/>
  <c r="G63" i="12"/>
  <c r="F63" i="12"/>
  <c r="E63" i="12"/>
  <c r="X61" i="12"/>
  <c r="V61" i="12"/>
  <c r="U61" i="12"/>
  <c r="T61" i="12"/>
  <c r="S61" i="12"/>
  <c r="R61" i="12"/>
  <c r="Q61" i="12"/>
  <c r="N61" i="12"/>
  <c r="M61" i="12"/>
  <c r="L61" i="12"/>
  <c r="K61" i="12"/>
  <c r="J61" i="12"/>
  <c r="I61" i="12"/>
  <c r="H61" i="12"/>
  <c r="G61" i="12"/>
  <c r="F61" i="12"/>
  <c r="E61" i="12"/>
  <c r="X60" i="12"/>
  <c r="W60" i="12"/>
  <c r="U60" i="12"/>
  <c r="T60" i="12"/>
  <c r="S60" i="12"/>
  <c r="R60" i="12"/>
  <c r="Q60" i="12"/>
  <c r="N60" i="12"/>
  <c r="M60" i="12"/>
  <c r="J60" i="12"/>
  <c r="I60" i="12"/>
  <c r="H60" i="12"/>
  <c r="G60" i="12"/>
  <c r="F60" i="12"/>
  <c r="E60" i="12"/>
  <c r="X58" i="12"/>
  <c r="W58" i="12"/>
  <c r="V58" i="12"/>
  <c r="U58" i="12"/>
  <c r="T58" i="12"/>
  <c r="S58" i="12"/>
  <c r="R58" i="12"/>
  <c r="Q58" i="12"/>
  <c r="N58" i="12"/>
  <c r="M58" i="12"/>
  <c r="L58" i="12"/>
  <c r="K58" i="12"/>
  <c r="J58" i="12"/>
  <c r="I58" i="12"/>
  <c r="H58" i="12"/>
  <c r="G58" i="12"/>
  <c r="F58" i="12"/>
  <c r="E58" i="12"/>
  <c r="W57" i="12"/>
  <c r="V57" i="12"/>
  <c r="U57" i="12"/>
  <c r="T57" i="12"/>
  <c r="S57" i="12"/>
  <c r="R57" i="12"/>
  <c r="Q57" i="12"/>
  <c r="N57" i="12"/>
  <c r="M57" i="12"/>
  <c r="L57" i="12"/>
  <c r="I57" i="12"/>
  <c r="H57" i="12"/>
  <c r="G57" i="12"/>
  <c r="F57" i="12"/>
  <c r="E57" i="12"/>
  <c r="X55" i="12"/>
  <c r="W55" i="12"/>
  <c r="U55" i="12"/>
  <c r="T55" i="12"/>
  <c r="S55" i="12"/>
  <c r="R55" i="12"/>
  <c r="Q55" i="12"/>
  <c r="N55" i="12"/>
  <c r="M55" i="12"/>
  <c r="J55" i="12"/>
  <c r="I55" i="12"/>
  <c r="H55" i="12"/>
  <c r="G55" i="12"/>
  <c r="F55" i="12"/>
  <c r="E55" i="12"/>
  <c r="X53" i="12"/>
  <c r="W53" i="12"/>
  <c r="V53" i="12"/>
  <c r="U53" i="12"/>
  <c r="T53" i="12"/>
  <c r="S53" i="12"/>
  <c r="R53" i="12"/>
  <c r="Q53" i="12"/>
  <c r="N53" i="12"/>
  <c r="M53" i="12"/>
  <c r="L53" i="12"/>
  <c r="K53" i="12"/>
  <c r="J53" i="12"/>
  <c r="I53" i="12"/>
  <c r="H53" i="12"/>
  <c r="G53" i="12"/>
  <c r="F53" i="12"/>
  <c r="E53" i="12"/>
  <c r="X52" i="12"/>
  <c r="W52" i="12"/>
  <c r="V52" i="12"/>
  <c r="U52" i="12"/>
  <c r="T52" i="12"/>
  <c r="S52" i="12"/>
  <c r="R52" i="12"/>
  <c r="Q52" i="12"/>
  <c r="N52" i="12"/>
  <c r="M52" i="12"/>
  <c r="L52" i="12"/>
  <c r="K52" i="12"/>
  <c r="J52" i="12"/>
  <c r="I52" i="12"/>
  <c r="H52" i="12"/>
  <c r="G52" i="12"/>
  <c r="F52" i="12"/>
  <c r="E52" i="12"/>
  <c r="X50" i="12"/>
  <c r="W50" i="12"/>
  <c r="V50" i="12"/>
  <c r="U50" i="12"/>
  <c r="T50" i="12"/>
  <c r="S50" i="12"/>
  <c r="R50" i="12"/>
  <c r="Q50" i="12"/>
  <c r="N50" i="12"/>
  <c r="M50" i="12"/>
  <c r="L50" i="12"/>
  <c r="K50" i="12"/>
  <c r="J50" i="12"/>
  <c r="I50" i="12"/>
  <c r="H50" i="12"/>
  <c r="G50" i="12"/>
  <c r="F50" i="12"/>
  <c r="E50" i="12"/>
  <c r="X49" i="12"/>
  <c r="W49" i="12"/>
  <c r="V49" i="12"/>
  <c r="U49" i="12"/>
  <c r="T49" i="12"/>
  <c r="S49" i="12"/>
  <c r="R49" i="12"/>
  <c r="Q49" i="12"/>
  <c r="N49" i="12"/>
  <c r="M49" i="12"/>
  <c r="L49" i="12"/>
  <c r="J49" i="12"/>
  <c r="I49" i="12"/>
  <c r="H49" i="12"/>
  <c r="G49" i="12"/>
  <c r="F49" i="12"/>
  <c r="E49" i="12"/>
  <c r="R27" i="12"/>
  <c r="Q27" i="12"/>
  <c r="J27" i="12"/>
  <c r="I27" i="12"/>
  <c r="H27" i="12"/>
  <c r="G27" i="12"/>
  <c r="F27" i="12"/>
  <c r="N25" i="12"/>
  <c r="M25" i="12"/>
  <c r="H25" i="12"/>
  <c r="G25" i="12"/>
  <c r="F25" i="12"/>
  <c r="X23" i="12"/>
  <c r="W23" i="12"/>
  <c r="U23" i="12"/>
  <c r="N23" i="12"/>
  <c r="M23" i="12"/>
  <c r="L23" i="12"/>
  <c r="K23" i="12"/>
  <c r="J23" i="12"/>
  <c r="I23" i="12"/>
  <c r="H23" i="12"/>
  <c r="G23" i="12"/>
  <c r="F23" i="12"/>
  <c r="E23" i="12"/>
  <c r="W22" i="12"/>
  <c r="T22" i="12"/>
  <c r="M22" i="12"/>
  <c r="L22" i="12"/>
  <c r="G22" i="12"/>
  <c r="F22" i="12"/>
  <c r="X20" i="12"/>
  <c r="W20" i="12"/>
  <c r="U20" i="12"/>
  <c r="J20" i="12"/>
  <c r="F20" i="12"/>
  <c r="X19" i="12"/>
  <c r="W19" i="12"/>
  <c r="U19" i="12"/>
  <c r="R19" i="12"/>
  <c r="I19" i="12"/>
  <c r="G19" i="12"/>
  <c r="F19" i="12"/>
  <c r="W17" i="12"/>
  <c r="Q17" i="12"/>
  <c r="J17" i="12"/>
  <c r="I17" i="12"/>
  <c r="X15" i="12"/>
  <c r="W15" i="12"/>
  <c r="V15" i="12"/>
  <c r="Q15" i="12"/>
  <c r="N15" i="12"/>
  <c r="M15" i="12"/>
  <c r="L15" i="12"/>
  <c r="K15" i="12"/>
  <c r="J15" i="12"/>
  <c r="I15" i="12"/>
  <c r="H15" i="12"/>
  <c r="G15" i="12"/>
  <c r="F15" i="12"/>
  <c r="E15" i="12"/>
  <c r="X14" i="12"/>
  <c r="V14" i="12"/>
  <c r="Q14" i="12"/>
  <c r="N14" i="12"/>
  <c r="M14" i="12"/>
  <c r="F14" i="12"/>
  <c r="E14" i="12"/>
  <c r="W13" i="12"/>
  <c r="U13" i="12"/>
  <c r="N13" i="12"/>
  <c r="M13" i="12"/>
  <c r="L13" i="12"/>
  <c r="F13" i="12"/>
  <c r="E13" i="12"/>
  <c r="X11" i="12"/>
  <c r="N11" i="12"/>
  <c r="M11" i="12"/>
  <c r="K11" i="12"/>
  <c r="J11" i="12"/>
  <c r="I11" i="12"/>
  <c r="F11" i="12"/>
  <c r="S10" i="12"/>
  <c r="Q10" i="12"/>
  <c r="L10" i="12"/>
  <c r="J10" i="12"/>
  <c r="I10" i="12"/>
  <c r="H10" i="12"/>
  <c r="E10" i="12"/>
  <c r="S9" i="12"/>
  <c r="R9" i="12"/>
  <c r="L9" i="12"/>
  <c r="J9" i="12"/>
  <c r="I9" i="12"/>
  <c r="H9" i="12"/>
  <c r="S8" i="12"/>
  <c r="R8" i="12"/>
  <c r="J8" i="12"/>
  <c r="I8" i="12"/>
  <c r="H8" i="12"/>
  <c r="G8" i="12"/>
  <c r="E8" i="12"/>
  <c r="E154" i="6"/>
  <c r="E155" i="6"/>
  <c r="F154" i="6"/>
  <c r="G154" i="6"/>
  <c r="X160" i="6"/>
  <c r="W160" i="6"/>
  <c r="V160" i="6"/>
  <c r="U160" i="6"/>
  <c r="T160" i="6"/>
  <c r="S160" i="6"/>
  <c r="R160" i="6"/>
  <c r="Q160" i="6"/>
  <c r="N160" i="6"/>
  <c r="M160" i="6"/>
  <c r="L160" i="6"/>
  <c r="K160" i="6"/>
  <c r="J160" i="6"/>
  <c r="I160" i="6"/>
  <c r="H160" i="6"/>
  <c r="G160" i="6"/>
  <c r="F160" i="6"/>
  <c r="E160" i="6"/>
  <c r="X158" i="6"/>
  <c r="W158" i="6"/>
  <c r="V158" i="6"/>
  <c r="U158" i="6"/>
  <c r="T158" i="6"/>
  <c r="S158" i="6"/>
  <c r="R158" i="6"/>
  <c r="Q158" i="6"/>
  <c r="N158" i="6"/>
  <c r="M158" i="6"/>
  <c r="L158" i="6"/>
  <c r="K158" i="6"/>
  <c r="J158" i="6"/>
  <c r="I158" i="6"/>
  <c r="H158" i="6"/>
  <c r="G158" i="6"/>
  <c r="F158" i="6"/>
  <c r="E158" i="6"/>
  <c r="E157" i="6"/>
  <c r="X161" i="6"/>
  <c r="W161" i="6"/>
  <c r="V161" i="6"/>
  <c r="U161" i="6"/>
  <c r="T161" i="6"/>
  <c r="S161" i="6"/>
  <c r="R161" i="6"/>
  <c r="Q161" i="6"/>
  <c r="N161" i="6"/>
  <c r="M161" i="6"/>
  <c r="L161" i="6"/>
  <c r="K161" i="6"/>
  <c r="J161" i="6"/>
  <c r="I161" i="6"/>
  <c r="H161" i="6"/>
  <c r="G161" i="6"/>
  <c r="F161" i="6"/>
  <c r="E161" i="6"/>
  <c r="X157" i="6"/>
  <c r="W157" i="6"/>
  <c r="V157" i="6"/>
  <c r="U157" i="6"/>
  <c r="T157" i="6"/>
  <c r="S157" i="6"/>
  <c r="R157" i="6"/>
  <c r="Q157" i="6"/>
  <c r="N157" i="6"/>
  <c r="M157" i="6"/>
  <c r="L157" i="6"/>
  <c r="K157" i="6"/>
  <c r="J157" i="6"/>
  <c r="I157" i="6"/>
  <c r="H157" i="6"/>
  <c r="G157" i="6"/>
  <c r="F157" i="6"/>
  <c r="Y159" i="3"/>
  <c r="Y158" i="3"/>
  <c r="Y158" i="8"/>
  <c r="Y157" i="8"/>
  <c r="Y160" i="8"/>
  <c r="Y133" i="3"/>
  <c r="Y128" i="3"/>
  <c r="N154" i="6"/>
  <c r="M154" i="6"/>
  <c r="L154" i="6"/>
  <c r="K154" i="6"/>
  <c r="J154" i="6"/>
  <c r="I154" i="6"/>
  <c r="H154" i="6"/>
  <c r="X116" i="6"/>
  <c r="W116" i="6"/>
  <c r="V116" i="6"/>
  <c r="U116" i="6"/>
  <c r="T116" i="6"/>
  <c r="S116" i="6"/>
  <c r="R116" i="6"/>
  <c r="Q116" i="6"/>
  <c r="N116" i="6"/>
  <c r="M116" i="6"/>
  <c r="L116" i="6"/>
  <c r="K116" i="6"/>
  <c r="J116" i="6"/>
  <c r="I116" i="6"/>
  <c r="H116" i="6"/>
  <c r="G116" i="6"/>
  <c r="F116" i="6"/>
  <c r="E116" i="6"/>
  <c r="G74" i="6"/>
  <c r="M72" i="6"/>
  <c r="N72" i="6"/>
  <c r="X95" i="6"/>
  <c r="W95" i="6"/>
  <c r="V95" i="6"/>
  <c r="U95" i="6"/>
  <c r="T95" i="6"/>
  <c r="S95" i="6"/>
  <c r="R95" i="6"/>
  <c r="Q95" i="6"/>
  <c r="N95" i="6"/>
  <c r="M95" i="6"/>
  <c r="L95" i="6"/>
  <c r="K95" i="6"/>
  <c r="J95" i="6"/>
  <c r="I95" i="6"/>
  <c r="H95" i="6"/>
  <c r="G95" i="6"/>
  <c r="F95" i="6"/>
  <c r="E95" i="6"/>
  <c r="X92" i="6"/>
  <c r="W92" i="6"/>
  <c r="V92" i="6"/>
  <c r="U92" i="6"/>
  <c r="T92" i="6"/>
  <c r="S92" i="6"/>
  <c r="R92" i="6"/>
  <c r="Q92" i="6"/>
  <c r="N92" i="6"/>
  <c r="M92" i="6"/>
  <c r="L92" i="6"/>
  <c r="K92" i="6"/>
  <c r="J92" i="6"/>
  <c r="I92" i="6"/>
  <c r="H92" i="6"/>
  <c r="G92" i="6"/>
  <c r="F92" i="6"/>
  <c r="E92" i="6"/>
  <c r="X90" i="6"/>
  <c r="W90" i="6"/>
  <c r="V90" i="6"/>
  <c r="U90" i="6"/>
  <c r="T90" i="6"/>
  <c r="S90" i="6"/>
  <c r="R90" i="6"/>
  <c r="Q90" i="6"/>
  <c r="N90" i="6"/>
  <c r="M90" i="6"/>
  <c r="L90" i="6"/>
  <c r="K90" i="6"/>
  <c r="J90" i="6"/>
  <c r="I90" i="6"/>
  <c r="H90" i="6"/>
  <c r="G90" i="6"/>
  <c r="F90" i="6"/>
  <c r="E90" i="6"/>
  <c r="X87" i="6"/>
  <c r="W87" i="6"/>
  <c r="V87" i="6"/>
  <c r="U87" i="6"/>
  <c r="T87" i="6"/>
  <c r="S87" i="6"/>
  <c r="R87" i="6"/>
  <c r="Q87" i="6"/>
  <c r="N87" i="6"/>
  <c r="M87" i="6"/>
  <c r="L87" i="6"/>
  <c r="K87" i="6"/>
  <c r="J87" i="6"/>
  <c r="I87" i="6"/>
  <c r="H87" i="6"/>
  <c r="G87" i="6"/>
  <c r="F87" i="6"/>
  <c r="E87" i="6"/>
  <c r="X85" i="6"/>
  <c r="W85" i="6"/>
  <c r="V85" i="6"/>
  <c r="U85" i="6"/>
  <c r="T85" i="6"/>
  <c r="S85" i="6"/>
  <c r="R85" i="6"/>
  <c r="Q85" i="6"/>
  <c r="N85" i="6"/>
  <c r="M85" i="6"/>
  <c r="L85" i="6"/>
  <c r="K85" i="6"/>
  <c r="J85" i="6"/>
  <c r="I85" i="6"/>
  <c r="H85" i="6"/>
  <c r="G85" i="6"/>
  <c r="F85" i="6"/>
  <c r="E85" i="6"/>
  <c r="X81" i="6"/>
  <c r="W81" i="6"/>
  <c r="V81" i="6"/>
  <c r="U81" i="6"/>
  <c r="T81" i="6"/>
  <c r="S81" i="6"/>
  <c r="R81" i="6"/>
  <c r="Q81" i="6"/>
  <c r="N81" i="6"/>
  <c r="M81" i="6"/>
  <c r="L81" i="6"/>
  <c r="K81" i="6"/>
  <c r="J81" i="6"/>
  <c r="I81" i="6"/>
  <c r="H81" i="6"/>
  <c r="G81" i="6"/>
  <c r="F81" i="6"/>
  <c r="E81" i="6"/>
  <c r="X79" i="6"/>
  <c r="W79" i="6"/>
  <c r="V79" i="6"/>
  <c r="U79" i="6"/>
  <c r="T79" i="6"/>
  <c r="S79" i="6"/>
  <c r="R79" i="6"/>
  <c r="Q79" i="6"/>
  <c r="N79" i="6"/>
  <c r="M79" i="6"/>
  <c r="L79" i="6"/>
  <c r="K79" i="6"/>
  <c r="J79" i="6"/>
  <c r="I79" i="6"/>
  <c r="H79" i="6"/>
  <c r="G79" i="6"/>
  <c r="F79" i="6"/>
  <c r="E79" i="6"/>
  <c r="X76" i="6"/>
  <c r="W76" i="6"/>
  <c r="V76" i="6"/>
  <c r="U76" i="6"/>
  <c r="T76" i="6"/>
  <c r="S76" i="6"/>
  <c r="R76" i="6"/>
  <c r="Q76" i="6"/>
  <c r="N76" i="6"/>
  <c r="M76" i="6"/>
  <c r="L76" i="6"/>
  <c r="K76" i="6"/>
  <c r="J76" i="6"/>
  <c r="I76" i="6"/>
  <c r="H76" i="6"/>
  <c r="G76" i="6"/>
  <c r="F76" i="6"/>
  <c r="E76" i="6"/>
  <c r="X74" i="6"/>
  <c r="W74" i="6"/>
  <c r="V74" i="6"/>
  <c r="U74" i="6"/>
  <c r="T74" i="6"/>
  <c r="S74" i="6"/>
  <c r="R74" i="6"/>
  <c r="Q74" i="6"/>
  <c r="N74" i="6"/>
  <c r="M74" i="6"/>
  <c r="L74" i="6"/>
  <c r="K74" i="6"/>
  <c r="J74" i="6"/>
  <c r="I74" i="6"/>
  <c r="H74" i="6"/>
  <c r="F74" i="6"/>
  <c r="E74" i="6"/>
  <c r="X72" i="6"/>
  <c r="W72" i="6"/>
  <c r="V72" i="6"/>
  <c r="U72" i="6"/>
  <c r="T72" i="6"/>
  <c r="S72" i="6"/>
  <c r="R72" i="6"/>
  <c r="Q72" i="6"/>
  <c r="L72" i="6"/>
  <c r="K72" i="6"/>
  <c r="J72" i="6"/>
  <c r="I72" i="6"/>
  <c r="H72" i="6"/>
  <c r="G72" i="6"/>
  <c r="F72" i="6"/>
  <c r="E72" i="6"/>
  <c r="X69" i="6"/>
  <c r="W69" i="6"/>
  <c r="V69" i="6"/>
  <c r="U69" i="6"/>
  <c r="T69" i="6"/>
  <c r="S69" i="6"/>
  <c r="R69" i="6"/>
  <c r="Q69" i="6"/>
  <c r="N69" i="6"/>
  <c r="M69" i="6"/>
  <c r="L69" i="6"/>
  <c r="K69" i="6"/>
  <c r="J69" i="6"/>
  <c r="I69" i="6"/>
  <c r="H69" i="6"/>
  <c r="G69" i="6"/>
  <c r="F69" i="6"/>
  <c r="E69" i="6"/>
  <c r="X66" i="6"/>
  <c r="W66" i="6"/>
  <c r="V66" i="6"/>
  <c r="U66" i="6"/>
  <c r="T66" i="6"/>
  <c r="S66" i="6"/>
  <c r="R66" i="6"/>
  <c r="Q66" i="6"/>
  <c r="N66" i="6"/>
  <c r="M66" i="6"/>
  <c r="L66" i="6"/>
  <c r="K66" i="6"/>
  <c r="J66" i="6"/>
  <c r="I66" i="6"/>
  <c r="H66" i="6"/>
  <c r="G66" i="6"/>
  <c r="F66" i="6"/>
  <c r="E66" i="6"/>
  <c r="X63" i="6"/>
  <c r="W63" i="6"/>
  <c r="V63" i="6"/>
  <c r="U63" i="6"/>
  <c r="T63" i="6"/>
  <c r="S63" i="6"/>
  <c r="R63" i="6"/>
  <c r="Q63" i="6"/>
  <c r="N63" i="6"/>
  <c r="M63" i="6"/>
  <c r="L63" i="6"/>
  <c r="K63" i="6"/>
  <c r="J63" i="6"/>
  <c r="I63" i="6"/>
  <c r="H63" i="6"/>
  <c r="G63" i="6"/>
  <c r="F63" i="6"/>
  <c r="E63" i="6"/>
  <c r="Y132" i="8"/>
  <c r="E10" i="6"/>
  <c r="R173" i="6"/>
  <c r="S173" i="6"/>
  <c r="T173" i="6"/>
  <c r="U173" i="6"/>
  <c r="V173" i="6"/>
  <c r="W173" i="6"/>
  <c r="X173" i="6"/>
  <c r="R172" i="6"/>
  <c r="S172" i="6"/>
  <c r="T172" i="6"/>
  <c r="U172" i="6"/>
  <c r="V172" i="6"/>
  <c r="W172" i="6"/>
  <c r="X172" i="6"/>
  <c r="R170" i="6"/>
  <c r="S170" i="6"/>
  <c r="T170" i="6"/>
  <c r="U170" i="6"/>
  <c r="V170" i="6"/>
  <c r="W170" i="6"/>
  <c r="X170" i="6"/>
  <c r="X169" i="6"/>
  <c r="R169" i="6"/>
  <c r="S169" i="6"/>
  <c r="T169" i="6"/>
  <c r="U169" i="6"/>
  <c r="V169" i="6"/>
  <c r="W169" i="6"/>
  <c r="R167" i="6"/>
  <c r="S167" i="6"/>
  <c r="T167" i="6"/>
  <c r="U167" i="6"/>
  <c r="V167" i="6"/>
  <c r="W167" i="6"/>
  <c r="X167" i="6"/>
  <c r="R166" i="6"/>
  <c r="S166" i="6"/>
  <c r="T166" i="6"/>
  <c r="U166" i="6"/>
  <c r="V166" i="6"/>
  <c r="W166" i="6"/>
  <c r="X166" i="6"/>
  <c r="R164" i="6"/>
  <c r="S164" i="6"/>
  <c r="T164" i="6"/>
  <c r="U164" i="6"/>
  <c r="V164" i="6"/>
  <c r="W164" i="6"/>
  <c r="X164" i="6"/>
  <c r="R163" i="6"/>
  <c r="S163" i="6"/>
  <c r="T163" i="6"/>
  <c r="U163" i="6"/>
  <c r="V163" i="6"/>
  <c r="W163" i="6"/>
  <c r="X163" i="6"/>
  <c r="R155" i="6"/>
  <c r="S155" i="6"/>
  <c r="T155" i="6"/>
  <c r="U155" i="6"/>
  <c r="V155" i="6"/>
  <c r="W155" i="6"/>
  <c r="X155" i="6"/>
  <c r="R154" i="6"/>
  <c r="S154" i="6"/>
  <c r="T154" i="6"/>
  <c r="U154" i="6"/>
  <c r="V154" i="6"/>
  <c r="W154" i="6"/>
  <c r="X154" i="6"/>
  <c r="R152" i="6"/>
  <c r="S152" i="6"/>
  <c r="T152" i="6"/>
  <c r="U152" i="6"/>
  <c r="V152" i="6"/>
  <c r="W152" i="6"/>
  <c r="X152" i="6"/>
  <c r="R151" i="6"/>
  <c r="S151" i="6"/>
  <c r="T151" i="6"/>
  <c r="U151" i="6"/>
  <c r="V151" i="6"/>
  <c r="W151" i="6"/>
  <c r="X151" i="6"/>
  <c r="R150" i="6"/>
  <c r="S150" i="6"/>
  <c r="T150" i="6"/>
  <c r="U150" i="6"/>
  <c r="V150" i="6"/>
  <c r="W150" i="6"/>
  <c r="X150" i="6"/>
  <c r="R149" i="6"/>
  <c r="S149" i="6"/>
  <c r="T149" i="6"/>
  <c r="U149" i="6"/>
  <c r="V149" i="6"/>
  <c r="W149" i="6"/>
  <c r="X149" i="6"/>
  <c r="R148" i="6"/>
  <c r="S148" i="6"/>
  <c r="T148" i="6"/>
  <c r="U148" i="6"/>
  <c r="V148" i="6"/>
  <c r="W148" i="6"/>
  <c r="X148" i="6"/>
  <c r="R147" i="6"/>
  <c r="S147" i="6"/>
  <c r="T147" i="6"/>
  <c r="U147" i="6"/>
  <c r="V147" i="6"/>
  <c r="W147" i="6"/>
  <c r="X147" i="6"/>
  <c r="Q147" i="6"/>
  <c r="Q148" i="6"/>
  <c r="Q149" i="6"/>
  <c r="Q150" i="6"/>
  <c r="Q151" i="6"/>
  <c r="Q152" i="6"/>
  <c r="Q154" i="6"/>
  <c r="Q155" i="6"/>
  <c r="Q163" i="6"/>
  <c r="Q164" i="6"/>
  <c r="Q165" i="6"/>
  <c r="Q166" i="6"/>
  <c r="Q167" i="6"/>
  <c r="Q168" i="6"/>
  <c r="Q169" i="6"/>
  <c r="Q170" i="6"/>
  <c r="Q171" i="6"/>
  <c r="Q172" i="6"/>
  <c r="Q173" i="6"/>
  <c r="F173" i="6"/>
  <c r="G173" i="6"/>
  <c r="H173" i="6"/>
  <c r="I173" i="6"/>
  <c r="J173" i="6"/>
  <c r="K173" i="6"/>
  <c r="L173" i="6"/>
  <c r="M173" i="6"/>
  <c r="N173" i="6"/>
  <c r="F172" i="6"/>
  <c r="G172" i="6"/>
  <c r="H172" i="6"/>
  <c r="I172" i="6"/>
  <c r="J172" i="6"/>
  <c r="K172" i="6"/>
  <c r="L172" i="6"/>
  <c r="M172" i="6"/>
  <c r="N172" i="6"/>
  <c r="F170" i="6"/>
  <c r="G170" i="6"/>
  <c r="H170" i="6"/>
  <c r="I170" i="6"/>
  <c r="J170" i="6"/>
  <c r="K170" i="6"/>
  <c r="L170" i="6"/>
  <c r="M170" i="6"/>
  <c r="N170" i="6"/>
  <c r="F169" i="6"/>
  <c r="G169" i="6"/>
  <c r="H169" i="6"/>
  <c r="I169" i="6"/>
  <c r="J169" i="6"/>
  <c r="K169" i="6"/>
  <c r="L169" i="6"/>
  <c r="M169" i="6"/>
  <c r="N169" i="6"/>
  <c r="F167" i="6"/>
  <c r="G167" i="6"/>
  <c r="H167" i="6"/>
  <c r="I167" i="6"/>
  <c r="J167" i="6"/>
  <c r="K167" i="6"/>
  <c r="L167" i="6"/>
  <c r="M167" i="6"/>
  <c r="N167" i="6"/>
  <c r="F166" i="6"/>
  <c r="G166" i="6"/>
  <c r="H166" i="6"/>
  <c r="I166" i="6"/>
  <c r="J166" i="6"/>
  <c r="K166" i="6"/>
  <c r="L166" i="6"/>
  <c r="M166" i="6"/>
  <c r="N166" i="6"/>
  <c r="F164" i="6"/>
  <c r="G164" i="6"/>
  <c r="H164" i="6"/>
  <c r="I164" i="6"/>
  <c r="J164" i="6"/>
  <c r="K164" i="6"/>
  <c r="L164" i="6"/>
  <c r="M164" i="6"/>
  <c r="N164" i="6"/>
  <c r="F163" i="6"/>
  <c r="G163" i="6"/>
  <c r="H163" i="6"/>
  <c r="I163" i="6"/>
  <c r="J163" i="6"/>
  <c r="K163" i="6"/>
  <c r="L163" i="6"/>
  <c r="M163" i="6"/>
  <c r="N163" i="6"/>
  <c r="F155" i="6"/>
  <c r="G155" i="6"/>
  <c r="H155" i="6"/>
  <c r="I155" i="6"/>
  <c r="J155" i="6"/>
  <c r="K155" i="6"/>
  <c r="L155" i="6"/>
  <c r="M155" i="6"/>
  <c r="N155" i="6"/>
  <c r="F152" i="6"/>
  <c r="G152" i="6"/>
  <c r="H152" i="6"/>
  <c r="I152" i="6"/>
  <c r="J152" i="6"/>
  <c r="K152" i="6"/>
  <c r="L152" i="6"/>
  <c r="M152" i="6"/>
  <c r="N152" i="6"/>
  <c r="F151" i="6"/>
  <c r="G151" i="6"/>
  <c r="H151" i="6"/>
  <c r="I151" i="6"/>
  <c r="J151" i="6"/>
  <c r="K151" i="6"/>
  <c r="L151" i="6"/>
  <c r="M151" i="6"/>
  <c r="N151" i="6"/>
  <c r="F150" i="6"/>
  <c r="G150" i="6"/>
  <c r="H150" i="6"/>
  <c r="I150" i="6"/>
  <c r="J150" i="6"/>
  <c r="K150" i="6"/>
  <c r="L150" i="6"/>
  <c r="M150" i="6"/>
  <c r="N150" i="6"/>
  <c r="F149" i="6"/>
  <c r="G149" i="6"/>
  <c r="H149" i="6"/>
  <c r="I149" i="6"/>
  <c r="J149" i="6"/>
  <c r="K149" i="6"/>
  <c r="L149" i="6"/>
  <c r="M149" i="6"/>
  <c r="N149" i="6"/>
  <c r="F148" i="6"/>
  <c r="G148" i="6"/>
  <c r="H148" i="6"/>
  <c r="I148" i="6"/>
  <c r="J148" i="6"/>
  <c r="K148" i="6"/>
  <c r="L148" i="6"/>
  <c r="M148" i="6"/>
  <c r="N148" i="6"/>
  <c r="N147" i="6"/>
  <c r="F147" i="6"/>
  <c r="G147" i="6"/>
  <c r="H147" i="6"/>
  <c r="I147" i="6"/>
  <c r="J147" i="6"/>
  <c r="K147" i="6"/>
  <c r="L147" i="6"/>
  <c r="M147" i="6"/>
  <c r="X143" i="6"/>
  <c r="X144" i="6"/>
  <c r="F145" i="6"/>
  <c r="G145" i="6"/>
  <c r="H145" i="6"/>
  <c r="I145" i="6"/>
  <c r="J145" i="6"/>
  <c r="K145" i="6"/>
  <c r="L145" i="6"/>
  <c r="M145" i="6"/>
  <c r="N145" i="6"/>
  <c r="Q145" i="6"/>
  <c r="R145" i="6"/>
  <c r="S145" i="6"/>
  <c r="T145" i="6"/>
  <c r="U145" i="6"/>
  <c r="V145" i="6"/>
  <c r="W145" i="6"/>
  <c r="X145" i="6"/>
  <c r="F144" i="6"/>
  <c r="G144" i="6"/>
  <c r="H144" i="6"/>
  <c r="I144" i="6"/>
  <c r="J144" i="6"/>
  <c r="K144" i="6"/>
  <c r="L144" i="6"/>
  <c r="M144" i="6"/>
  <c r="N144" i="6"/>
  <c r="Q144" i="6"/>
  <c r="R144" i="6"/>
  <c r="S144" i="6"/>
  <c r="T144" i="6"/>
  <c r="U144" i="6"/>
  <c r="V144" i="6"/>
  <c r="W144" i="6"/>
  <c r="F143" i="6"/>
  <c r="G143" i="6"/>
  <c r="H143" i="6"/>
  <c r="I143" i="6"/>
  <c r="J143" i="6"/>
  <c r="K143" i="6"/>
  <c r="L143" i="6"/>
  <c r="M143" i="6"/>
  <c r="N143" i="6"/>
  <c r="Q143" i="6"/>
  <c r="R143" i="6"/>
  <c r="S143" i="6"/>
  <c r="T143" i="6"/>
  <c r="U143" i="6"/>
  <c r="V143" i="6"/>
  <c r="W143" i="6"/>
  <c r="F142" i="6"/>
  <c r="G142" i="6"/>
  <c r="H142" i="6"/>
  <c r="I142" i="6"/>
  <c r="J142" i="6"/>
  <c r="K142" i="6"/>
  <c r="L142" i="6"/>
  <c r="M142" i="6"/>
  <c r="N142" i="6"/>
  <c r="Q142" i="6"/>
  <c r="R142" i="6"/>
  <c r="S142" i="6"/>
  <c r="T142" i="6"/>
  <c r="U142" i="6"/>
  <c r="V142" i="6"/>
  <c r="W142" i="6"/>
  <c r="X142" i="6"/>
  <c r="E143" i="6"/>
  <c r="E144" i="6"/>
  <c r="E145" i="6"/>
  <c r="E147" i="6"/>
  <c r="E148" i="6"/>
  <c r="E149" i="6"/>
  <c r="E150" i="6"/>
  <c r="E151" i="6"/>
  <c r="E152" i="6"/>
  <c r="E163" i="6"/>
  <c r="E164" i="6"/>
  <c r="E165" i="6"/>
  <c r="E166" i="6"/>
  <c r="E167" i="6"/>
  <c r="E168" i="6"/>
  <c r="E169" i="6"/>
  <c r="E170" i="6"/>
  <c r="E171" i="6"/>
  <c r="E172" i="6"/>
  <c r="E173" i="6"/>
  <c r="E142" i="6"/>
  <c r="E101" i="6"/>
  <c r="R132" i="6"/>
  <c r="S132" i="6"/>
  <c r="T132" i="6"/>
  <c r="U132" i="6"/>
  <c r="V132" i="6"/>
  <c r="W132" i="6"/>
  <c r="X132" i="6"/>
  <c r="R129" i="6"/>
  <c r="S129" i="6"/>
  <c r="T129" i="6"/>
  <c r="U129" i="6"/>
  <c r="V129" i="6"/>
  <c r="W129" i="6"/>
  <c r="X129" i="6"/>
  <c r="R127" i="6"/>
  <c r="S127" i="6"/>
  <c r="T127" i="6"/>
  <c r="U127" i="6"/>
  <c r="V127" i="6"/>
  <c r="W127" i="6"/>
  <c r="X127" i="6"/>
  <c r="R125" i="6"/>
  <c r="S125" i="6"/>
  <c r="T125" i="6"/>
  <c r="U125" i="6"/>
  <c r="V125" i="6"/>
  <c r="W125" i="6"/>
  <c r="X125" i="6"/>
  <c r="R122" i="6"/>
  <c r="S122" i="6"/>
  <c r="T122" i="6"/>
  <c r="U122" i="6"/>
  <c r="V122" i="6"/>
  <c r="W122" i="6"/>
  <c r="X122" i="6"/>
  <c r="R118" i="6"/>
  <c r="S118" i="6"/>
  <c r="T118" i="6"/>
  <c r="U118" i="6"/>
  <c r="V118" i="6"/>
  <c r="W118" i="6"/>
  <c r="X118" i="6"/>
  <c r="R114" i="6"/>
  <c r="S114" i="6"/>
  <c r="T114" i="6"/>
  <c r="U114" i="6"/>
  <c r="V114" i="6"/>
  <c r="W114" i="6"/>
  <c r="X114" i="6"/>
  <c r="R112" i="6"/>
  <c r="S112" i="6"/>
  <c r="T112" i="6"/>
  <c r="U112" i="6"/>
  <c r="V112" i="6"/>
  <c r="W112" i="6"/>
  <c r="X112" i="6"/>
  <c r="R110" i="6"/>
  <c r="S110" i="6"/>
  <c r="T110" i="6"/>
  <c r="U110" i="6"/>
  <c r="V110" i="6"/>
  <c r="W110" i="6"/>
  <c r="X110" i="6"/>
  <c r="R107" i="6"/>
  <c r="S107" i="6"/>
  <c r="T107" i="6"/>
  <c r="U107" i="6"/>
  <c r="V107" i="6"/>
  <c r="W107" i="6"/>
  <c r="X107" i="6"/>
  <c r="R104" i="6"/>
  <c r="S104" i="6"/>
  <c r="T104" i="6"/>
  <c r="U104" i="6"/>
  <c r="V104" i="6"/>
  <c r="W104" i="6"/>
  <c r="X104" i="6"/>
  <c r="Q102" i="6"/>
  <c r="Q104" i="6"/>
  <c r="Q105" i="6"/>
  <c r="Q107" i="6"/>
  <c r="Q108" i="6"/>
  <c r="Q110" i="6"/>
  <c r="Q112" i="6"/>
  <c r="Q114" i="6"/>
  <c r="Q118" i="6"/>
  <c r="Q119" i="6"/>
  <c r="Q120" i="6"/>
  <c r="Q122" i="6"/>
  <c r="Q123" i="6"/>
  <c r="Q125" i="6"/>
  <c r="Q127" i="6"/>
  <c r="Q129" i="6"/>
  <c r="Q130" i="6"/>
  <c r="Q132" i="6"/>
  <c r="Q133" i="6"/>
  <c r="Y133" i="6" s="1"/>
  <c r="R101" i="6"/>
  <c r="S101" i="6"/>
  <c r="T101" i="6"/>
  <c r="U101" i="6"/>
  <c r="V101" i="6"/>
  <c r="W101" i="6"/>
  <c r="X101" i="6"/>
  <c r="Q101" i="6"/>
  <c r="F132" i="6"/>
  <c r="G132" i="6"/>
  <c r="H132" i="6"/>
  <c r="I132" i="6"/>
  <c r="J132" i="6"/>
  <c r="K132" i="6"/>
  <c r="L132" i="6"/>
  <c r="M132" i="6"/>
  <c r="N132" i="6"/>
  <c r="F129" i="6"/>
  <c r="G129" i="6"/>
  <c r="H129" i="6"/>
  <c r="I129" i="6"/>
  <c r="J129" i="6"/>
  <c r="K129" i="6"/>
  <c r="L129" i="6"/>
  <c r="M129" i="6"/>
  <c r="N129" i="6"/>
  <c r="F127" i="6"/>
  <c r="G127" i="6"/>
  <c r="H127" i="6"/>
  <c r="I127" i="6"/>
  <c r="J127" i="6"/>
  <c r="K127" i="6"/>
  <c r="L127" i="6"/>
  <c r="M127" i="6"/>
  <c r="N127" i="6"/>
  <c r="F125" i="6"/>
  <c r="G125" i="6"/>
  <c r="H125" i="6"/>
  <c r="I125" i="6"/>
  <c r="J125" i="6"/>
  <c r="K125" i="6"/>
  <c r="L125" i="6"/>
  <c r="M125" i="6"/>
  <c r="N125" i="6"/>
  <c r="F122" i="6"/>
  <c r="G122" i="6"/>
  <c r="H122" i="6"/>
  <c r="I122" i="6"/>
  <c r="J122" i="6"/>
  <c r="K122" i="6"/>
  <c r="L122" i="6"/>
  <c r="M122" i="6"/>
  <c r="N122" i="6"/>
  <c r="F118" i="6"/>
  <c r="G118" i="6"/>
  <c r="H118" i="6"/>
  <c r="I118" i="6"/>
  <c r="J118" i="6"/>
  <c r="K118" i="6"/>
  <c r="L118" i="6"/>
  <c r="M118" i="6"/>
  <c r="N118" i="6"/>
  <c r="F114" i="6"/>
  <c r="G114" i="6"/>
  <c r="H114" i="6"/>
  <c r="I114" i="6"/>
  <c r="J114" i="6"/>
  <c r="K114" i="6"/>
  <c r="L114" i="6"/>
  <c r="M114" i="6"/>
  <c r="N114" i="6"/>
  <c r="F112" i="6"/>
  <c r="G112" i="6"/>
  <c r="H112" i="6"/>
  <c r="I112" i="6"/>
  <c r="J112" i="6"/>
  <c r="K112" i="6"/>
  <c r="L112" i="6"/>
  <c r="M112" i="6"/>
  <c r="N112" i="6"/>
  <c r="F110" i="6"/>
  <c r="G110" i="6"/>
  <c r="H110" i="6"/>
  <c r="I110" i="6"/>
  <c r="J110" i="6"/>
  <c r="K110" i="6"/>
  <c r="L110" i="6"/>
  <c r="M110" i="6"/>
  <c r="N110" i="6"/>
  <c r="F107" i="6"/>
  <c r="G107" i="6"/>
  <c r="H107" i="6"/>
  <c r="I107" i="6"/>
  <c r="J107" i="6"/>
  <c r="K107" i="6"/>
  <c r="L107" i="6"/>
  <c r="M107" i="6"/>
  <c r="N107" i="6"/>
  <c r="F104" i="6"/>
  <c r="G104" i="6"/>
  <c r="H104" i="6"/>
  <c r="I104" i="6"/>
  <c r="J104" i="6"/>
  <c r="K104" i="6"/>
  <c r="L104" i="6"/>
  <c r="M104" i="6"/>
  <c r="N104" i="6"/>
  <c r="F101" i="6"/>
  <c r="G101" i="6"/>
  <c r="H101" i="6"/>
  <c r="I101" i="6"/>
  <c r="J101" i="6"/>
  <c r="K101" i="6"/>
  <c r="L101" i="6"/>
  <c r="M101" i="6"/>
  <c r="N101" i="6"/>
  <c r="E102" i="6"/>
  <c r="E104" i="6"/>
  <c r="E105" i="6"/>
  <c r="E107" i="6"/>
  <c r="E108" i="6"/>
  <c r="E110" i="6"/>
  <c r="E112" i="6"/>
  <c r="E114" i="6"/>
  <c r="E118" i="6"/>
  <c r="E119" i="6"/>
  <c r="E120" i="6"/>
  <c r="E122" i="6"/>
  <c r="E123" i="6"/>
  <c r="E125" i="6"/>
  <c r="E127" i="6"/>
  <c r="E129" i="6"/>
  <c r="E130" i="6"/>
  <c r="E132" i="6"/>
  <c r="E133" i="6"/>
  <c r="F70" i="6"/>
  <c r="G70" i="6"/>
  <c r="H70" i="6"/>
  <c r="I70" i="6"/>
  <c r="J70" i="6"/>
  <c r="K70" i="6"/>
  <c r="L70" i="6"/>
  <c r="M70" i="6"/>
  <c r="N70" i="6"/>
  <c r="Q70" i="6"/>
  <c r="R70" i="6"/>
  <c r="S70" i="6"/>
  <c r="T70" i="6"/>
  <c r="U70" i="6"/>
  <c r="V70" i="6"/>
  <c r="W70" i="6"/>
  <c r="X70" i="6"/>
  <c r="F67" i="6"/>
  <c r="G67" i="6"/>
  <c r="H67" i="6"/>
  <c r="I67" i="6"/>
  <c r="J67" i="6"/>
  <c r="K67" i="6"/>
  <c r="L67" i="6"/>
  <c r="M67" i="6"/>
  <c r="N67" i="6"/>
  <c r="O67" i="6"/>
  <c r="Q67" i="6"/>
  <c r="R67" i="6"/>
  <c r="S67" i="6"/>
  <c r="T67" i="6"/>
  <c r="U67" i="6"/>
  <c r="V67" i="6"/>
  <c r="W67" i="6"/>
  <c r="X67" i="6"/>
  <c r="F64" i="6"/>
  <c r="G64" i="6"/>
  <c r="H64" i="6"/>
  <c r="I64" i="6"/>
  <c r="J64" i="6"/>
  <c r="K64" i="6"/>
  <c r="L64" i="6"/>
  <c r="M64" i="6"/>
  <c r="N64" i="6"/>
  <c r="O64" i="6"/>
  <c r="Q64" i="6"/>
  <c r="R64" i="6"/>
  <c r="S64" i="6"/>
  <c r="T64" i="6"/>
  <c r="U64" i="6"/>
  <c r="V64" i="6"/>
  <c r="W64" i="6"/>
  <c r="X64" i="6"/>
  <c r="E64" i="6"/>
  <c r="E67" i="6"/>
  <c r="E70" i="6"/>
  <c r="E77" i="6"/>
  <c r="Y77" i="6" s="1"/>
  <c r="E82" i="6"/>
  <c r="Y82" i="6" s="1"/>
  <c r="E83" i="6"/>
  <c r="Y83" i="6" s="1"/>
  <c r="E88" i="6"/>
  <c r="Y88" i="6" s="1"/>
  <c r="E93" i="6"/>
  <c r="Y93" i="6" s="1"/>
  <c r="E35" i="6"/>
  <c r="F51" i="6"/>
  <c r="G51" i="6"/>
  <c r="H51" i="6"/>
  <c r="I51" i="6"/>
  <c r="J51" i="6"/>
  <c r="K51" i="6"/>
  <c r="L51" i="6"/>
  <c r="M51" i="6"/>
  <c r="N51" i="6"/>
  <c r="Q51" i="6"/>
  <c r="R51" i="6"/>
  <c r="S51" i="6"/>
  <c r="T51" i="6"/>
  <c r="U51" i="6"/>
  <c r="V51" i="6"/>
  <c r="W51" i="6"/>
  <c r="X51" i="6"/>
  <c r="F49" i="6"/>
  <c r="G49" i="6"/>
  <c r="H49" i="6"/>
  <c r="I49" i="6"/>
  <c r="J49" i="6"/>
  <c r="K49" i="6"/>
  <c r="L49" i="6"/>
  <c r="M49" i="6"/>
  <c r="N49" i="6"/>
  <c r="Q49" i="6"/>
  <c r="R49" i="6"/>
  <c r="S49" i="6"/>
  <c r="T49" i="6"/>
  <c r="U49" i="6"/>
  <c r="V49" i="6"/>
  <c r="W49" i="6"/>
  <c r="X49" i="6"/>
  <c r="F47" i="6"/>
  <c r="G47" i="6"/>
  <c r="H47" i="6"/>
  <c r="I47" i="6"/>
  <c r="J47" i="6"/>
  <c r="K47" i="6"/>
  <c r="L47" i="6"/>
  <c r="M47" i="6"/>
  <c r="N47" i="6"/>
  <c r="Q47" i="6"/>
  <c r="R47" i="6"/>
  <c r="S47" i="6"/>
  <c r="T47" i="6"/>
  <c r="U47" i="6"/>
  <c r="V47" i="6"/>
  <c r="W47" i="6"/>
  <c r="X47" i="6"/>
  <c r="F46" i="6"/>
  <c r="G46" i="6"/>
  <c r="H46" i="6"/>
  <c r="I46" i="6"/>
  <c r="J46" i="6"/>
  <c r="K46" i="6"/>
  <c r="L46" i="6"/>
  <c r="M46" i="6"/>
  <c r="N46" i="6"/>
  <c r="Q46" i="6"/>
  <c r="R46" i="6"/>
  <c r="S46" i="6"/>
  <c r="T46" i="6"/>
  <c r="U46" i="6"/>
  <c r="V46" i="6"/>
  <c r="W46" i="6"/>
  <c r="X46" i="6"/>
  <c r="X43" i="6"/>
  <c r="F44" i="6"/>
  <c r="G44" i="6"/>
  <c r="H44" i="6"/>
  <c r="I44" i="6"/>
  <c r="J44" i="6"/>
  <c r="K44" i="6"/>
  <c r="L44" i="6"/>
  <c r="M44" i="6"/>
  <c r="N44" i="6"/>
  <c r="Q44" i="6"/>
  <c r="R44" i="6"/>
  <c r="S44" i="6"/>
  <c r="T44" i="6"/>
  <c r="U44" i="6"/>
  <c r="V44" i="6"/>
  <c r="W44" i="6"/>
  <c r="X44" i="6"/>
  <c r="F43" i="6"/>
  <c r="G43" i="6"/>
  <c r="H43" i="6"/>
  <c r="I43" i="6"/>
  <c r="J43" i="6"/>
  <c r="K43" i="6"/>
  <c r="L43" i="6"/>
  <c r="M43" i="6"/>
  <c r="N43" i="6"/>
  <c r="Q43" i="6"/>
  <c r="R43" i="6"/>
  <c r="S43" i="6"/>
  <c r="T43" i="6"/>
  <c r="U43" i="6"/>
  <c r="V43" i="6"/>
  <c r="W43" i="6"/>
  <c r="F41" i="6"/>
  <c r="G41" i="6"/>
  <c r="H41" i="6"/>
  <c r="I41" i="6"/>
  <c r="J41" i="6"/>
  <c r="K41" i="6"/>
  <c r="L41" i="6"/>
  <c r="M41" i="6"/>
  <c r="N41" i="6"/>
  <c r="Q41" i="6"/>
  <c r="R41" i="6"/>
  <c r="S41" i="6"/>
  <c r="T41" i="6"/>
  <c r="U41" i="6"/>
  <c r="V41" i="6"/>
  <c r="W41" i="6"/>
  <c r="X41" i="6"/>
  <c r="F39" i="6"/>
  <c r="G39" i="6"/>
  <c r="H39" i="6"/>
  <c r="I39" i="6"/>
  <c r="J39" i="6"/>
  <c r="K39" i="6"/>
  <c r="L39" i="6"/>
  <c r="M39" i="6"/>
  <c r="N39" i="6"/>
  <c r="Q39" i="6"/>
  <c r="R39" i="6"/>
  <c r="S39" i="6"/>
  <c r="T39" i="6"/>
  <c r="U39" i="6"/>
  <c r="V39" i="6"/>
  <c r="W39" i="6"/>
  <c r="X39" i="6"/>
  <c r="F38" i="6"/>
  <c r="G38" i="6"/>
  <c r="H38" i="6"/>
  <c r="I38" i="6"/>
  <c r="J38" i="6"/>
  <c r="K38" i="6"/>
  <c r="L38" i="6"/>
  <c r="M38" i="6"/>
  <c r="N38" i="6"/>
  <c r="Q38" i="6"/>
  <c r="R38" i="6"/>
  <c r="S38" i="6"/>
  <c r="T38" i="6"/>
  <c r="U38" i="6"/>
  <c r="V38" i="6"/>
  <c r="W38" i="6"/>
  <c r="X38" i="6"/>
  <c r="F36" i="6"/>
  <c r="G36" i="6"/>
  <c r="H36" i="6"/>
  <c r="I36" i="6"/>
  <c r="J36" i="6"/>
  <c r="K36" i="6"/>
  <c r="L36" i="6"/>
  <c r="M36" i="6"/>
  <c r="N36" i="6"/>
  <c r="Q36" i="6"/>
  <c r="R36" i="6"/>
  <c r="S36" i="6"/>
  <c r="T36" i="6"/>
  <c r="U36" i="6"/>
  <c r="V36" i="6"/>
  <c r="W36" i="6"/>
  <c r="X36" i="6"/>
  <c r="F35" i="6"/>
  <c r="G35" i="6"/>
  <c r="H35" i="6"/>
  <c r="I35" i="6"/>
  <c r="J35" i="6"/>
  <c r="K35" i="6"/>
  <c r="L35" i="6"/>
  <c r="M35" i="6"/>
  <c r="N35" i="6"/>
  <c r="Q35" i="6"/>
  <c r="R35" i="6"/>
  <c r="S35" i="6"/>
  <c r="T35" i="6"/>
  <c r="U35" i="6"/>
  <c r="V35" i="6"/>
  <c r="W35" i="6"/>
  <c r="X35" i="6"/>
  <c r="E36" i="6"/>
  <c r="E38" i="6"/>
  <c r="E39" i="6"/>
  <c r="E41" i="6"/>
  <c r="E43" i="6"/>
  <c r="E44" i="6"/>
  <c r="E46" i="6"/>
  <c r="E47" i="6"/>
  <c r="E49" i="6"/>
  <c r="E51" i="6"/>
  <c r="E52" i="6"/>
  <c r="Y52" i="6" s="1"/>
  <c r="E5" i="6"/>
  <c r="F12" i="6"/>
  <c r="G12" i="6"/>
  <c r="H12" i="6"/>
  <c r="I12" i="6"/>
  <c r="J12" i="6"/>
  <c r="K12" i="6"/>
  <c r="L12" i="6"/>
  <c r="M12" i="6"/>
  <c r="N12" i="6"/>
  <c r="Q12" i="6"/>
  <c r="R12" i="6"/>
  <c r="R15" i="12" s="1"/>
  <c r="S12" i="6"/>
  <c r="S15" i="12" s="1"/>
  <c r="T12" i="6"/>
  <c r="T15" i="12" s="1"/>
  <c r="U12" i="6"/>
  <c r="U15" i="12" s="1"/>
  <c r="V12" i="6"/>
  <c r="W12" i="6"/>
  <c r="X12" i="6"/>
  <c r="F11" i="6"/>
  <c r="G11" i="6"/>
  <c r="G14" i="12" s="1"/>
  <c r="H11" i="6"/>
  <c r="H14" i="12" s="1"/>
  <c r="I11" i="6"/>
  <c r="I14" i="12" s="1"/>
  <c r="J11" i="6"/>
  <c r="J14" i="12" s="1"/>
  <c r="K11" i="6"/>
  <c r="L11" i="6"/>
  <c r="M11" i="6"/>
  <c r="N11" i="6"/>
  <c r="Q11" i="6"/>
  <c r="R11" i="6"/>
  <c r="R14" i="12" s="1"/>
  <c r="S11" i="6"/>
  <c r="S14" i="12" s="1"/>
  <c r="T11" i="6"/>
  <c r="T14" i="12" s="1"/>
  <c r="U11" i="6"/>
  <c r="U14" i="12" s="1"/>
  <c r="V11" i="6"/>
  <c r="W11" i="6"/>
  <c r="W14" i="12" s="1"/>
  <c r="X11" i="6"/>
  <c r="F10" i="6"/>
  <c r="G10" i="6"/>
  <c r="G13" i="12" s="1"/>
  <c r="H10" i="6"/>
  <c r="H13" i="12" s="1"/>
  <c r="I10" i="6"/>
  <c r="I13" i="12" s="1"/>
  <c r="J10" i="6"/>
  <c r="J13" i="12" s="1"/>
  <c r="K10" i="6"/>
  <c r="L10" i="6"/>
  <c r="M10" i="6"/>
  <c r="N10" i="6"/>
  <c r="Q10" i="6"/>
  <c r="Q13" i="12" s="1"/>
  <c r="R10" i="6"/>
  <c r="R13" i="12" s="1"/>
  <c r="S10" i="6"/>
  <c r="S13" i="12" s="1"/>
  <c r="T10" i="6"/>
  <c r="T13" i="12" s="1"/>
  <c r="U10" i="6"/>
  <c r="V10" i="6"/>
  <c r="V13" i="12" s="1"/>
  <c r="W10" i="6"/>
  <c r="X10" i="6"/>
  <c r="F8" i="6"/>
  <c r="G8" i="6"/>
  <c r="G11" i="12" s="1"/>
  <c r="H8" i="6"/>
  <c r="H11" i="12" s="1"/>
  <c r="I8" i="6"/>
  <c r="J8" i="6"/>
  <c r="K8" i="6"/>
  <c r="L8" i="6"/>
  <c r="L11" i="12" s="1"/>
  <c r="M8" i="6"/>
  <c r="N8" i="6"/>
  <c r="Q8" i="6"/>
  <c r="Q11" i="12" s="1"/>
  <c r="R8" i="6"/>
  <c r="R11" i="12" s="1"/>
  <c r="S8" i="6"/>
  <c r="S11" i="12" s="1"/>
  <c r="T8" i="6"/>
  <c r="T11" i="12" s="1"/>
  <c r="U8" i="6"/>
  <c r="U11" i="12" s="1"/>
  <c r="V8" i="6"/>
  <c r="V11" i="12" s="1"/>
  <c r="W8" i="6"/>
  <c r="W11" i="12" s="1"/>
  <c r="X8" i="6"/>
  <c r="F7" i="6"/>
  <c r="F10" i="12" s="1"/>
  <c r="G7" i="6"/>
  <c r="G10" i="12" s="1"/>
  <c r="H7" i="6"/>
  <c r="I7" i="6"/>
  <c r="J7" i="6"/>
  <c r="K7" i="6"/>
  <c r="L7" i="6"/>
  <c r="M7" i="6"/>
  <c r="M10" i="12" s="1"/>
  <c r="N7" i="6"/>
  <c r="N10" i="12" s="1"/>
  <c r="Q7" i="6"/>
  <c r="R7" i="6"/>
  <c r="R10" i="12" s="1"/>
  <c r="S7" i="6"/>
  <c r="T7" i="6"/>
  <c r="T10" i="12" s="1"/>
  <c r="U7" i="6"/>
  <c r="U10" i="12" s="1"/>
  <c r="V7" i="6"/>
  <c r="V10" i="12" s="1"/>
  <c r="W7" i="6"/>
  <c r="W10" i="12" s="1"/>
  <c r="X7" i="6"/>
  <c r="X10" i="12" s="1"/>
  <c r="F6" i="6"/>
  <c r="F9" i="12" s="1"/>
  <c r="G6" i="6"/>
  <c r="G9" i="12" s="1"/>
  <c r="H6" i="6"/>
  <c r="I6" i="6"/>
  <c r="J6" i="6"/>
  <c r="K6" i="6"/>
  <c r="L6" i="6"/>
  <c r="M6" i="6"/>
  <c r="M9" i="12" s="1"/>
  <c r="N6" i="6"/>
  <c r="N9" i="12" s="1"/>
  <c r="Q6" i="6"/>
  <c r="Q9" i="12" s="1"/>
  <c r="R6" i="6"/>
  <c r="S6" i="6"/>
  <c r="T6" i="6"/>
  <c r="T9" i="12" s="1"/>
  <c r="U6" i="6"/>
  <c r="U9" i="12" s="1"/>
  <c r="V6" i="6"/>
  <c r="V9" i="12" s="1"/>
  <c r="W6" i="6"/>
  <c r="W9" i="12" s="1"/>
  <c r="X6" i="6"/>
  <c r="X9" i="12" s="1"/>
  <c r="F5" i="6"/>
  <c r="F8" i="12" s="1"/>
  <c r="G5" i="6"/>
  <c r="H5" i="6"/>
  <c r="I5" i="6"/>
  <c r="J5" i="6"/>
  <c r="K5" i="6"/>
  <c r="L5" i="6"/>
  <c r="M5" i="6"/>
  <c r="M8" i="12" s="1"/>
  <c r="N5" i="6"/>
  <c r="N8" i="12" s="1"/>
  <c r="Q5" i="6"/>
  <c r="Q8" i="12" s="1"/>
  <c r="R5" i="6"/>
  <c r="S5" i="6"/>
  <c r="T5" i="6"/>
  <c r="T8" i="12" s="1"/>
  <c r="U5" i="6"/>
  <c r="U8" i="12" s="1"/>
  <c r="V5" i="6"/>
  <c r="W5" i="6"/>
  <c r="W8" i="12" s="1"/>
  <c r="X5" i="6"/>
  <c r="X8" i="12" s="1"/>
  <c r="F24" i="6"/>
  <c r="G24" i="6"/>
  <c r="H24" i="6"/>
  <c r="I24" i="6"/>
  <c r="J24" i="6"/>
  <c r="K24" i="6"/>
  <c r="L24" i="6"/>
  <c r="M24" i="6"/>
  <c r="M27" i="12" s="1"/>
  <c r="N24" i="6"/>
  <c r="N27" i="12" s="1"/>
  <c r="Q24" i="6"/>
  <c r="R24" i="6"/>
  <c r="S24" i="6"/>
  <c r="S27" i="12" s="1"/>
  <c r="T24" i="6"/>
  <c r="T27" i="12" s="1"/>
  <c r="U24" i="6"/>
  <c r="U27" i="12" s="1"/>
  <c r="V24" i="6"/>
  <c r="W24" i="6"/>
  <c r="W27" i="12" s="1"/>
  <c r="X24" i="6"/>
  <c r="X27" i="12" s="1"/>
  <c r="F22" i="6"/>
  <c r="G22" i="6"/>
  <c r="H22" i="6"/>
  <c r="I22" i="6"/>
  <c r="I25" i="12" s="1"/>
  <c r="J22" i="6"/>
  <c r="J25" i="12" s="1"/>
  <c r="K22" i="6"/>
  <c r="L22" i="6"/>
  <c r="M22" i="6"/>
  <c r="N22" i="6"/>
  <c r="Q22" i="6"/>
  <c r="Q25" i="12" s="1"/>
  <c r="R22" i="6"/>
  <c r="R25" i="12" s="1"/>
  <c r="S22" i="6"/>
  <c r="T22" i="6"/>
  <c r="T25" i="12" s="1"/>
  <c r="U22" i="6"/>
  <c r="U25" i="12" s="1"/>
  <c r="V22" i="6"/>
  <c r="W22" i="6"/>
  <c r="W25" i="12" s="1"/>
  <c r="X22" i="6"/>
  <c r="X25" i="12" s="1"/>
  <c r="F20" i="6"/>
  <c r="G20" i="6"/>
  <c r="H20" i="6"/>
  <c r="I20" i="6"/>
  <c r="J20" i="6"/>
  <c r="K20" i="6"/>
  <c r="L20" i="6"/>
  <c r="M20" i="6"/>
  <c r="N20" i="6"/>
  <c r="Q20" i="6"/>
  <c r="Q23" i="12" s="1"/>
  <c r="R20" i="6"/>
  <c r="R23" i="12" s="1"/>
  <c r="S20" i="6"/>
  <c r="S23" i="12" s="1"/>
  <c r="T20" i="6"/>
  <c r="T23" i="12" s="1"/>
  <c r="U20" i="6"/>
  <c r="V20" i="6"/>
  <c r="V23" i="12" s="1"/>
  <c r="W20" i="6"/>
  <c r="X20" i="6"/>
  <c r="F19" i="6"/>
  <c r="G19" i="6"/>
  <c r="H19" i="6"/>
  <c r="H22" i="12" s="1"/>
  <c r="I19" i="6"/>
  <c r="I22" i="12" s="1"/>
  <c r="J19" i="6"/>
  <c r="J22" i="12" s="1"/>
  <c r="K19" i="6"/>
  <c r="L19" i="6"/>
  <c r="M19" i="6"/>
  <c r="N19" i="6"/>
  <c r="Q19" i="6"/>
  <c r="Q22" i="12" s="1"/>
  <c r="R19" i="6"/>
  <c r="R22" i="12" s="1"/>
  <c r="S19" i="6"/>
  <c r="T19" i="6"/>
  <c r="U19" i="6"/>
  <c r="U22" i="12" s="1"/>
  <c r="V19" i="6"/>
  <c r="V22" i="12" s="1"/>
  <c r="W19" i="6"/>
  <c r="X19" i="6"/>
  <c r="X22" i="12" s="1"/>
  <c r="F17" i="6"/>
  <c r="G17" i="6"/>
  <c r="G20" i="12" s="1"/>
  <c r="H17" i="6"/>
  <c r="H20" i="12" s="1"/>
  <c r="I17" i="6"/>
  <c r="I20" i="12" s="1"/>
  <c r="J17" i="6"/>
  <c r="K17" i="6"/>
  <c r="L17" i="6"/>
  <c r="M17" i="6"/>
  <c r="M20" i="12" s="1"/>
  <c r="N17" i="6"/>
  <c r="N20" i="12" s="1"/>
  <c r="Q17" i="6"/>
  <c r="Q20" i="12" s="1"/>
  <c r="R17" i="6"/>
  <c r="R20" i="12" s="1"/>
  <c r="S17" i="6"/>
  <c r="S20" i="12" s="1"/>
  <c r="T17" i="6"/>
  <c r="T20" i="12" s="1"/>
  <c r="U17" i="6"/>
  <c r="V17" i="6"/>
  <c r="V20" i="12" s="1"/>
  <c r="W17" i="6"/>
  <c r="X17" i="6"/>
  <c r="F16" i="6"/>
  <c r="G16" i="6"/>
  <c r="H16" i="6"/>
  <c r="H19" i="12" s="1"/>
  <c r="I16" i="6"/>
  <c r="J16" i="6"/>
  <c r="J19" i="12" s="1"/>
  <c r="K16" i="6"/>
  <c r="L16" i="6"/>
  <c r="L19" i="12" s="1"/>
  <c r="M16" i="6"/>
  <c r="M19" i="12" s="1"/>
  <c r="N16" i="6"/>
  <c r="N19" i="12" s="1"/>
  <c r="Q16" i="6"/>
  <c r="Q19" i="12" s="1"/>
  <c r="R16" i="6"/>
  <c r="S16" i="6"/>
  <c r="S19" i="12" s="1"/>
  <c r="T16" i="6"/>
  <c r="T19" i="12" s="1"/>
  <c r="U16" i="6"/>
  <c r="V16" i="6"/>
  <c r="V19" i="12" s="1"/>
  <c r="W16" i="6"/>
  <c r="X16" i="6"/>
  <c r="F14" i="6"/>
  <c r="F17" i="12" s="1"/>
  <c r="G14" i="6"/>
  <c r="G17" i="12" s="1"/>
  <c r="H14" i="6"/>
  <c r="H17" i="12" s="1"/>
  <c r="I14" i="6"/>
  <c r="J14" i="6"/>
  <c r="K14" i="6"/>
  <c r="L14" i="6"/>
  <c r="M14" i="6"/>
  <c r="M17" i="12" s="1"/>
  <c r="N14" i="6"/>
  <c r="N17" i="12" s="1"/>
  <c r="Q14" i="6"/>
  <c r="R14" i="6"/>
  <c r="R17" i="12" s="1"/>
  <c r="S14" i="6"/>
  <c r="T14" i="6"/>
  <c r="T17" i="12" s="1"/>
  <c r="U14" i="6"/>
  <c r="U17" i="12" s="1"/>
  <c r="V14" i="6"/>
  <c r="V17" i="12" s="1"/>
  <c r="W14" i="6"/>
  <c r="X14" i="6"/>
  <c r="E6" i="6"/>
  <c r="E9" i="12" s="1"/>
  <c r="E7" i="6"/>
  <c r="E8" i="6"/>
  <c r="E11" i="12" s="1"/>
  <c r="E11" i="6"/>
  <c r="E12" i="6"/>
  <c r="E14" i="6"/>
  <c r="E17" i="12" s="1"/>
  <c r="E16" i="6"/>
  <c r="E19" i="12" s="1"/>
  <c r="E17" i="6"/>
  <c r="E20" i="12" s="1"/>
  <c r="E19" i="6"/>
  <c r="E20" i="6"/>
  <c r="E22" i="6"/>
  <c r="E24" i="6"/>
  <c r="E27" i="12" s="1"/>
  <c r="Y173" i="8"/>
  <c r="Y172" i="8"/>
  <c r="Y170" i="8"/>
  <c r="Y169" i="8"/>
  <c r="Y167" i="8"/>
  <c r="Y166" i="8"/>
  <c r="Y164" i="8"/>
  <c r="Y163" i="8"/>
  <c r="Y161" i="8"/>
  <c r="Y155" i="8"/>
  <c r="Y154" i="8"/>
  <c r="Y152" i="8"/>
  <c r="Y151" i="8"/>
  <c r="Y150" i="8"/>
  <c r="Y149" i="8"/>
  <c r="Y148" i="8"/>
  <c r="Y147" i="8"/>
  <c r="Y145" i="8"/>
  <c r="Y144" i="8"/>
  <c r="Y143" i="8"/>
  <c r="Y142" i="8"/>
  <c r="Y133" i="8"/>
  <c r="Y130" i="8"/>
  <c r="Y129" i="8"/>
  <c r="Y127" i="8"/>
  <c r="Y125" i="8"/>
  <c r="Y122" i="8"/>
  <c r="Y120" i="8"/>
  <c r="Y119" i="8"/>
  <c r="Y118" i="8"/>
  <c r="Y116" i="8"/>
  <c r="Y114" i="8"/>
  <c r="Y112" i="8"/>
  <c r="Y110" i="8"/>
  <c r="Y108" i="8"/>
  <c r="Y107" i="8"/>
  <c r="Y105" i="8"/>
  <c r="Y104" i="8"/>
  <c r="Y102" i="8"/>
  <c r="Y101" i="8"/>
  <c r="Y94" i="8"/>
  <c r="Y92" i="8"/>
  <c r="Y91" i="8"/>
  <c r="Y89" i="8"/>
  <c r="Y87" i="8"/>
  <c r="Y86" i="8"/>
  <c r="Y84" i="8"/>
  <c r="Y82" i="8"/>
  <c r="Y81" i="8"/>
  <c r="Y80" i="8"/>
  <c r="Y78" i="8"/>
  <c r="Y76" i="8"/>
  <c r="Y75" i="8"/>
  <c r="Y73" i="8"/>
  <c r="Y71" i="8"/>
  <c r="Y69" i="8"/>
  <c r="Y68" i="8"/>
  <c r="Y66" i="8"/>
  <c r="Y65" i="8"/>
  <c r="Y63" i="8"/>
  <c r="Y62" i="8"/>
  <c r="Y52" i="8"/>
  <c r="Y51" i="8"/>
  <c r="Y49" i="8"/>
  <c r="Y47" i="8"/>
  <c r="Y46" i="8"/>
  <c r="Y44" i="8"/>
  <c r="Y43" i="8"/>
  <c r="Y41" i="8"/>
  <c r="Y39" i="8"/>
  <c r="Y38" i="8"/>
  <c r="Y36" i="8"/>
  <c r="Y35" i="8"/>
  <c r="Y24" i="8"/>
  <c r="Y22" i="8"/>
  <c r="Y19" i="8"/>
  <c r="Y17" i="8"/>
  <c r="Y16" i="8"/>
  <c r="Y14" i="8"/>
  <c r="Y11" i="8"/>
  <c r="Y10" i="8"/>
  <c r="Y8" i="8"/>
  <c r="Y7" i="8"/>
  <c r="Y6" i="8"/>
  <c r="Y5" i="8"/>
  <c r="Y155" i="3"/>
  <c r="Y161" i="3"/>
  <c r="Y162" i="3"/>
  <c r="Y164" i="3"/>
  <c r="Y165" i="3"/>
  <c r="Y167" i="3"/>
  <c r="Y168" i="3"/>
  <c r="Y170" i="3"/>
  <c r="Y171" i="3"/>
  <c r="Y173" i="3"/>
  <c r="Y174" i="3"/>
  <c r="Y144" i="3"/>
  <c r="Y145" i="3"/>
  <c r="Y146" i="3"/>
  <c r="Y149" i="3"/>
  <c r="Y150" i="3"/>
  <c r="Y151" i="3"/>
  <c r="Y152" i="3"/>
  <c r="Y153" i="3"/>
  <c r="Y36" i="3"/>
  <c r="Y24" i="3"/>
  <c r="Y6" i="3"/>
  <c r="Y7" i="3"/>
  <c r="Y8" i="3"/>
  <c r="Y10" i="3"/>
  <c r="Y11" i="3"/>
  <c r="Y14" i="3"/>
  <c r="Y16" i="3"/>
  <c r="Y17" i="3"/>
  <c r="Y19" i="3"/>
  <c r="Y22" i="3"/>
  <c r="Y5" i="3"/>
  <c r="Y171" i="12" l="1"/>
  <c r="Y22" i="12"/>
  <c r="Y88" i="12"/>
  <c r="Y65" i="12"/>
  <c r="Y110" i="12"/>
  <c r="Y25" i="12"/>
  <c r="Y142" i="12"/>
  <c r="Y204" i="12"/>
  <c r="Y173" i="12"/>
  <c r="Y117" i="12"/>
  <c r="Y153" i="12"/>
  <c r="Y57" i="12"/>
  <c r="Y91" i="12"/>
  <c r="Y58" i="12"/>
  <c r="Y92" i="12"/>
  <c r="Y106" i="12"/>
  <c r="Y202" i="12"/>
  <c r="Y63" i="12"/>
  <c r="Y10" i="12"/>
  <c r="Y55" i="12"/>
  <c r="Y89" i="12"/>
  <c r="Y201" i="12"/>
  <c r="Y151" i="12"/>
  <c r="Y14" i="12"/>
  <c r="Y60" i="12"/>
  <c r="Y159" i="12"/>
  <c r="Y50" i="12"/>
  <c r="Y148" i="12"/>
  <c r="Y99" i="12"/>
  <c r="Y20" i="12"/>
  <c r="Y101" i="12"/>
  <c r="Y166" i="12"/>
  <c r="Y155" i="12"/>
  <c r="Y104" i="12"/>
  <c r="Y94" i="12"/>
  <c r="Y200" i="12"/>
  <c r="Y203" i="12"/>
  <c r="Y17" i="12"/>
  <c r="Y95" i="12"/>
  <c r="Y170" i="12"/>
  <c r="Y97" i="12"/>
  <c r="Y205" i="12"/>
  <c r="Y8" i="12"/>
  <c r="Y19" i="12"/>
  <c r="Y27" i="12"/>
  <c r="Y52" i="12"/>
  <c r="Y163" i="12"/>
  <c r="Y9" i="12"/>
  <c r="Y53" i="12"/>
  <c r="Y120" i="12"/>
  <c r="Y168" i="12"/>
  <c r="Y11" i="12"/>
  <c r="Y13" i="12"/>
  <c r="Y49" i="12"/>
  <c r="Y61" i="12"/>
  <c r="Y145" i="12"/>
  <c r="Y146" i="12"/>
  <c r="Y160" i="12"/>
  <c r="Y160" i="6"/>
  <c r="Y164" i="6"/>
  <c r="Y163" i="6"/>
  <c r="Y161" i="6"/>
  <c r="Y158" i="6"/>
  <c r="Y173" i="6"/>
  <c r="Y172" i="6"/>
  <c r="Y170" i="6"/>
  <c r="Y169" i="6"/>
  <c r="Y167" i="6"/>
  <c r="Y166" i="6"/>
  <c r="Y157" i="6"/>
  <c r="Y155" i="6"/>
  <c r="Y132" i="6"/>
  <c r="Y116" i="6"/>
  <c r="Y90" i="6"/>
  <c r="Y87" i="6"/>
  <c r="Y102" i="6"/>
  <c r="Y6" i="6"/>
  <c r="Y8" i="6"/>
  <c r="Y44" i="6"/>
  <c r="Y67" i="6"/>
  <c r="Y85" i="6"/>
  <c r="Y148" i="6"/>
  <c r="Y108" i="6"/>
  <c r="Y17" i="6"/>
  <c r="Y120" i="6"/>
  <c r="Y119" i="6"/>
  <c r="Y151" i="6"/>
  <c r="Y69" i="6"/>
  <c r="Y72" i="6"/>
  <c r="Y76" i="6"/>
  <c r="Y70" i="6"/>
  <c r="Y95" i="6"/>
  <c r="Y104" i="6"/>
  <c r="Y114" i="6"/>
  <c r="Y145" i="6"/>
  <c r="Y143" i="6"/>
  <c r="Y154" i="6"/>
  <c r="Y38" i="6"/>
  <c r="Y64" i="6"/>
  <c r="Y79" i="6"/>
  <c r="Y81" i="6"/>
  <c r="Y66" i="6"/>
  <c r="Y36" i="6"/>
  <c r="Y14" i="6"/>
  <c r="Y41" i="6"/>
  <c r="Y47" i="6"/>
  <c r="Y49" i="6"/>
  <c r="Y149" i="6"/>
  <c r="Y152" i="6"/>
  <c r="Y150" i="6"/>
  <c r="Y147" i="6"/>
  <c r="Y144" i="6"/>
  <c r="Y142" i="6"/>
  <c r="Y122" i="6"/>
  <c r="Y110" i="6"/>
  <c r="Y130" i="6"/>
  <c r="Y105" i="6"/>
  <c r="Y112" i="6"/>
  <c r="Y127" i="6"/>
  <c r="Y101" i="6"/>
  <c r="Y129" i="6"/>
  <c r="Y125" i="6"/>
  <c r="Y118" i="6"/>
  <c r="Y107" i="6"/>
  <c r="Y63" i="6"/>
  <c r="Y92" i="6"/>
  <c r="Y74" i="6"/>
  <c r="Y51" i="6"/>
  <c r="Y46" i="6"/>
  <c r="Y43" i="6"/>
  <c r="Y39" i="6"/>
  <c r="Y35" i="6"/>
  <c r="Y7" i="6"/>
  <c r="Y22" i="6"/>
  <c r="Y24" i="6"/>
  <c r="Y5" i="6"/>
  <c r="Y134" i="3" l="1"/>
  <c r="Y105" i="3"/>
  <c r="Y66" i="3"/>
  <c r="Y35" i="3"/>
  <c r="Y39" i="3"/>
  <c r="Y38" i="3"/>
  <c r="Y41" i="3"/>
  <c r="Y43" i="3"/>
  <c r="Y44" i="3"/>
  <c r="Y95" i="3"/>
  <c r="Y88" i="3"/>
  <c r="Y156" i="3"/>
  <c r="Y148" i="3"/>
  <c r="Y143" i="3"/>
  <c r="Y131" i="3"/>
  <c r="Y130" i="3"/>
  <c r="Y126" i="3"/>
  <c r="Y123" i="3"/>
  <c r="Y121" i="3"/>
  <c r="Y120" i="3"/>
  <c r="Y119" i="3"/>
  <c r="Y117" i="3"/>
  <c r="Y115" i="3"/>
  <c r="Y113" i="3"/>
  <c r="Y111" i="3"/>
  <c r="Y109" i="3"/>
  <c r="Y108" i="3"/>
  <c r="Y106" i="3"/>
  <c r="Y103" i="3"/>
  <c r="Y102" i="3"/>
  <c r="Y93" i="3"/>
  <c r="Y92" i="3"/>
  <c r="Y90" i="3"/>
  <c r="Y87" i="3"/>
  <c r="Y85" i="3"/>
  <c r="Y83" i="3"/>
  <c r="Y82" i="3"/>
  <c r="Y81" i="3"/>
  <c r="Y79" i="3"/>
  <c r="Y77" i="3"/>
  <c r="Y76" i="3"/>
  <c r="Y74" i="3"/>
  <c r="Y72" i="3"/>
  <c r="Y70" i="3"/>
  <c r="Y69" i="3"/>
  <c r="Y67" i="3"/>
  <c r="Y64" i="3"/>
  <c r="Y63" i="3"/>
  <c r="Y52" i="3"/>
  <c r="Y51" i="3"/>
  <c r="Y49" i="3"/>
  <c r="Y47" i="3"/>
  <c r="Y46" i="3"/>
  <c r="Y16" i="6" l="1"/>
  <c r="Y19" i="6"/>
  <c r="Y11" i="6" l="1"/>
  <c r="Y10" i="6" l="1"/>
</calcChain>
</file>

<file path=xl/sharedStrings.xml><?xml version="1.0" encoding="utf-8"?>
<sst xmlns="http://schemas.openxmlformats.org/spreadsheetml/2006/main" count="1898" uniqueCount="153">
  <si>
    <t xml:space="preserve">NAME OF OFFICE </t>
  </si>
  <si>
    <t>NAME OF PERSON VOTED FOR</t>
  </si>
  <si>
    <t>PARTY</t>
  </si>
  <si>
    <t>ALLODIUM</t>
  </si>
  <si>
    <t>BRYANT</t>
  </si>
  <si>
    <t>GETTYSBURG</t>
  </si>
  <si>
    <t>GRAHAM</t>
  </si>
  <si>
    <t>HAPPPY</t>
  </si>
  <si>
    <t>INDIANA</t>
  </si>
  <si>
    <t>MILLBROOK</t>
  </si>
  <si>
    <t>MORLAN</t>
  </si>
  <si>
    <t>PIONEER</t>
  </si>
  <si>
    <t>SOLOMON</t>
  </si>
  <si>
    <t>WILDHORSE</t>
  </si>
  <si>
    <t>TOTAL</t>
  </si>
  <si>
    <t>Rep.</t>
  </si>
  <si>
    <t>Dem.</t>
  </si>
  <si>
    <t>UNITED STATES REPRESENTATIVE 1ST DISTRICT</t>
  </si>
  <si>
    <t>STATE OF KANSAS,</t>
  </si>
  <si>
    <t xml:space="preserve">    Graham County,       ss.</t>
  </si>
  <si>
    <t>We, the undersigned, members of the County Board of Canvassers for said County, do hereby</t>
  </si>
  <si>
    <t xml:space="preserve">true and correct as shown by the returns of said election on file in the office of the County Election officer and canvassed by us </t>
  </si>
  <si>
    <t>Attest:</t>
  </si>
  <si>
    <t xml:space="preserve">     _____________________________</t>
  </si>
  <si>
    <t xml:space="preserve">           _____________________________</t>
  </si>
  <si>
    <t xml:space="preserve">                                     County Board of Canvassers.</t>
  </si>
  <si>
    <t>Allodium Township</t>
  </si>
  <si>
    <t>Bryant Township</t>
  </si>
  <si>
    <t>Gettysburg Township</t>
  </si>
  <si>
    <t>Graham Township</t>
  </si>
  <si>
    <t>Happy Township</t>
  </si>
  <si>
    <t>Hill City Township</t>
  </si>
  <si>
    <t>Indiana Township</t>
  </si>
  <si>
    <t>Millbrook Township</t>
  </si>
  <si>
    <t>Morlan Township</t>
  </si>
  <si>
    <t>Nicodemus Township</t>
  </si>
  <si>
    <t>Pioneer Township</t>
  </si>
  <si>
    <t>Solomon Township</t>
  </si>
  <si>
    <t>Wildhorse Township</t>
  </si>
  <si>
    <t xml:space="preserve">Abstract of Votes Cast at the Primary Election in </t>
  </si>
  <si>
    <t>Ken Rahjes</t>
  </si>
  <si>
    <t>HILL CITY #1</t>
  </si>
  <si>
    <t xml:space="preserve">HILL CITY #2  </t>
  </si>
  <si>
    <t xml:space="preserve">HILL CITY #3 </t>
  </si>
  <si>
    <t xml:space="preserve">HILL CITY TWP #71 </t>
  </si>
  <si>
    <t xml:space="preserve">HILL CITY TWP #72 </t>
  </si>
  <si>
    <t xml:space="preserve">HILL CITY TWP #73 </t>
  </si>
  <si>
    <t xml:space="preserve">NICODEMUS </t>
  </si>
  <si>
    <t>Paul Buskirk</t>
  </si>
  <si>
    <t>Tracey Mann</t>
  </si>
  <si>
    <t>COMMISSIONER OF INSURANCE</t>
  </si>
  <si>
    <t>Rep</t>
  </si>
  <si>
    <t>John Griffith</t>
  </si>
  <si>
    <t>John Goddard</t>
  </si>
  <si>
    <t>Dan Irby</t>
  </si>
  <si>
    <t>Richard (Rick) Billinger</t>
  </si>
  <si>
    <t>STATE SENATOR 40TH DISTRICT</t>
  </si>
  <si>
    <t>STATE REPRESENTATIVE 110TH DISTRICT</t>
  </si>
  <si>
    <t>ellace Henderson</t>
  </si>
  <si>
    <t>DISTRICT COURT JUDGE 17TH DISTRICT 1ST DIVISION</t>
  </si>
  <si>
    <t>Jesse A. Thompson</t>
  </si>
  <si>
    <t>DISTRICT COURT JUDGE 17TH DISTRICT 2ND DIVISION</t>
  </si>
  <si>
    <t>Paula D. Hofaker</t>
  </si>
  <si>
    <t>DISTRICT MAGISTRATE JUDGE 17TH DISTRICT 1ST POSITION</t>
  </si>
  <si>
    <t>Morgan Nutting</t>
  </si>
  <si>
    <t>COUNTY CLERK</t>
  </si>
  <si>
    <t>Kendra Robinson</t>
  </si>
  <si>
    <t>COUNTY TREASURER</t>
  </si>
  <si>
    <t>Jerilyn Keith</t>
  </si>
  <si>
    <t>COUNTY REGISTER OF DEEDS</t>
  </si>
  <si>
    <t>Dani Roeder</t>
  </si>
  <si>
    <t>COUNTY ATTORNEY</t>
  </si>
  <si>
    <t>Michael Abbott</t>
  </si>
  <si>
    <t>COUNTY SHERIFF</t>
  </si>
  <si>
    <t>Les Burton</t>
  </si>
  <si>
    <t>COUNTY COMMISSIONER 2ND DISTRICT</t>
  </si>
  <si>
    <t>Jason Nelson</t>
  </si>
  <si>
    <t>COUNTY COMMISSIONER 3RD DISTRICT</t>
  </si>
  <si>
    <t>TOWNSHIP TRUSTEE</t>
  </si>
  <si>
    <t>Robin Hardman</t>
  </si>
  <si>
    <t>Desiree Simon</t>
  </si>
  <si>
    <t>Lonnie Beckman</t>
  </si>
  <si>
    <t>Joy Radcliffe</t>
  </si>
  <si>
    <t>Allen Nickelson</t>
  </si>
  <si>
    <t>Deborah Jackson</t>
  </si>
  <si>
    <t>TOWNSHIP TREASURER</t>
  </si>
  <si>
    <t>Susan Rohleder</t>
  </si>
  <si>
    <t>Robert Ellis</t>
  </si>
  <si>
    <t>Robert Elllis</t>
  </si>
  <si>
    <t>Melanie Nelson</t>
  </si>
  <si>
    <t>Suzie McDowell</t>
  </si>
  <si>
    <t>Max Seeger</t>
  </si>
  <si>
    <t>Jefff McGee</t>
  </si>
  <si>
    <t>Carla Moore</t>
  </si>
  <si>
    <t>Lateef Dowdell</t>
  </si>
  <si>
    <t>ELECTION DAY TOTALS</t>
  </si>
  <si>
    <t>Turnout</t>
  </si>
  <si>
    <t>Melissa Lee</t>
  </si>
  <si>
    <t>Wilbur Stites</t>
  </si>
  <si>
    <t xml:space="preserve">Registered Voters </t>
  </si>
  <si>
    <t xml:space="preserve">Number of Voters Voting </t>
  </si>
  <si>
    <t xml:space="preserve">                              County Election Officer.</t>
  </si>
  <si>
    <t>PRESIDENT AND VICE PRESIDENT</t>
  </si>
  <si>
    <t>Trump/Vance</t>
  </si>
  <si>
    <t>Harris/Walz</t>
  </si>
  <si>
    <t>Kennedy Jr./Shanahan</t>
  </si>
  <si>
    <t>Oliver/ ter Maat</t>
  </si>
  <si>
    <t>Lib.</t>
  </si>
  <si>
    <t>Indep.</t>
  </si>
  <si>
    <t>Rodger Quint</t>
  </si>
  <si>
    <t>Carl Acheson</t>
  </si>
  <si>
    <t>Janet billips</t>
  </si>
  <si>
    <t>Janet Billips</t>
  </si>
  <si>
    <t>Tim Thompson</t>
  </si>
  <si>
    <t>HOSPITAL BOARD NO. 4</t>
  </si>
  <si>
    <t>CITY COUNCIL</t>
  </si>
  <si>
    <t>Steve George</t>
  </si>
  <si>
    <t>J.D Hininger</t>
  </si>
  <si>
    <t>Scott Roberts</t>
  </si>
  <si>
    <t>K William (JJ) Haynes</t>
  </si>
  <si>
    <t>Kimberly A Kinderknetch</t>
  </si>
  <si>
    <t>Reginald Jordan (Reggie)</t>
  </si>
  <si>
    <t>COURT OF APPEALS</t>
  </si>
  <si>
    <t>Sarah E. Warner</t>
  </si>
  <si>
    <t>Yes</t>
  </si>
  <si>
    <t>No</t>
  </si>
  <si>
    <t>G.Gordon Atcheson</t>
  </si>
  <si>
    <t>Karen Arnold-Burger</t>
  </si>
  <si>
    <t>Racheal L. Pickering</t>
  </si>
  <si>
    <t>Angela D. Coble</t>
  </si>
  <si>
    <t>Kathryn Gardner</t>
  </si>
  <si>
    <t>November 5th, 2024</t>
  </si>
  <si>
    <t>ADVANCE TOTALS</t>
  </si>
  <si>
    <t>Graham County Kansas, on the 5th day of November, 2024</t>
  </si>
  <si>
    <t>TOTALS</t>
  </si>
  <si>
    <t>J William (JJ) Haynes</t>
  </si>
  <si>
    <t>Rachel L. Pickering</t>
  </si>
  <si>
    <t>Kelli VanLoenen Write-In</t>
  </si>
  <si>
    <t xml:space="preserve">David E. Bruns </t>
  </si>
  <si>
    <t>David E. Bruns</t>
  </si>
  <si>
    <t xml:space="preserve">David E Bruns </t>
  </si>
  <si>
    <t>Dem</t>
  </si>
  <si>
    <t>J.D. Hiniger</t>
  </si>
  <si>
    <t xml:space="preserve">J.D. Hiniger </t>
  </si>
  <si>
    <t>David E Bruns</t>
  </si>
  <si>
    <t xml:space="preserve">G. Gordon Atcheson </t>
  </si>
  <si>
    <t>G. Gordon Atcheson</t>
  </si>
  <si>
    <t>certify that the foregoing abstract of votes cast at the General election held in Graham County on the 5th day of November A.D. 2024, is</t>
  </si>
  <si>
    <t>Kelli VanLoenen W.I</t>
  </si>
  <si>
    <t>PROVISIONAL</t>
  </si>
  <si>
    <t>this 15th day of November A.D. 2024.</t>
  </si>
  <si>
    <t xml:space="preserve">                  Witness our hands, this 15th day of November A.D. 2024.</t>
  </si>
  <si>
    <t>Michelle Smee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</si>
</sst>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22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theme="2" tint="-0.89999084444715716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2" borderId="1" xfId="0" applyFont="1" applyFill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4" fillId="2" borderId="5" xfId="0" applyFont="1" applyFill="1" applyBorder="1"/>
    <xf numFmtId="0" fontId="6" fillId="2" borderId="6" xfId="0" applyFont="1" applyFill="1" applyBorder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/>
    <xf numFmtId="0" fontId="4" fillId="0" borderId="1" xfId="0" applyFont="1" applyBorder="1"/>
    <xf numFmtId="0" fontId="4" fillId="2" borderId="8" xfId="0" applyFont="1" applyFill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/>
    </xf>
    <xf numFmtId="0" fontId="4" fillId="2" borderId="3" xfId="0" applyFont="1" applyFill="1" applyBorder="1"/>
    <xf numFmtId="0" fontId="4" fillId="2" borderId="6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/>
    <xf numFmtId="0" fontId="10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15" fontId="1" fillId="0" borderId="0" xfId="0" quotePrefix="1" applyNumberFormat="1" applyFont="1"/>
    <xf numFmtId="0" fontId="12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9" fontId="3" fillId="0" borderId="0" xfId="0" applyNumberFormat="1" applyFont="1"/>
    <xf numFmtId="0" fontId="3" fillId="0" borderId="0" xfId="0" applyFont="1" applyAlignment="1">
      <alignment horizontal="right"/>
    </xf>
    <xf numFmtId="0" fontId="6" fillId="2" borderId="2" xfId="0" applyFont="1" applyFill="1" applyBorder="1"/>
    <xf numFmtId="0" fontId="4" fillId="2" borderId="11" xfId="0" applyFont="1" applyFill="1" applyBorder="1"/>
    <xf numFmtId="0" fontId="6" fillId="2" borderId="12" xfId="0" applyFont="1" applyFill="1" applyBorder="1"/>
    <xf numFmtId="0" fontId="6" fillId="2" borderId="2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2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3" xfId="0" applyFont="1" applyBorder="1"/>
    <xf numFmtId="0" fontId="4" fillId="2" borderId="2" xfId="0" applyFont="1" applyFill="1" applyBorder="1"/>
    <xf numFmtId="0" fontId="4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1D49-93BF-4804-886E-A896C2056275}">
  <sheetPr>
    <pageSetUpPr fitToPage="1"/>
  </sheetPr>
  <dimension ref="A1:CF174"/>
  <sheetViews>
    <sheetView topLeftCell="B33" zoomScale="95" zoomScaleNormal="95" zoomScaleSheetLayoutView="80" workbookViewId="0">
      <selection activeCell="K174" sqref="K174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customWidth="1"/>
    <col min="5" max="14" width="8.7109375" customWidth="1"/>
    <col min="15" max="15" width="29.5703125" customWidth="1"/>
    <col min="16" max="16" width="7.42578125" style="37" customWidth="1"/>
    <col min="17" max="17" width="7.42578125" customWidth="1"/>
    <col min="18" max="18" width="8.7109375" customWidth="1"/>
    <col min="19" max="19" width="8.7109375" style="37" customWidth="1"/>
    <col min="20" max="25" width="8.7109375" customWidth="1"/>
    <col min="26" max="31" width="9.140625" customWidth="1"/>
  </cols>
  <sheetData>
    <row r="1" spans="2:25" ht="27" x14ac:dyDescent="0.35">
      <c r="B1" s="47" t="s">
        <v>131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132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ht="101.25" thickBot="1" x14ac:dyDescent="0.25">
      <c r="B3" s="8" t="s">
        <v>0</v>
      </c>
      <c r="C3" s="8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41</v>
      </c>
      <c r="K3" s="9" t="s">
        <v>42</v>
      </c>
      <c r="L3" s="9" t="s">
        <v>43</v>
      </c>
      <c r="M3" s="31" t="s">
        <v>44</v>
      </c>
      <c r="N3" s="9" t="s">
        <v>45</v>
      </c>
      <c r="O3" s="42" t="s">
        <v>1</v>
      </c>
      <c r="P3" s="8" t="s">
        <v>2</v>
      </c>
      <c r="Q3" s="9" t="s">
        <v>46</v>
      </c>
      <c r="R3" s="9" t="s">
        <v>8</v>
      </c>
      <c r="S3" s="9" t="s">
        <v>9</v>
      </c>
      <c r="T3" s="9" t="s">
        <v>10</v>
      </c>
      <c r="U3" s="9" t="s">
        <v>47</v>
      </c>
      <c r="V3" s="9" t="s">
        <v>11</v>
      </c>
      <c r="W3" s="9" t="s">
        <v>12</v>
      </c>
      <c r="X3" s="9" t="s">
        <v>13</v>
      </c>
      <c r="Y3" s="9" t="s">
        <v>14</v>
      </c>
    </row>
    <row r="4" spans="2:25" ht="13.5" thickBot="1" x14ac:dyDescent="0.25">
      <c r="B4" s="10" t="s">
        <v>102</v>
      </c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3"/>
      <c r="O4" s="10" t="s">
        <v>102</v>
      </c>
      <c r="P4" s="43"/>
      <c r="Q4" s="11"/>
      <c r="R4" s="11"/>
      <c r="S4" s="12"/>
      <c r="T4" s="11"/>
      <c r="U4" s="11"/>
      <c r="V4" s="11"/>
      <c r="W4" s="11"/>
      <c r="X4" s="11"/>
      <c r="Y4" s="52"/>
    </row>
    <row r="5" spans="2:25" ht="13.5" thickBot="1" x14ac:dyDescent="0.25">
      <c r="B5" s="8"/>
      <c r="C5" s="15" t="s">
        <v>103</v>
      </c>
      <c r="D5" s="49" t="s">
        <v>15</v>
      </c>
      <c r="E5" s="16">
        <v>10</v>
      </c>
      <c r="F5" s="16">
        <v>31</v>
      </c>
      <c r="G5" s="16">
        <v>21</v>
      </c>
      <c r="H5" s="16">
        <v>11</v>
      </c>
      <c r="I5" s="16">
        <v>7</v>
      </c>
      <c r="J5" s="16">
        <v>24</v>
      </c>
      <c r="K5" s="16">
        <v>189</v>
      </c>
      <c r="L5" s="16">
        <v>57</v>
      </c>
      <c r="M5" s="16">
        <v>4</v>
      </c>
      <c r="N5" s="16">
        <v>22</v>
      </c>
      <c r="O5" s="15" t="s">
        <v>103</v>
      </c>
      <c r="P5" s="49" t="s">
        <v>15</v>
      </c>
      <c r="Q5" s="16">
        <v>20</v>
      </c>
      <c r="R5" s="16">
        <v>3</v>
      </c>
      <c r="S5" s="16">
        <v>31</v>
      </c>
      <c r="T5" s="16">
        <v>13</v>
      </c>
      <c r="U5" s="16">
        <v>6</v>
      </c>
      <c r="V5" s="16">
        <v>10</v>
      </c>
      <c r="W5" s="16">
        <v>46</v>
      </c>
      <c r="X5" s="32">
        <v>44</v>
      </c>
      <c r="Y5" s="16">
        <f>SUM(E5:X5)</f>
        <v>549</v>
      </c>
    </row>
    <row r="6" spans="2:25" ht="13.5" thickBot="1" x14ac:dyDescent="0.25">
      <c r="B6" s="8"/>
      <c r="C6" s="15" t="s">
        <v>104</v>
      </c>
      <c r="D6" s="49" t="s">
        <v>16</v>
      </c>
      <c r="E6" s="16">
        <v>0</v>
      </c>
      <c r="F6" s="16">
        <v>3</v>
      </c>
      <c r="G6" s="16">
        <v>1</v>
      </c>
      <c r="H6" s="16">
        <v>7</v>
      </c>
      <c r="I6" s="16">
        <v>8</v>
      </c>
      <c r="J6" s="16">
        <v>6</v>
      </c>
      <c r="K6" s="16">
        <v>57</v>
      </c>
      <c r="L6" s="16">
        <v>14</v>
      </c>
      <c r="M6" s="16">
        <v>0</v>
      </c>
      <c r="N6" s="16">
        <v>4</v>
      </c>
      <c r="O6" s="15" t="s">
        <v>104</v>
      </c>
      <c r="P6" s="49" t="s">
        <v>16</v>
      </c>
      <c r="Q6" s="16">
        <v>2</v>
      </c>
      <c r="R6" s="16">
        <v>0</v>
      </c>
      <c r="S6" s="16">
        <v>6</v>
      </c>
      <c r="T6" s="16">
        <v>1</v>
      </c>
      <c r="U6" s="16">
        <v>7</v>
      </c>
      <c r="V6" s="16">
        <v>0</v>
      </c>
      <c r="W6" s="16">
        <v>6</v>
      </c>
      <c r="X6" s="32">
        <v>11</v>
      </c>
      <c r="Y6" s="16">
        <f t="shared" ref="Y6:Y22" si="0">SUM(E6:X6)</f>
        <v>133</v>
      </c>
    </row>
    <row r="7" spans="2:25" ht="13.5" thickBot="1" x14ac:dyDescent="0.25">
      <c r="B7" s="8"/>
      <c r="C7" s="15" t="s">
        <v>105</v>
      </c>
      <c r="D7" s="49" t="s">
        <v>108</v>
      </c>
      <c r="E7" s="16">
        <v>0</v>
      </c>
      <c r="F7" s="16">
        <v>0</v>
      </c>
      <c r="G7" s="16">
        <v>1</v>
      </c>
      <c r="H7" s="16">
        <v>0</v>
      </c>
      <c r="I7" s="16">
        <v>0</v>
      </c>
      <c r="J7" s="16">
        <v>2</v>
      </c>
      <c r="K7" s="16">
        <v>8</v>
      </c>
      <c r="L7" s="16">
        <v>1</v>
      </c>
      <c r="M7" s="16">
        <v>0</v>
      </c>
      <c r="N7" s="16">
        <v>0</v>
      </c>
      <c r="O7" s="15" t="s">
        <v>105</v>
      </c>
      <c r="P7" s="49" t="s">
        <v>108</v>
      </c>
      <c r="Q7" s="16">
        <v>0</v>
      </c>
      <c r="R7" s="16">
        <v>1</v>
      </c>
      <c r="S7" s="16">
        <v>0</v>
      </c>
      <c r="T7" s="16">
        <v>0</v>
      </c>
      <c r="U7" s="16">
        <v>0</v>
      </c>
      <c r="V7" s="16">
        <v>0</v>
      </c>
      <c r="W7" s="16">
        <v>1</v>
      </c>
      <c r="X7" s="32">
        <v>0</v>
      </c>
      <c r="Y7" s="16">
        <f t="shared" si="0"/>
        <v>14</v>
      </c>
    </row>
    <row r="8" spans="2:25" ht="13.5" thickBot="1" x14ac:dyDescent="0.25">
      <c r="B8" s="8"/>
      <c r="C8" s="15" t="s">
        <v>106</v>
      </c>
      <c r="D8" s="49" t="s">
        <v>107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5" t="s">
        <v>106</v>
      </c>
      <c r="P8" s="49" t="s">
        <v>107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32">
        <v>0</v>
      </c>
      <c r="Y8" s="16">
        <f t="shared" si="0"/>
        <v>0</v>
      </c>
    </row>
    <row r="9" spans="2:25" ht="13.5" thickBot="1" x14ac:dyDescent="0.25">
      <c r="B9" s="10" t="s">
        <v>17</v>
      </c>
      <c r="C9" s="11"/>
      <c r="D9" s="11"/>
      <c r="E9" s="12"/>
      <c r="F9" s="12"/>
      <c r="G9" s="11"/>
      <c r="H9" s="11"/>
      <c r="I9" s="11"/>
      <c r="J9" s="11"/>
      <c r="K9" s="11"/>
      <c r="L9" s="11"/>
      <c r="M9" s="11"/>
      <c r="N9" s="13"/>
      <c r="O9" s="10" t="s">
        <v>17</v>
      </c>
      <c r="P9" s="43"/>
      <c r="Q9" s="11"/>
      <c r="R9" s="11"/>
      <c r="S9" s="12"/>
      <c r="T9" s="11"/>
      <c r="U9" s="11"/>
      <c r="V9" s="11"/>
      <c r="W9" s="11"/>
      <c r="X9" s="11"/>
      <c r="Y9" s="52"/>
    </row>
    <row r="10" spans="2:25" ht="13.5" thickBot="1" x14ac:dyDescent="0.25">
      <c r="B10" s="40"/>
      <c r="C10" s="14" t="s">
        <v>48</v>
      </c>
      <c r="D10" s="15" t="s">
        <v>16</v>
      </c>
      <c r="E10" s="16">
        <v>0</v>
      </c>
      <c r="F10" s="16">
        <v>2</v>
      </c>
      <c r="G10" s="16">
        <v>2</v>
      </c>
      <c r="H10" s="16">
        <v>7</v>
      </c>
      <c r="I10" s="16">
        <v>6</v>
      </c>
      <c r="J10" s="16">
        <v>4</v>
      </c>
      <c r="K10" s="16">
        <v>42</v>
      </c>
      <c r="L10" s="16">
        <v>11</v>
      </c>
      <c r="M10" s="16">
        <v>0</v>
      </c>
      <c r="N10" s="16">
        <v>0</v>
      </c>
      <c r="O10" s="14" t="s">
        <v>48</v>
      </c>
      <c r="P10" s="15" t="s">
        <v>16</v>
      </c>
      <c r="Q10" s="16">
        <v>0</v>
      </c>
      <c r="R10" s="16">
        <v>0</v>
      </c>
      <c r="S10" s="16">
        <v>4</v>
      </c>
      <c r="T10" s="16">
        <v>0</v>
      </c>
      <c r="U10" s="16">
        <v>6</v>
      </c>
      <c r="V10" s="16">
        <v>0</v>
      </c>
      <c r="W10" s="16">
        <v>4</v>
      </c>
      <c r="X10" s="32">
        <v>7</v>
      </c>
      <c r="Y10" s="16">
        <f t="shared" si="0"/>
        <v>95</v>
      </c>
    </row>
    <row r="11" spans="2:25" ht="13.5" thickBot="1" x14ac:dyDescent="0.25">
      <c r="B11" s="40"/>
      <c r="C11" s="14" t="s">
        <v>49</v>
      </c>
      <c r="D11" s="15" t="s">
        <v>15</v>
      </c>
      <c r="E11" s="16">
        <v>10</v>
      </c>
      <c r="F11" s="16">
        <v>32</v>
      </c>
      <c r="G11" s="16">
        <v>22</v>
      </c>
      <c r="H11" s="16">
        <v>10</v>
      </c>
      <c r="I11" s="16">
        <v>9</v>
      </c>
      <c r="J11" s="16">
        <v>25</v>
      </c>
      <c r="K11" s="16">
        <v>186</v>
      </c>
      <c r="L11" s="16">
        <v>56</v>
      </c>
      <c r="M11" s="16">
        <v>4</v>
      </c>
      <c r="N11" s="16">
        <v>27</v>
      </c>
      <c r="O11" s="14" t="s">
        <v>49</v>
      </c>
      <c r="P11" s="15" t="s">
        <v>15</v>
      </c>
      <c r="Q11" s="16">
        <v>22</v>
      </c>
      <c r="R11" s="16">
        <v>4</v>
      </c>
      <c r="S11" s="16">
        <v>32</v>
      </c>
      <c r="T11" s="16">
        <v>14</v>
      </c>
      <c r="U11" s="16">
        <v>7</v>
      </c>
      <c r="V11" s="16">
        <v>8</v>
      </c>
      <c r="W11" s="16">
        <v>49</v>
      </c>
      <c r="X11" s="32">
        <v>48</v>
      </c>
      <c r="Y11" s="16">
        <f t="shared" si="0"/>
        <v>565</v>
      </c>
    </row>
    <row r="12" spans="2:25" ht="13.5" thickBot="1" x14ac:dyDescent="0.25">
      <c r="B12" s="14"/>
      <c r="C12" s="14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4"/>
      <c r="P12" s="15"/>
      <c r="Q12" s="16"/>
      <c r="R12" s="16"/>
      <c r="S12" s="16"/>
      <c r="T12" s="16"/>
      <c r="U12" s="16"/>
      <c r="V12" s="16"/>
      <c r="W12" s="16"/>
      <c r="X12" s="32"/>
      <c r="Y12" s="16"/>
    </row>
    <row r="13" spans="2:25" ht="13.5" thickBot="1" x14ac:dyDescent="0.25">
      <c r="B13" s="17" t="s">
        <v>56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17" t="s">
        <v>56</v>
      </c>
      <c r="P13" s="18"/>
      <c r="Q13" s="19"/>
      <c r="R13" s="18"/>
      <c r="S13" s="19"/>
      <c r="T13" s="18"/>
      <c r="U13" s="18"/>
      <c r="V13" s="18"/>
      <c r="W13" s="18"/>
      <c r="X13" s="18"/>
      <c r="Y13" s="52"/>
    </row>
    <row r="14" spans="2:25" ht="13.5" thickBot="1" x14ac:dyDescent="0.25">
      <c r="B14" s="40"/>
      <c r="C14" s="15" t="s">
        <v>55</v>
      </c>
      <c r="D14" s="15" t="s">
        <v>15</v>
      </c>
      <c r="E14" s="16">
        <v>10</v>
      </c>
      <c r="F14" s="16">
        <v>32</v>
      </c>
      <c r="G14" s="16">
        <v>22</v>
      </c>
      <c r="H14" s="16">
        <v>13</v>
      </c>
      <c r="I14" s="16">
        <v>13</v>
      </c>
      <c r="J14" s="16">
        <v>23</v>
      </c>
      <c r="K14" s="16">
        <v>204</v>
      </c>
      <c r="L14" s="16">
        <v>55</v>
      </c>
      <c r="M14" s="16">
        <v>4</v>
      </c>
      <c r="N14" s="16">
        <v>26</v>
      </c>
      <c r="O14" s="15" t="s">
        <v>55</v>
      </c>
      <c r="P14" s="15" t="s">
        <v>15</v>
      </c>
      <c r="Q14" s="16">
        <v>22</v>
      </c>
      <c r="R14" s="16">
        <v>3</v>
      </c>
      <c r="S14" s="16">
        <v>36</v>
      </c>
      <c r="T14" s="16">
        <v>14</v>
      </c>
      <c r="U14" s="16">
        <v>12</v>
      </c>
      <c r="V14" s="16">
        <v>9</v>
      </c>
      <c r="W14" s="16">
        <v>48</v>
      </c>
      <c r="X14" s="32">
        <v>49</v>
      </c>
      <c r="Y14" s="16">
        <f t="shared" si="0"/>
        <v>595</v>
      </c>
    </row>
    <row r="15" spans="2:25" ht="13.5" thickBot="1" x14ac:dyDescent="0.25">
      <c r="B15" s="17" t="s">
        <v>57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0"/>
      <c r="O15" s="17" t="s">
        <v>57</v>
      </c>
      <c r="P15" s="18"/>
      <c r="Q15" s="19"/>
      <c r="R15" s="18"/>
      <c r="S15" s="19"/>
      <c r="T15" s="18"/>
      <c r="U15" s="18"/>
      <c r="V15" s="18"/>
      <c r="W15" s="18"/>
      <c r="X15" s="18"/>
      <c r="Y15" s="52"/>
    </row>
    <row r="16" spans="2:25" ht="13.5" thickBot="1" x14ac:dyDescent="0.25">
      <c r="B16" s="40"/>
      <c r="C16" s="15" t="s">
        <v>58</v>
      </c>
      <c r="D16" s="15" t="s">
        <v>16</v>
      </c>
      <c r="E16" s="16">
        <v>0</v>
      </c>
      <c r="F16" s="16">
        <v>5</v>
      </c>
      <c r="G16" s="16">
        <v>3</v>
      </c>
      <c r="H16" s="16">
        <v>6</v>
      </c>
      <c r="I16" s="16">
        <v>7</v>
      </c>
      <c r="J16" s="16">
        <v>8</v>
      </c>
      <c r="K16" s="16">
        <v>47</v>
      </c>
      <c r="L16" s="16">
        <v>13</v>
      </c>
      <c r="M16" s="16">
        <v>0</v>
      </c>
      <c r="N16" s="16">
        <v>0</v>
      </c>
      <c r="O16" s="15" t="s">
        <v>58</v>
      </c>
      <c r="P16" s="15" t="s">
        <v>16</v>
      </c>
      <c r="Q16" s="16">
        <v>0</v>
      </c>
      <c r="R16" s="16">
        <v>1</v>
      </c>
      <c r="S16" s="16">
        <v>5</v>
      </c>
      <c r="T16" s="16">
        <v>0</v>
      </c>
      <c r="U16" s="16">
        <v>6</v>
      </c>
      <c r="V16" s="16">
        <v>1</v>
      </c>
      <c r="W16" s="16">
        <v>6</v>
      </c>
      <c r="X16" s="32">
        <v>6</v>
      </c>
      <c r="Y16" s="16">
        <f t="shared" si="0"/>
        <v>114</v>
      </c>
    </row>
    <row r="17" spans="1:25" ht="13.5" thickBot="1" x14ac:dyDescent="0.25">
      <c r="B17" s="40"/>
      <c r="C17" s="15" t="s">
        <v>40</v>
      </c>
      <c r="D17" s="15" t="s">
        <v>15</v>
      </c>
      <c r="E17" s="16">
        <v>10</v>
      </c>
      <c r="F17" s="16">
        <v>26</v>
      </c>
      <c r="G17" s="16">
        <v>21</v>
      </c>
      <c r="H17" s="16">
        <v>11</v>
      </c>
      <c r="I17" s="16">
        <v>8</v>
      </c>
      <c r="J17" s="16">
        <v>21</v>
      </c>
      <c r="K17" s="16">
        <v>175</v>
      </c>
      <c r="L17" s="16">
        <v>46</v>
      </c>
      <c r="M17" s="16">
        <v>4</v>
      </c>
      <c r="N17" s="16">
        <v>27</v>
      </c>
      <c r="O17" s="15" t="s">
        <v>40</v>
      </c>
      <c r="P17" s="15" t="s">
        <v>15</v>
      </c>
      <c r="Q17" s="16">
        <v>21</v>
      </c>
      <c r="R17" s="16">
        <v>3</v>
      </c>
      <c r="S17" s="16">
        <v>31</v>
      </c>
      <c r="T17" s="16">
        <v>14</v>
      </c>
      <c r="U17" s="16">
        <v>7</v>
      </c>
      <c r="V17" s="16">
        <v>7</v>
      </c>
      <c r="W17" s="16">
        <v>46</v>
      </c>
      <c r="X17" s="32">
        <v>47</v>
      </c>
      <c r="Y17" s="16">
        <f t="shared" si="0"/>
        <v>525</v>
      </c>
    </row>
    <row r="18" spans="1:25" ht="13.5" thickBot="1" x14ac:dyDescent="0.25">
      <c r="B18" s="17" t="s">
        <v>59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0"/>
      <c r="O18" s="17" t="s">
        <v>59</v>
      </c>
      <c r="P18" s="18"/>
      <c r="Q18" s="19"/>
      <c r="R18" s="18"/>
      <c r="S18" s="19"/>
      <c r="T18" s="18"/>
      <c r="U18" s="18"/>
      <c r="V18" s="18"/>
      <c r="W18" s="18"/>
      <c r="X18" s="18"/>
      <c r="Y18" s="52"/>
    </row>
    <row r="19" spans="1:25" ht="13.5" thickBot="1" x14ac:dyDescent="0.25">
      <c r="B19" s="40"/>
      <c r="C19" s="15" t="s">
        <v>60</v>
      </c>
      <c r="D19" s="15" t="s">
        <v>15</v>
      </c>
      <c r="E19" s="16">
        <v>9</v>
      </c>
      <c r="F19" s="16">
        <v>32</v>
      </c>
      <c r="G19" s="16">
        <v>23</v>
      </c>
      <c r="H19" s="16">
        <v>14</v>
      </c>
      <c r="I19" s="16">
        <v>12</v>
      </c>
      <c r="J19" s="16">
        <v>25</v>
      </c>
      <c r="K19" s="16">
        <v>198</v>
      </c>
      <c r="L19" s="16">
        <v>61</v>
      </c>
      <c r="M19" s="16">
        <v>1</v>
      </c>
      <c r="N19" s="16">
        <v>25</v>
      </c>
      <c r="O19" s="15" t="s">
        <v>60</v>
      </c>
      <c r="P19" s="15" t="s">
        <v>15</v>
      </c>
      <c r="Q19" s="16">
        <v>20</v>
      </c>
      <c r="R19" s="16">
        <v>3</v>
      </c>
      <c r="S19" s="16">
        <v>35</v>
      </c>
      <c r="T19" s="16">
        <v>12</v>
      </c>
      <c r="U19" s="16">
        <v>11</v>
      </c>
      <c r="V19" s="16">
        <v>8</v>
      </c>
      <c r="W19" s="16">
        <v>46</v>
      </c>
      <c r="X19" s="32">
        <v>51</v>
      </c>
      <c r="Y19" s="16">
        <f t="shared" si="0"/>
        <v>586</v>
      </c>
    </row>
    <row r="20" spans="1:25" ht="13.5" thickBot="1" x14ac:dyDescent="0.25">
      <c r="B20" s="40"/>
      <c r="C20" s="1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6"/>
      <c r="R20" s="16"/>
      <c r="S20" s="16"/>
      <c r="T20" s="16"/>
      <c r="U20" s="16"/>
      <c r="V20" s="16"/>
      <c r="W20" s="16"/>
      <c r="X20" s="32"/>
      <c r="Y20" s="16"/>
    </row>
    <row r="21" spans="1:25" ht="13.5" thickBot="1" x14ac:dyDescent="0.25">
      <c r="B21" s="22" t="s">
        <v>61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5"/>
      <c r="O21" s="22" t="s">
        <v>61</v>
      </c>
      <c r="P21" s="45"/>
      <c r="Q21" s="23"/>
      <c r="R21" s="23"/>
      <c r="S21" s="24"/>
      <c r="T21" s="23"/>
      <c r="U21" s="23"/>
      <c r="V21" s="23"/>
      <c r="W21" s="23"/>
      <c r="X21" s="23"/>
      <c r="Y21" s="52"/>
    </row>
    <row r="22" spans="1:25" ht="13.5" thickBot="1" x14ac:dyDescent="0.25">
      <c r="B22" s="41"/>
      <c r="C22" s="15" t="s">
        <v>62</v>
      </c>
      <c r="D22" s="15" t="s">
        <v>15</v>
      </c>
      <c r="E22" s="16">
        <v>10</v>
      </c>
      <c r="F22" s="16">
        <v>31</v>
      </c>
      <c r="G22" s="16">
        <v>21</v>
      </c>
      <c r="H22" s="16">
        <v>14</v>
      </c>
      <c r="I22" s="16">
        <v>10</v>
      </c>
      <c r="J22" s="16">
        <v>22</v>
      </c>
      <c r="K22" s="16">
        <v>189</v>
      </c>
      <c r="L22" s="16">
        <v>56</v>
      </c>
      <c r="M22" s="16">
        <v>3</v>
      </c>
      <c r="N22" s="16">
        <v>26</v>
      </c>
      <c r="O22" s="15" t="s">
        <v>62</v>
      </c>
      <c r="P22" s="15" t="s">
        <v>15</v>
      </c>
      <c r="Q22" s="16">
        <v>21</v>
      </c>
      <c r="R22" s="16">
        <v>4</v>
      </c>
      <c r="S22" s="16">
        <v>35</v>
      </c>
      <c r="T22" s="16">
        <v>13</v>
      </c>
      <c r="U22" s="16">
        <v>11</v>
      </c>
      <c r="V22" s="16">
        <v>6</v>
      </c>
      <c r="W22" s="16">
        <v>46</v>
      </c>
      <c r="X22" s="32">
        <v>50</v>
      </c>
      <c r="Y22" s="16">
        <f t="shared" si="0"/>
        <v>568</v>
      </c>
    </row>
    <row r="23" spans="1:25" ht="13.5" thickBot="1" x14ac:dyDescent="0.25">
      <c r="B23" s="22" t="s">
        <v>63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5"/>
      <c r="O23" s="22" t="s">
        <v>63</v>
      </c>
      <c r="P23" s="23"/>
      <c r="Q23" s="23"/>
      <c r="R23" s="23"/>
      <c r="S23" s="24"/>
      <c r="T23" s="23"/>
      <c r="U23" s="23"/>
      <c r="V23" s="23"/>
      <c r="W23" s="23"/>
      <c r="X23" s="23"/>
      <c r="Y23" s="52"/>
    </row>
    <row r="24" spans="1:25" ht="13.5" thickBot="1" x14ac:dyDescent="0.25">
      <c r="B24" s="41"/>
      <c r="C24" s="15" t="s">
        <v>64</v>
      </c>
      <c r="D24" s="15" t="s">
        <v>15</v>
      </c>
      <c r="E24" s="16">
        <v>9</v>
      </c>
      <c r="F24" s="16">
        <v>31</v>
      </c>
      <c r="G24" s="16">
        <v>22</v>
      </c>
      <c r="H24" s="16">
        <v>13</v>
      </c>
      <c r="I24" s="16">
        <v>10</v>
      </c>
      <c r="J24" s="16">
        <v>28</v>
      </c>
      <c r="K24" s="16">
        <v>208</v>
      </c>
      <c r="L24" s="16">
        <v>63</v>
      </c>
      <c r="M24" s="16">
        <v>4</v>
      </c>
      <c r="N24" s="16">
        <v>23</v>
      </c>
      <c r="O24" s="15" t="s">
        <v>64</v>
      </c>
      <c r="P24" s="15" t="s">
        <v>15</v>
      </c>
      <c r="Q24" s="16">
        <v>20</v>
      </c>
      <c r="R24" s="16">
        <v>3</v>
      </c>
      <c r="S24" s="16">
        <v>32</v>
      </c>
      <c r="T24" s="16">
        <v>10</v>
      </c>
      <c r="U24" s="16">
        <v>10</v>
      </c>
      <c r="V24" s="16">
        <v>9</v>
      </c>
      <c r="W24" s="16">
        <v>46</v>
      </c>
      <c r="X24" s="32">
        <v>49</v>
      </c>
      <c r="Y24" s="16">
        <f>SUM(E24:X24)</f>
        <v>590</v>
      </c>
    </row>
    <row r="25" spans="1:25" ht="13.5" thickBot="1" x14ac:dyDescent="0.25">
      <c r="B25" s="40"/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6"/>
      <c r="R25" s="16"/>
      <c r="S25" s="16"/>
      <c r="T25" s="16"/>
      <c r="U25" s="16"/>
      <c r="V25" s="16"/>
      <c r="W25" s="16"/>
      <c r="X25" s="32"/>
      <c r="Y25" s="16"/>
    </row>
    <row r="26" spans="1:25" ht="27.75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</row>
    <row r="27" spans="1:25" ht="27.75" x14ac:dyDescent="0.4"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1"/>
      <c r="T27" s="1"/>
      <c r="U27" s="1"/>
      <c r="V27" s="1"/>
      <c r="W27" s="1"/>
      <c r="X27" s="1"/>
      <c r="Y27" s="1"/>
    </row>
    <row r="28" spans="1:25" ht="20.100000000000001" customHeight="1" x14ac:dyDescent="0.4"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35"/>
      <c r="Q28" s="1"/>
      <c r="R28" s="1"/>
      <c r="S28" s="35"/>
      <c r="T28" s="1"/>
      <c r="U28" s="1"/>
      <c r="V28" s="1"/>
      <c r="W28" s="1"/>
      <c r="X28" s="1"/>
      <c r="Y28" s="1"/>
    </row>
    <row r="29" spans="1:25" ht="20.100000000000001" customHeight="1" x14ac:dyDescent="0.4"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35"/>
      <c r="Q29" s="1"/>
      <c r="R29" s="1"/>
      <c r="S29" s="35"/>
      <c r="T29" s="1"/>
      <c r="U29" s="1"/>
      <c r="V29" s="1"/>
      <c r="W29" s="1"/>
      <c r="X29" s="1"/>
      <c r="Y29" s="1"/>
    </row>
    <row r="30" spans="1:25" ht="15.75" x14ac:dyDescent="0.25">
      <c r="B30" s="3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6"/>
      <c r="Q30" s="4"/>
      <c r="R30" s="4"/>
      <c r="S30" s="36"/>
      <c r="T30" s="4"/>
      <c r="U30" s="4"/>
      <c r="V30" s="4"/>
      <c r="W30" s="4"/>
      <c r="X30" s="4"/>
      <c r="Y30" s="5"/>
    </row>
    <row r="31" spans="1:25" ht="15.7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6"/>
      <c r="Q31" s="4"/>
      <c r="R31" s="4"/>
      <c r="S31" s="36"/>
      <c r="T31" s="4"/>
      <c r="U31" s="4"/>
      <c r="V31" s="4"/>
      <c r="W31" s="4"/>
      <c r="X31" s="4"/>
      <c r="Y31" s="5"/>
    </row>
    <row r="32" spans="1:25" ht="15" customHeight="1" thickBot="1" x14ac:dyDescent="0.3">
      <c r="A32" s="6"/>
      <c r="Y32" s="7"/>
    </row>
    <row r="33" spans="2:25" ht="101.25" thickBot="1" x14ac:dyDescent="0.25">
      <c r="B33" s="8" t="s">
        <v>0</v>
      </c>
      <c r="C33" s="8" t="s">
        <v>1</v>
      </c>
      <c r="D33" s="8" t="s">
        <v>2</v>
      </c>
      <c r="E33" s="9" t="s">
        <v>3</v>
      </c>
      <c r="F33" s="9" t="s">
        <v>4</v>
      </c>
      <c r="G33" s="9" t="s">
        <v>5</v>
      </c>
      <c r="H33" s="9" t="s">
        <v>6</v>
      </c>
      <c r="I33" s="9" t="s">
        <v>7</v>
      </c>
      <c r="J33" s="9" t="s">
        <v>41</v>
      </c>
      <c r="K33" s="9" t="s">
        <v>42</v>
      </c>
      <c r="L33" s="9" t="s">
        <v>43</v>
      </c>
      <c r="M33" s="31" t="s">
        <v>44</v>
      </c>
      <c r="N33" s="9" t="s">
        <v>45</v>
      </c>
      <c r="O33" s="42" t="s">
        <v>1</v>
      </c>
      <c r="P33" s="8" t="s">
        <v>2</v>
      </c>
      <c r="Q33" s="9" t="s">
        <v>46</v>
      </c>
      <c r="R33" s="9" t="s">
        <v>8</v>
      </c>
      <c r="S33" s="9" t="s">
        <v>9</v>
      </c>
      <c r="T33" s="9" t="s">
        <v>10</v>
      </c>
      <c r="U33" s="9" t="s">
        <v>47</v>
      </c>
      <c r="V33" s="9" t="s">
        <v>11</v>
      </c>
      <c r="W33" s="9" t="s">
        <v>12</v>
      </c>
      <c r="X33" s="9" t="s">
        <v>13</v>
      </c>
      <c r="Y33" s="9" t="s">
        <v>14</v>
      </c>
    </row>
    <row r="34" spans="2:25" ht="13.5" thickBot="1" x14ac:dyDescent="0.25">
      <c r="B34" s="17" t="s">
        <v>75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17" t="s">
        <v>75</v>
      </c>
      <c r="P34" s="44"/>
      <c r="Q34" s="11"/>
      <c r="R34" s="34"/>
      <c r="S34" s="19"/>
      <c r="T34" s="18"/>
      <c r="U34" s="18"/>
      <c r="V34" s="18"/>
      <c r="W34" s="18"/>
      <c r="X34" s="18"/>
      <c r="Y34" s="18"/>
    </row>
    <row r="35" spans="2:25" ht="13.5" thickBot="1" x14ac:dyDescent="0.25">
      <c r="B35" s="40"/>
      <c r="C35" s="15" t="s">
        <v>76</v>
      </c>
      <c r="D35" s="15" t="s">
        <v>51</v>
      </c>
      <c r="E35" s="16">
        <v>0</v>
      </c>
      <c r="F35" s="16">
        <v>0</v>
      </c>
      <c r="G35" s="16">
        <v>0</v>
      </c>
      <c r="H35" s="16">
        <v>17</v>
      </c>
      <c r="I35" s="16">
        <v>0</v>
      </c>
      <c r="J35" s="16">
        <v>0</v>
      </c>
      <c r="K35" s="16">
        <v>182</v>
      </c>
      <c r="L35" s="16">
        <v>0</v>
      </c>
      <c r="M35" s="16">
        <v>0</v>
      </c>
      <c r="N35" s="16">
        <v>22</v>
      </c>
      <c r="O35" s="15" t="s">
        <v>76</v>
      </c>
      <c r="P35" s="15" t="s">
        <v>51</v>
      </c>
      <c r="Q35" s="16">
        <v>0</v>
      </c>
      <c r="R35" s="16">
        <v>0</v>
      </c>
      <c r="S35" s="16">
        <v>0</v>
      </c>
      <c r="T35" s="16">
        <v>0</v>
      </c>
      <c r="U35" s="16">
        <v>11</v>
      </c>
      <c r="V35" s="16">
        <v>10</v>
      </c>
      <c r="W35" s="16">
        <v>0</v>
      </c>
      <c r="X35" s="16">
        <v>0</v>
      </c>
      <c r="Y35" s="16">
        <f t="shared" ref="Y35:Y36" si="1">E35+F35+G35+H35+I35+J35+K35+L35+M35+N35+Q35+R35+S35+T35+U35+V35+W35+X35</f>
        <v>242</v>
      </c>
    </row>
    <row r="36" spans="2:25" ht="13.5" thickBot="1" x14ac:dyDescent="0.25">
      <c r="B36" s="40"/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5"/>
      <c r="P36" s="15"/>
      <c r="Q36" s="16"/>
      <c r="R36" s="16"/>
      <c r="S36" s="16"/>
      <c r="T36" s="16"/>
      <c r="U36" s="16"/>
      <c r="V36" s="16"/>
      <c r="W36" s="16"/>
      <c r="X36" s="16"/>
      <c r="Y36" s="16">
        <f t="shared" si="1"/>
        <v>0</v>
      </c>
    </row>
    <row r="37" spans="2:25" ht="13.5" thickBot="1" x14ac:dyDescent="0.25">
      <c r="B37" s="17" t="s">
        <v>77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17" t="s">
        <v>77</v>
      </c>
      <c r="P37" s="44"/>
      <c r="Q37" s="11"/>
      <c r="R37" s="34"/>
      <c r="S37" s="19"/>
      <c r="T37" s="18"/>
      <c r="U37" s="18"/>
      <c r="V37" s="18"/>
      <c r="W37" s="18"/>
      <c r="X37" s="18"/>
      <c r="Y37" s="18"/>
    </row>
    <row r="38" spans="2:25" ht="13.5" thickBot="1" x14ac:dyDescent="0.25">
      <c r="B38" s="40"/>
      <c r="C38" s="15" t="s">
        <v>54</v>
      </c>
      <c r="D38" s="15" t="s">
        <v>51</v>
      </c>
      <c r="E38" s="16">
        <v>0</v>
      </c>
      <c r="F38" s="16">
        <v>0</v>
      </c>
      <c r="G38" s="16">
        <v>0</v>
      </c>
      <c r="H38" s="16">
        <v>0</v>
      </c>
      <c r="I38" s="16">
        <v>16</v>
      </c>
      <c r="J38" s="16">
        <v>0</v>
      </c>
      <c r="K38" s="16">
        <v>0</v>
      </c>
      <c r="L38" s="16">
        <v>62</v>
      </c>
      <c r="M38" s="16">
        <v>0</v>
      </c>
      <c r="N38" s="16">
        <v>0</v>
      </c>
      <c r="O38" s="15" t="s">
        <v>54</v>
      </c>
      <c r="P38" s="15" t="s">
        <v>51</v>
      </c>
      <c r="Q38" s="16">
        <v>19</v>
      </c>
      <c r="R38" s="16">
        <v>0</v>
      </c>
      <c r="S38" s="16">
        <v>34</v>
      </c>
      <c r="T38" s="16">
        <v>14</v>
      </c>
      <c r="U38" s="16">
        <v>0</v>
      </c>
      <c r="V38" s="16">
        <v>0</v>
      </c>
      <c r="W38" s="16">
        <v>0</v>
      </c>
      <c r="X38" s="16">
        <v>52</v>
      </c>
      <c r="Y38" s="16">
        <f t="shared" ref="Y38:Y39" si="2">E38+F38+G38+H38+I38+J38+K38+L38+M38+N38+Q38+R38+S38+T38+U38+V38+W38+X38</f>
        <v>197</v>
      </c>
    </row>
    <row r="39" spans="2:25" ht="13.5" thickBot="1" x14ac:dyDescent="0.25">
      <c r="B39" s="40"/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5"/>
      <c r="P39" s="15"/>
      <c r="Q39" s="16"/>
      <c r="R39" s="16"/>
      <c r="S39" s="16"/>
      <c r="T39" s="16"/>
      <c r="U39" s="16"/>
      <c r="V39" s="16"/>
      <c r="W39" s="16"/>
      <c r="X39" s="16"/>
      <c r="Y39" s="16">
        <f t="shared" si="2"/>
        <v>0</v>
      </c>
    </row>
    <row r="40" spans="2:25" ht="13.5" thickBot="1" x14ac:dyDescent="0.25">
      <c r="B40" s="17" t="s">
        <v>65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17" t="s">
        <v>65</v>
      </c>
      <c r="P40" s="44"/>
      <c r="Q40" s="11"/>
      <c r="R40" s="34"/>
      <c r="S40" s="19"/>
      <c r="T40" s="18"/>
      <c r="U40" s="18"/>
      <c r="V40" s="18"/>
      <c r="W40" s="18"/>
      <c r="X40" s="18"/>
      <c r="Y40" s="18"/>
    </row>
    <row r="41" spans="2:25" ht="13.5" thickBot="1" x14ac:dyDescent="0.25">
      <c r="B41" s="40"/>
      <c r="C41" s="15" t="s">
        <v>66</v>
      </c>
      <c r="D41" s="15" t="s">
        <v>15</v>
      </c>
      <c r="E41" s="16">
        <v>10</v>
      </c>
      <c r="F41" s="16">
        <v>33</v>
      </c>
      <c r="G41" s="16">
        <v>21</v>
      </c>
      <c r="H41" s="16">
        <v>13</v>
      </c>
      <c r="I41" s="16">
        <v>14</v>
      </c>
      <c r="J41" s="16">
        <v>28</v>
      </c>
      <c r="K41" s="16">
        <v>208</v>
      </c>
      <c r="L41" s="16">
        <v>54</v>
      </c>
      <c r="M41" s="16">
        <v>2</v>
      </c>
      <c r="N41" s="16">
        <v>27</v>
      </c>
      <c r="O41" s="15" t="s">
        <v>66</v>
      </c>
      <c r="P41" s="15" t="s">
        <v>15</v>
      </c>
      <c r="Q41" s="16">
        <v>21</v>
      </c>
      <c r="R41" s="16">
        <v>3</v>
      </c>
      <c r="S41" s="16">
        <v>36</v>
      </c>
      <c r="T41" s="16">
        <v>13</v>
      </c>
      <c r="U41" s="16">
        <v>11</v>
      </c>
      <c r="V41" s="16">
        <v>8</v>
      </c>
      <c r="W41" s="16">
        <v>50</v>
      </c>
      <c r="X41" s="16">
        <v>54</v>
      </c>
      <c r="Y41" s="16">
        <f>E41+F41+G41+H41+I41+J41+K41+L41+M41+N41+Q41+R41+S41+T41+U41+V41+W41+X41</f>
        <v>606</v>
      </c>
    </row>
    <row r="42" spans="2:25" ht="13.5" thickBot="1" x14ac:dyDescent="0.25">
      <c r="B42" s="17" t="s">
        <v>67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0"/>
      <c r="O42" s="17" t="s">
        <v>67</v>
      </c>
      <c r="P42" s="44"/>
      <c r="Q42" s="11"/>
      <c r="R42" s="34"/>
      <c r="S42" s="19"/>
      <c r="T42" s="18"/>
      <c r="U42" s="18"/>
      <c r="V42" s="18"/>
      <c r="W42" s="18"/>
      <c r="X42" s="18"/>
      <c r="Y42" s="18"/>
    </row>
    <row r="43" spans="2:25" ht="13.5" thickBot="1" x14ac:dyDescent="0.25">
      <c r="B43" s="40"/>
      <c r="C43" s="15" t="s">
        <v>68</v>
      </c>
      <c r="D43" s="15" t="s">
        <v>51</v>
      </c>
      <c r="E43" s="16">
        <v>10</v>
      </c>
      <c r="F43" s="16">
        <v>31</v>
      </c>
      <c r="G43" s="16">
        <v>23</v>
      </c>
      <c r="H43" s="16">
        <v>16</v>
      </c>
      <c r="I43" s="16">
        <v>14</v>
      </c>
      <c r="J43" s="16">
        <v>27</v>
      </c>
      <c r="K43" s="16">
        <v>211</v>
      </c>
      <c r="L43" s="16">
        <v>61</v>
      </c>
      <c r="M43" s="16">
        <v>3</v>
      </c>
      <c r="N43" s="16">
        <v>27</v>
      </c>
      <c r="O43" s="15" t="s">
        <v>68</v>
      </c>
      <c r="P43" s="15" t="s">
        <v>51</v>
      </c>
      <c r="Q43" s="16">
        <v>19</v>
      </c>
      <c r="R43" s="16">
        <v>4</v>
      </c>
      <c r="S43" s="16">
        <v>37</v>
      </c>
      <c r="T43" s="16">
        <v>13</v>
      </c>
      <c r="U43" s="16">
        <v>12</v>
      </c>
      <c r="V43" s="16">
        <v>9</v>
      </c>
      <c r="W43" s="16">
        <v>48</v>
      </c>
      <c r="X43" s="16">
        <v>52</v>
      </c>
      <c r="Y43" s="16">
        <f t="shared" ref="Y43:Y52" si="3">E43+F43+G43+H43+I43+J43+K43+L43+M43+N43+Q43+R43+S43+T43+U43+V43+W43+X43</f>
        <v>617</v>
      </c>
    </row>
    <row r="44" spans="2:25" ht="13.5" thickBot="1" x14ac:dyDescent="0.25">
      <c r="B44" s="40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5"/>
      <c r="P44" s="15"/>
      <c r="Q44" s="16"/>
      <c r="R44" s="16"/>
      <c r="S44" s="16"/>
      <c r="T44" s="16"/>
      <c r="U44" s="16"/>
      <c r="V44" s="16"/>
      <c r="W44" s="16"/>
      <c r="X44" s="16"/>
      <c r="Y44" s="16">
        <f t="shared" si="3"/>
        <v>0</v>
      </c>
    </row>
    <row r="45" spans="2:25" ht="13.5" thickBot="1" x14ac:dyDescent="0.25">
      <c r="B45" s="17" t="s">
        <v>69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0"/>
      <c r="O45" s="17" t="s">
        <v>69</v>
      </c>
      <c r="P45" s="44"/>
      <c r="Q45" s="11"/>
      <c r="R45" s="34"/>
      <c r="S45" s="19"/>
      <c r="T45" s="18"/>
      <c r="U45" s="18"/>
      <c r="V45" s="18"/>
      <c r="W45" s="18"/>
      <c r="X45" s="18"/>
      <c r="Y45" s="18"/>
    </row>
    <row r="46" spans="2:25" ht="13.5" thickBot="1" x14ac:dyDescent="0.25">
      <c r="B46" s="40"/>
      <c r="C46" s="15" t="s">
        <v>70</v>
      </c>
      <c r="D46" s="15" t="s">
        <v>51</v>
      </c>
      <c r="E46" s="16">
        <v>7</v>
      </c>
      <c r="F46" s="16">
        <v>26</v>
      </c>
      <c r="G46" s="16">
        <v>18</v>
      </c>
      <c r="H46" s="16">
        <v>12</v>
      </c>
      <c r="I46" s="16">
        <v>11</v>
      </c>
      <c r="J46" s="16">
        <v>18</v>
      </c>
      <c r="K46" s="16">
        <v>177</v>
      </c>
      <c r="L46" s="16">
        <v>45</v>
      </c>
      <c r="M46" s="16">
        <v>0</v>
      </c>
      <c r="N46" s="16">
        <v>7</v>
      </c>
      <c r="O46" s="15" t="s">
        <v>70</v>
      </c>
      <c r="P46" s="15" t="s">
        <v>51</v>
      </c>
      <c r="Q46" s="16">
        <v>19</v>
      </c>
      <c r="R46" s="16">
        <v>2</v>
      </c>
      <c r="S46" s="16">
        <v>24</v>
      </c>
      <c r="T46" s="16">
        <v>14</v>
      </c>
      <c r="U46" s="16">
        <v>12</v>
      </c>
      <c r="V46" s="16">
        <v>3</v>
      </c>
      <c r="W46" s="16">
        <v>32</v>
      </c>
      <c r="X46" s="16">
        <v>46</v>
      </c>
      <c r="Y46" s="16">
        <f t="shared" si="3"/>
        <v>473</v>
      </c>
    </row>
    <row r="47" spans="2:25" ht="13.5" thickBot="1" x14ac:dyDescent="0.25">
      <c r="B47" s="40"/>
      <c r="C47" s="15" t="s">
        <v>137</v>
      </c>
      <c r="D47" s="15" t="s">
        <v>51</v>
      </c>
      <c r="E47" s="16">
        <v>3</v>
      </c>
      <c r="F47" s="16">
        <v>3</v>
      </c>
      <c r="G47" s="16">
        <v>5</v>
      </c>
      <c r="H47" s="16">
        <v>4</v>
      </c>
      <c r="I47" s="16">
        <v>4</v>
      </c>
      <c r="J47" s="16">
        <v>14</v>
      </c>
      <c r="K47" s="16">
        <v>42</v>
      </c>
      <c r="L47" s="16">
        <v>17</v>
      </c>
      <c r="M47" s="16">
        <v>4</v>
      </c>
      <c r="N47" s="16">
        <v>17</v>
      </c>
      <c r="O47" s="15" t="s">
        <v>137</v>
      </c>
      <c r="P47" s="15" t="s">
        <v>51</v>
      </c>
      <c r="Q47" s="16">
        <v>2</v>
      </c>
      <c r="R47" s="16">
        <v>1</v>
      </c>
      <c r="S47" s="16">
        <v>12</v>
      </c>
      <c r="T47" s="16">
        <v>0</v>
      </c>
      <c r="U47" s="16">
        <v>1</v>
      </c>
      <c r="V47" s="16">
        <v>5</v>
      </c>
      <c r="W47" s="16">
        <v>16</v>
      </c>
      <c r="X47" s="16">
        <v>6</v>
      </c>
      <c r="Y47" s="16">
        <f>E47+F47+G47+H47+I47+J47+K47+L47+M47+N47+Q47+R47+S47+T47+U47+V47+W47+X47</f>
        <v>156</v>
      </c>
    </row>
    <row r="48" spans="2:25" ht="13.5" thickBot="1" x14ac:dyDescent="0.25">
      <c r="B48" s="17" t="s">
        <v>71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0"/>
      <c r="O48" s="17" t="s">
        <v>71</v>
      </c>
      <c r="P48" s="44"/>
      <c r="Q48" s="11"/>
      <c r="R48" s="34"/>
      <c r="S48" s="19"/>
      <c r="T48" s="18"/>
      <c r="U48" s="18"/>
      <c r="V48" s="18"/>
      <c r="W48" s="18"/>
      <c r="X48" s="18"/>
      <c r="Y48" s="18"/>
    </row>
    <row r="49" spans="2:25" ht="13.5" thickBot="1" x14ac:dyDescent="0.25">
      <c r="B49" s="40"/>
      <c r="C49" s="15" t="s">
        <v>72</v>
      </c>
      <c r="D49" s="15" t="s">
        <v>51</v>
      </c>
      <c r="E49" s="16">
        <v>10</v>
      </c>
      <c r="F49" s="16">
        <v>31</v>
      </c>
      <c r="G49" s="16">
        <v>21</v>
      </c>
      <c r="H49" s="16">
        <v>15</v>
      </c>
      <c r="I49" s="16">
        <v>8</v>
      </c>
      <c r="J49" s="16">
        <v>25</v>
      </c>
      <c r="K49" s="16">
        <v>192</v>
      </c>
      <c r="L49" s="16">
        <v>52</v>
      </c>
      <c r="M49" s="16">
        <v>2</v>
      </c>
      <c r="N49" s="16">
        <v>25</v>
      </c>
      <c r="O49" s="15" t="s">
        <v>72</v>
      </c>
      <c r="P49" s="15" t="s">
        <v>51</v>
      </c>
      <c r="Q49" s="16">
        <v>20</v>
      </c>
      <c r="R49" s="16">
        <v>3</v>
      </c>
      <c r="S49" s="16">
        <v>34</v>
      </c>
      <c r="T49" s="16">
        <v>12</v>
      </c>
      <c r="U49" s="16">
        <v>12</v>
      </c>
      <c r="V49" s="16">
        <v>6</v>
      </c>
      <c r="W49" s="16">
        <v>48</v>
      </c>
      <c r="X49" s="16">
        <v>48</v>
      </c>
      <c r="Y49" s="16">
        <f t="shared" si="3"/>
        <v>564</v>
      </c>
    </row>
    <row r="50" spans="2:25" ht="13.5" thickBot="1" x14ac:dyDescent="0.25">
      <c r="B50" s="17" t="s">
        <v>73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0"/>
      <c r="O50" s="17" t="s">
        <v>73</v>
      </c>
      <c r="P50" s="44"/>
      <c r="Q50" s="11"/>
      <c r="R50" s="34"/>
      <c r="S50" s="19"/>
      <c r="T50" s="18"/>
      <c r="U50" s="18"/>
      <c r="V50" s="18"/>
      <c r="W50" s="18"/>
      <c r="X50" s="18"/>
      <c r="Y50" s="18"/>
    </row>
    <row r="51" spans="2:25" ht="13.5" thickBot="1" x14ac:dyDescent="0.25">
      <c r="B51" s="40"/>
      <c r="C51" s="15" t="s">
        <v>74</v>
      </c>
      <c r="D51" s="15" t="s">
        <v>51</v>
      </c>
      <c r="E51" s="16">
        <v>9</v>
      </c>
      <c r="F51" s="16">
        <v>32</v>
      </c>
      <c r="G51" s="16">
        <v>18</v>
      </c>
      <c r="H51" s="16">
        <v>14</v>
      </c>
      <c r="I51" s="16">
        <v>12</v>
      </c>
      <c r="J51" s="16">
        <v>24</v>
      </c>
      <c r="K51" s="16">
        <v>177</v>
      </c>
      <c r="L51" s="16">
        <v>52</v>
      </c>
      <c r="M51" s="16">
        <v>2</v>
      </c>
      <c r="N51" s="16">
        <v>27</v>
      </c>
      <c r="O51" s="38" t="s">
        <v>74</v>
      </c>
      <c r="P51" s="14" t="s">
        <v>51</v>
      </c>
      <c r="Q51" s="16">
        <v>19</v>
      </c>
      <c r="R51" s="16">
        <v>3</v>
      </c>
      <c r="S51" s="16">
        <v>34</v>
      </c>
      <c r="T51" s="16">
        <v>9</v>
      </c>
      <c r="U51" s="16">
        <v>11</v>
      </c>
      <c r="V51" s="16">
        <v>9</v>
      </c>
      <c r="W51" s="16">
        <v>44</v>
      </c>
      <c r="X51" s="16">
        <v>45</v>
      </c>
      <c r="Y51" s="16">
        <f t="shared" si="3"/>
        <v>541</v>
      </c>
    </row>
    <row r="52" spans="2:25" ht="13.5" thickBot="1" x14ac:dyDescent="0.25">
      <c r="B52" s="40"/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5"/>
      <c r="P52" s="14"/>
      <c r="Q52" s="16"/>
      <c r="R52" s="16"/>
      <c r="S52" s="16"/>
      <c r="T52" s="16"/>
      <c r="U52" s="16"/>
      <c r="V52" s="16"/>
      <c r="W52" s="16"/>
      <c r="X52" s="16"/>
      <c r="Y52" s="16">
        <f t="shared" si="3"/>
        <v>0</v>
      </c>
    </row>
    <row r="53" spans="2:25" ht="2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7.75" x14ac:dyDescent="0.4"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1"/>
      <c r="V54" s="1"/>
      <c r="W54" s="1"/>
      <c r="X54" s="1"/>
      <c r="Y54" s="1"/>
    </row>
    <row r="55" spans="2:25" ht="27.75" x14ac:dyDescent="0.4"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35"/>
      <c r="Q55" s="1"/>
      <c r="R55" s="1"/>
      <c r="S55" s="35"/>
      <c r="T55" s="1"/>
      <c r="U55" s="1"/>
      <c r="V55" s="1"/>
      <c r="W55" s="1"/>
      <c r="X55" s="1"/>
      <c r="Y55" s="1"/>
    </row>
    <row r="56" spans="2:25" ht="15.75" x14ac:dyDescent="0.25">
      <c r="B56" s="3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6"/>
      <c r="Q56" s="4"/>
      <c r="R56" s="4"/>
      <c r="S56" s="36"/>
      <c r="T56" s="4"/>
      <c r="U56" s="4"/>
      <c r="V56" s="4"/>
      <c r="W56" s="4"/>
      <c r="X56" s="4"/>
      <c r="Y56" s="5"/>
    </row>
    <row r="57" spans="2:25" ht="15.75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6"/>
      <c r="Q57" s="4"/>
      <c r="R57" s="4"/>
      <c r="S57" s="36"/>
      <c r="T57" s="4"/>
      <c r="U57" s="4"/>
      <c r="V57" s="4"/>
      <c r="W57" s="4"/>
      <c r="X57" s="4"/>
      <c r="Y57" s="5"/>
    </row>
    <row r="58" spans="2:25" ht="16.5" thickBot="1" x14ac:dyDescent="0.3">
      <c r="B58" s="4"/>
      <c r="C58" s="4"/>
      <c r="D58" s="4"/>
      <c r="E58" s="4"/>
      <c r="F58" s="4"/>
      <c r="Y58" s="5"/>
    </row>
    <row r="59" spans="2:25" ht="101.25" thickBot="1" x14ac:dyDescent="0.25">
      <c r="B59" s="8" t="s">
        <v>0</v>
      </c>
      <c r="C59" s="8" t="s">
        <v>1</v>
      </c>
      <c r="D59" s="8" t="s">
        <v>2</v>
      </c>
      <c r="E59" s="9" t="s">
        <v>3</v>
      </c>
      <c r="F59" s="9" t="s">
        <v>4</v>
      </c>
      <c r="G59" s="9" t="s">
        <v>5</v>
      </c>
      <c r="H59" s="9" t="s">
        <v>6</v>
      </c>
      <c r="I59" s="9" t="s">
        <v>7</v>
      </c>
      <c r="J59" s="9" t="s">
        <v>41</v>
      </c>
      <c r="K59" s="9" t="s">
        <v>42</v>
      </c>
      <c r="L59" s="9" t="s">
        <v>43</v>
      </c>
      <c r="M59" s="31" t="s">
        <v>44</v>
      </c>
      <c r="N59" s="9" t="s">
        <v>45</v>
      </c>
      <c r="O59" s="42" t="s">
        <v>1</v>
      </c>
      <c r="P59" s="8" t="s">
        <v>2</v>
      </c>
      <c r="Q59" s="9" t="s">
        <v>46</v>
      </c>
      <c r="R59" s="9" t="s">
        <v>8</v>
      </c>
      <c r="S59" s="9" t="s">
        <v>9</v>
      </c>
      <c r="T59" s="9" t="s">
        <v>10</v>
      </c>
      <c r="U59" s="9" t="s">
        <v>47</v>
      </c>
      <c r="V59" s="9" t="s">
        <v>11</v>
      </c>
      <c r="W59" s="9" t="s">
        <v>12</v>
      </c>
      <c r="X59" s="9" t="s">
        <v>13</v>
      </c>
      <c r="Y59" s="9" t="s">
        <v>14</v>
      </c>
    </row>
    <row r="60" spans="2:25" x14ac:dyDescent="0.2">
      <c r="B60" s="22" t="s">
        <v>78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5"/>
      <c r="O60" s="22" t="s">
        <v>78</v>
      </c>
      <c r="P60" s="24"/>
      <c r="Q60" s="23"/>
      <c r="R60" s="23"/>
      <c r="S60" s="24"/>
      <c r="T60" s="23"/>
      <c r="U60" s="23"/>
      <c r="V60" s="23"/>
      <c r="W60" s="23"/>
      <c r="X60" s="23"/>
      <c r="Y60" s="23"/>
    </row>
    <row r="61" spans="2:25" ht="13.5" thickBot="1" x14ac:dyDescent="0.25">
      <c r="B61" s="17" t="s">
        <v>26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0"/>
      <c r="O61" s="17" t="s">
        <v>26</v>
      </c>
      <c r="P61" s="19"/>
      <c r="Q61" s="18"/>
      <c r="R61" s="34"/>
      <c r="S61" s="19"/>
      <c r="T61" s="18"/>
      <c r="U61" s="18"/>
      <c r="V61" s="18"/>
      <c r="W61" s="18"/>
      <c r="X61" s="18"/>
      <c r="Y61" s="18"/>
    </row>
    <row r="62" spans="2:25" ht="13.5" thickBot="1" x14ac:dyDescent="0.25">
      <c r="B62" s="15"/>
      <c r="C62" s="15" t="s">
        <v>84</v>
      </c>
      <c r="D62" s="15" t="s">
        <v>15</v>
      </c>
      <c r="E62" s="16">
        <v>9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5" t="s">
        <v>84</v>
      </c>
      <c r="P62" s="15" t="s">
        <v>15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f t="shared" ref="Y62:Y94" si="4">E62+F62+G62+H62+I62+J62+K62+L62+M62+N62+Q62+R62+S62+T62+U62+V62+W62+X62</f>
        <v>9</v>
      </c>
    </row>
    <row r="63" spans="2:25" ht="13.5" thickBot="1" x14ac:dyDescent="0.25">
      <c r="B63" s="48"/>
      <c r="C63" s="15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5"/>
      <c r="P63" s="15"/>
      <c r="Q63" s="16"/>
      <c r="R63" s="16"/>
      <c r="S63" s="16"/>
      <c r="T63" s="16"/>
      <c r="U63" s="16"/>
      <c r="V63" s="16"/>
      <c r="W63" s="16"/>
      <c r="X63" s="16"/>
      <c r="Y63" s="16">
        <f t="shared" si="4"/>
        <v>0</v>
      </c>
    </row>
    <row r="64" spans="2:25" ht="13.5" thickBot="1" x14ac:dyDescent="0.25">
      <c r="B64" s="10" t="s">
        <v>27</v>
      </c>
      <c r="C64" s="11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27"/>
      <c r="O64" s="10" t="s">
        <v>27</v>
      </c>
      <c r="P64" s="12"/>
      <c r="Q64" s="12"/>
      <c r="R64" s="33"/>
      <c r="S64" s="12"/>
      <c r="T64" s="12"/>
      <c r="U64" s="12"/>
      <c r="V64" s="12"/>
      <c r="W64" s="12"/>
      <c r="X64" s="12"/>
      <c r="Y64" s="12"/>
    </row>
    <row r="65" spans="1:25" ht="13.5" thickBot="1" x14ac:dyDescent="0.25">
      <c r="B65" s="15"/>
      <c r="C65" s="15" t="s">
        <v>83</v>
      </c>
      <c r="D65" s="15" t="s">
        <v>15</v>
      </c>
      <c r="E65" s="16">
        <v>0</v>
      </c>
      <c r="F65" s="16">
        <v>27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5" t="s">
        <v>83</v>
      </c>
      <c r="P65" s="15" t="s">
        <v>15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f t="shared" ref="Y65" si="5">E65+F65+G65+H65+I65+J65+K65+L65+M65+N65+Q65+R65+S65+T65+U65+V65+W65+X65</f>
        <v>27</v>
      </c>
    </row>
    <row r="66" spans="1:25" ht="13.5" thickBot="1" x14ac:dyDescent="0.25">
      <c r="B66" s="21"/>
      <c r="C66" s="15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5"/>
      <c r="P66" s="15"/>
      <c r="Q66" s="16"/>
      <c r="R66" s="16"/>
      <c r="S66" s="16"/>
      <c r="T66" s="16"/>
      <c r="U66" s="16"/>
      <c r="V66" s="16"/>
      <c r="W66" s="16"/>
      <c r="X66" s="16"/>
      <c r="Y66" s="16">
        <f t="shared" si="4"/>
        <v>0</v>
      </c>
    </row>
    <row r="67" spans="1:25" ht="13.5" thickBot="1" x14ac:dyDescent="0.25">
      <c r="B67" s="10" t="s">
        <v>28</v>
      </c>
      <c r="C67" s="11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27"/>
      <c r="O67" s="10" t="s">
        <v>28</v>
      </c>
      <c r="P67" s="12"/>
      <c r="Q67" s="12"/>
      <c r="R67" s="33"/>
      <c r="S67" s="12"/>
      <c r="T67" s="12"/>
      <c r="U67" s="12"/>
      <c r="V67" s="12"/>
      <c r="W67" s="12"/>
      <c r="X67" s="12"/>
      <c r="Y67" s="12"/>
    </row>
    <row r="68" spans="1:25" ht="13.5" thickBot="1" x14ac:dyDescent="0.25">
      <c r="B68" s="21"/>
      <c r="C68" s="15" t="s">
        <v>53</v>
      </c>
      <c r="D68" s="15" t="s">
        <v>15</v>
      </c>
      <c r="E68" s="16">
        <v>0</v>
      </c>
      <c r="F68" s="16">
        <v>0</v>
      </c>
      <c r="G68" s="16">
        <v>24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5" t="s">
        <v>53</v>
      </c>
      <c r="P68" s="15" t="s">
        <v>15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f t="shared" si="4"/>
        <v>24</v>
      </c>
    </row>
    <row r="69" spans="1:25" ht="13.5" thickBot="1" x14ac:dyDescent="0.25">
      <c r="B69" s="21"/>
      <c r="C69" s="15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6"/>
      <c r="R69" s="16"/>
      <c r="S69" s="16"/>
      <c r="T69" s="16"/>
      <c r="U69" s="16"/>
      <c r="V69" s="16"/>
      <c r="W69" s="16"/>
      <c r="X69" s="16"/>
      <c r="Y69" s="16">
        <f t="shared" si="4"/>
        <v>0</v>
      </c>
    </row>
    <row r="70" spans="1:25" ht="13.5" thickBot="1" x14ac:dyDescent="0.25">
      <c r="B70" s="10" t="s">
        <v>29</v>
      </c>
      <c r="C70" s="11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27"/>
      <c r="O70" s="10" t="s">
        <v>29</v>
      </c>
      <c r="P70" s="12"/>
      <c r="Q70" s="12"/>
      <c r="R70" s="33"/>
      <c r="S70" s="12"/>
      <c r="T70" s="12"/>
      <c r="U70" s="12"/>
      <c r="V70" s="12"/>
      <c r="W70" s="12"/>
      <c r="X70" s="12"/>
      <c r="Y70" s="12"/>
    </row>
    <row r="71" spans="1:25" ht="13.5" thickBot="1" x14ac:dyDescent="0.25">
      <c r="B71" s="21"/>
      <c r="C71" s="15"/>
      <c r="D71" s="15"/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5"/>
      <c r="P71" s="15"/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f t="shared" si="4"/>
        <v>0</v>
      </c>
    </row>
    <row r="72" spans="1:25" ht="20.100000000000001" customHeight="1" thickBot="1" x14ac:dyDescent="0.25">
      <c r="B72" s="10" t="s">
        <v>30</v>
      </c>
      <c r="C72" s="11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27"/>
      <c r="O72" s="10" t="s">
        <v>30</v>
      </c>
      <c r="P72" s="12"/>
      <c r="Q72" s="12"/>
      <c r="R72" s="33"/>
      <c r="S72" s="12"/>
      <c r="T72" s="12"/>
      <c r="U72" s="12"/>
      <c r="V72" s="12"/>
      <c r="W72" s="12"/>
      <c r="X72" s="12"/>
      <c r="Y72" s="12"/>
    </row>
    <row r="73" spans="1:25" ht="13.5" thickBot="1" x14ac:dyDescent="0.25">
      <c r="B73" s="15"/>
      <c r="C73" s="15" t="s">
        <v>98</v>
      </c>
      <c r="D73" s="15" t="s">
        <v>15</v>
      </c>
      <c r="E73" s="16">
        <v>0</v>
      </c>
      <c r="F73" s="16">
        <v>0</v>
      </c>
      <c r="G73" s="16">
        <v>0</v>
      </c>
      <c r="H73" s="16">
        <v>0</v>
      </c>
      <c r="I73" s="16">
        <v>15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5" t="s">
        <v>98</v>
      </c>
      <c r="P73" s="15" t="s">
        <v>15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f t="shared" si="4"/>
        <v>15</v>
      </c>
    </row>
    <row r="74" spans="1:25" ht="13.5" thickBot="1" x14ac:dyDescent="0.25">
      <c r="B74" s="10" t="s">
        <v>31</v>
      </c>
      <c r="C74" s="11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27"/>
      <c r="O74" s="10" t="s">
        <v>31</v>
      </c>
      <c r="P74" s="12"/>
      <c r="Q74" s="12"/>
      <c r="R74" s="33"/>
      <c r="S74" s="12"/>
      <c r="T74" s="12"/>
      <c r="U74" s="12"/>
      <c r="V74" s="12"/>
      <c r="W74" s="12"/>
      <c r="X74" s="12"/>
      <c r="Y74" s="12"/>
    </row>
    <row r="75" spans="1:25" ht="13.5" thickBot="1" x14ac:dyDescent="0.25">
      <c r="B75" s="39"/>
      <c r="C75" s="15" t="s">
        <v>82</v>
      </c>
      <c r="D75" s="15" t="s">
        <v>15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27</v>
      </c>
      <c r="K75" s="16">
        <v>209</v>
      </c>
      <c r="L75" s="16">
        <v>60</v>
      </c>
      <c r="M75" s="16">
        <v>4</v>
      </c>
      <c r="N75" s="16">
        <v>25</v>
      </c>
      <c r="O75" s="15" t="s">
        <v>82</v>
      </c>
      <c r="P75" s="15" t="s">
        <v>15</v>
      </c>
      <c r="Q75" s="16">
        <v>22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f t="shared" si="4"/>
        <v>347</v>
      </c>
    </row>
    <row r="76" spans="1:25" ht="15" customHeight="1" thickBot="1" x14ac:dyDescent="0.3">
      <c r="A76" s="6"/>
      <c r="B76" s="39"/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5"/>
      <c r="P76" s="15"/>
      <c r="Q76" s="16"/>
      <c r="R76" s="16"/>
      <c r="S76" s="16"/>
      <c r="T76" s="16"/>
      <c r="U76" s="16"/>
      <c r="V76" s="16"/>
      <c r="W76" s="16"/>
      <c r="X76" s="16"/>
      <c r="Y76" s="16">
        <f t="shared" si="4"/>
        <v>0</v>
      </c>
    </row>
    <row r="77" spans="1:25" ht="13.5" thickBot="1" x14ac:dyDescent="0.25">
      <c r="B77" s="10" t="s">
        <v>32</v>
      </c>
      <c r="C77" s="11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27"/>
      <c r="O77" s="10" t="s">
        <v>32</v>
      </c>
      <c r="P77" s="12"/>
      <c r="Q77" s="12"/>
      <c r="R77" s="33"/>
      <c r="S77" s="12"/>
      <c r="T77" s="12"/>
      <c r="U77" s="12"/>
      <c r="V77" s="12"/>
      <c r="W77" s="12"/>
      <c r="X77" s="12"/>
      <c r="Y77" s="12"/>
    </row>
    <row r="78" spans="1:25" ht="13.5" thickBot="1" x14ac:dyDescent="0.25">
      <c r="B78" s="39"/>
      <c r="C78" s="15" t="s">
        <v>81</v>
      </c>
      <c r="D78" s="15" t="s">
        <v>15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5" t="s">
        <v>81</v>
      </c>
      <c r="P78" s="15" t="s">
        <v>15</v>
      </c>
      <c r="Q78" s="16">
        <v>0</v>
      </c>
      <c r="R78" s="16">
        <v>4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f t="shared" si="4"/>
        <v>4</v>
      </c>
    </row>
    <row r="79" spans="1:25" ht="13.5" thickBot="1" x14ac:dyDescent="0.25">
      <c r="B79" s="10" t="s">
        <v>33</v>
      </c>
      <c r="C79" s="11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27"/>
      <c r="O79" s="10" t="s">
        <v>33</v>
      </c>
      <c r="P79" s="43"/>
      <c r="Q79" s="12"/>
      <c r="R79" s="46"/>
      <c r="S79" s="12"/>
      <c r="T79" s="12"/>
      <c r="U79" s="12"/>
      <c r="V79" s="12"/>
      <c r="W79" s="12"/>
      <c r="X79" s="12"/>
      <c r="Y79" s="12"/>
    </row>
    <row r="80" spans="1:25" ht="13.5" thickBot="1" x14ac:dyDescent="0.25">
      <c r="B80" s="39"/>
      <c r="C80" s="15" t="s">
        <v>109</v>
      </c>
      <c r="D80" s="15" t="s">
        <v>15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5" t="s">
        <v>109</v>
      </c>
      <c r="P80" s="15" t="s">
        <v>15</v>
      </c>
      <c r="Q80" s="16">
        <v>0</v>
      </c>
      <c r="R80" s="16">
        <v>0</v>
      </c>
      <c r="S80" s="16">
        <v>36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f t="shared" si="4"/>
        <v>36</v>
      </c>
    </row>
    <row r="81" spans="2:84" ht="13.5" thickBot="1" x14ac:dyDescent="0.25">
      <c r="B81" s="39"/>
      <c r="C81" s="15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5"/>
      <c r="P81" s="15"/>
      <c r="Q81" s="16"/>
      <c r="R81" s="16"/>
      <c r="S81" s="16"/>
      <c r="T81" s="16"/>
      <c r="U81" s="16"/>
      <c r="V81" s="16"/>
      <c r="W81" s="16"/>
      <c r="X81" s="16"/>
      <c r="Y81" s="16">
        <f t="shared" si="4"/>
        <v>0</v>
      </c>
    </row>
    <row r="82" spans="2:84" ht="13.5" thickBot="1" x14ac:dyDescent="0.25">
      <c r="B82" s="39"/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5"/>
      <c r="P82" s="14"/>
      <c r="Q82" s="16"/>
      <c r="R82" s="16"/>
      <c r="S82" s="16"/>
      <c r="T82" s="16"/>
      <c r="U82" s="16"/>
      <c r="V82" s="16"/>
      <c r="W82" s="16"/>
      <c r="X82" s="16"/>
      <c r="Y82" s="16">
        <f t="shared" si="4"/>
        <v>0</v>
      </c>
    </row>
    <row r="83" spans="2:84" ht="13.5" thickBot="1" x14ac:dyDescent="0.25">
      <c r="B83" s="10" t="s">
        <v>34</v>
      </c>
      <c r="C83" s="11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27"/>
      <c r="O83" s="10" t="s">
        <v>34</v>
      </c>
      <c r="P83" s="43"/>
      <c r="Q83" s="12"/>
      <c r="R83" s="46"/>
      <c r="S83" s="12"/>
      <c r="T83" s="12"/>
      <c r="U83" s="12"/>
      <c r="V83" s="12"/>
      <c r="W83" s="12"/>
      <c r="X83" s="12"/>
      <c r="Y83" s="12"/>
    </row>
    <row r="84" spans="2:84" ht="13.5" thickBot="1" x14ac:dyDescent="0.25">
      <c r="B84" s="39"/>
      <c r="C84" s="15" t="s">
        <v>110</v>
      </c>
      <c r="D84" s="15" t="s">
        <v>15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5" t="s">
        <v>110</v>
      </c>
      <c r="P84" s="15" t="s">
        <v>15</v>
      </c>
      <c r="Q84" s="16">
        <v>0</v>
      </c>
      <c r="R84" s="16">
        <v>0</v>
      </c>
      <c r="S84" s="16">
        <v>0</v>
      </c>
      <c r="T84" s="16">
        <v>14</v>
      </c>
      <c r="U84" s="16">
        <v>0</v>
      </c>
      <c r="V84" s="16">
        <v>0</v>
      </c>
      <c r="W84" s="16">
        <v>0</v>
      </c>
      <c r="X84" s="16">
        <v>0</v>
      </c>
      <c r="Y84" s="16">
        <f t="shared" si="4"/>
        <v>14</v>
      </c>
    </row>
    <row r="85" spans="2:84" ht="13.5" thickBot="1" x14ac:dyDescent="0.25">
      <c r="B85" s="10" t="s">
        <v>35</v>
      </c>
      <c r="C85" s="11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27"/>
      <c r="O85" s="10" t="s">
        <v>35</v>
      </c>
      <c r="P85" s="12"/>
      <c r="Q85" s="12"/>
      <c r="R85" s="46"/>
      <c r="S85" s="12"/>
      <c r="T85" s="12"/>
      <c r="U85" s="12"/>
      <c r="V85" s="12"/>
      <c r="W85" s="12"/>
      <c r="X85" s="12"/>
      <c r="Y85" s="12"/>
    </row>
    <row r="86" spans="2:84" ht="13.5" thickBot="1" x14ac:dyDescent="0.25">
      <c r="B86" s="39"/>
      <c r="C86" s="15"/>
      <c r="D86" s="15"/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5"/>
      <c r="P86" s="15"/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f t="shared" si="4"/>
        <v>0</v>
      </c>
    </row>
    <row r="87" spans="2:84" ht="13.5" thickBot="1" x14ac:dyDescent="0.25">
      <c r="B87" s="39"/>
      <c r="C87" s="15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5"/>
      <c r="P87" s="15"/>
      <c r="Q87" s="16"/>
      <c r="R87" s="16"/>
      <c r="S87" s="16"/>
      <c r="T87" s="16"/>
      <c r="U87" s="16"/>
      <c r="V87" s="16"/>
      <c r="W87" s="16"/>
      <c r="X87" s="16"/>
      <c r="Y87" s="16">
        <f>E87+F87+G87+H87+I87+J87+K87+L87+M87+N87+Q87+R87+S87+T87+U87+V87+W87+X87</f>
        <v>0</v>
      </c>
    </row>
    <row r="88" spans="2:84" ht="13.5" thickBot="1" x14ac:dyDescent="0.25">
      <c r="B88" s="10" t="s">
        <v>36</v>
      </c>
      <c r="C88" s="11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27"/>
      <c r="O88" s="10" t="s">
        <v>36</v>
      </c>
      <c r="P88" s="12"/>
      <c r="Q88" s="12"/>
      <c r="R88" s="46"/>
      <c r="S88" s="12"/>
      <c r="T88" s="12"/>
      <c r="U88" s="12"/>
      <c r="V88" s="12"/>
      <c r="W88" s="12"/>
      <c r="X88" s="12"/>
      <c r="Y88" s="12"/>
    </row>
    <row r="89" spans="2:84" ht="13.5" thickBot="1" x14ac:dyDescent="0.25">
      <c r="B89" s="21"/>
      <c r="C89" s="15"/>
      <c r="D89" s="15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5"/>
      <c r="P89" s="15"/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f t="shared" si="4"/>
        <v>0</v>
      </c>
    </row>
    <row r="90" spans="2:84" ht="13.5" thickBot="1" x14ac:dyDescent="0.25">
      <c r="B90" s="10" t="s">
        <v>37</v>
      </c>
      <c r="C90" s="11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27"/>
      <c r="O90" s="10" t="s">
        <v>37</v>
      </c>
      <c r="P90" s="12"/>
      <c r="Q90" s="12"/>
      <c r="R90" s="46"/>
      <c r="S90" s="12"/>
      <c r="T90" s="12"/>
      <c r="U90" s="12"/>
      <c r="V90" s="12"/>
      <c r="W90" s="12"/>
      <c r="X90" s="12"/>
      <c r="Y90" s="12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</row>
    <row r="91" spans="2:84" ht="13.5" thickBot="1" x14ac:dyDescent="0.25">
      <c r="B91" s="21"/>
      <c r="C91" s="38" t="s">
        <v>80</v>
      </c>
      <c r="D91" s="14" t="s">
        <v>15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38" t="s">
        <v>80</v>
      </c>
      <c r="P91" s="14" t="s">
        <v>15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48</v>
      </c>
      <c r="X91" s="16">
        <v>0</v>
      </c>
      <c r="Y91" s="16">
        <f t="shared" si="4"/>
        <v>48</v>
      </c>
    </row>
    <row r="92" spans="2:84" ht="13.5" thickBot="1" x14ac:dyDescent="0.25">
      <c r="B92" s="21"/>
      <c r="C92" s="38"/>
      <c r="D92" s="1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5"/>
      <c r="P92" s="14"/>
      <c r="Q92" s="16"/>
      <c r="R92" s="16"/>
      <c r="S92" s="16"/>
      <c r="T92" s="16"/>
      <c r="U92" s="16"/>
      <c r="V92" s="16"/>
      <c r="W92" s="16"/>
      <c r="X92" s="16"/>
      <c r="Y92" s="16">
        <f t="shared" si="4"/>
        <v>0</v>
      </c>
    </row>
    <row r="93" spans="2:84" ht="13.5" thickBot="1" x14ac:dyDescent="0.25">
      <c r="B93" s="10" t="s">
        <v>38</v>
      </c>
      <c r="C93" s="11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27"/>
      <c r="O93" s="10" t="s">
        <v>38</v>
      </c>
      <c r="P93" s="12"/>
      <c r="Q93" s="12"/>
      <c r="R93" s="46"/>
      <c r="S93" s="12"/>
      <c r="T93" s="12"/>
      <c r="U93" s="12"/>
      <c r="V93" s="12"/>
      <c r="W93" s="12"/>
      <c r="X93" s="12"/>
      <c r="Y93" s="12"/>
    </row>
    <row r="94" spans="2:84" ht="13.5" thickBot="1" x14ac:dyDescent="0.25">
      <c r="B94" s="21"/>
      <c r="C94" s="38" t="s">
        <v>79</v>
      </c>
      <c r="D94" s="15" t="s">
        <v>15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38" t="s">
        <v>79</v>
      </c>
      <c r="P94" s="15" t="s">
        <v>15</v>
      </c>
      <c r="Q94" s="32">
        <v>0</v>
      </c>
      <c r="R94" s="32">
        <v>0</v>
      </c>
      <c r="S94" s="32">
        <v>0</v>
      </c>
      <c r="T94" s="16">
        <v>0</v>
      </c>
      <c r="U94" s="16">
        <v>0</v>
      </c>
      <c r="V94" s="16">
        <v>0</v>
      </c>
      <c r="W94" s="16">
        <v>0</v>
      </c>
      <c r="X94" s="16">
        <v>54</v>
      </c>
      <c r="Y94" s="16">
        <f t="shared" si="4"/>
        <v>54</v>
      </c>
    </row>
    <row r="95" spans="2:84" ht="27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84" ht="27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8.5" thickBot="1" x14ac:dyDescent="0.45"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</row>
    <row r="98" spans="2:25" ht="101.25" thickBot="1" x14ac:dyDescent="0.25">
      <c r="B98" s="8" t="s">
        <v>0</v>
      </c>
      <c r="C98" s="8" t="s">
        <v>1</v>
      </c>
      <c r="D98" s="8"/>
      <c r="E98" s="9" t="s">
        <v>3</v>
      </c>
      <c r="F98" s="9" t="s">
        <v>4</v>
      </c>
      <c r="G98" s="9" t="s">
        <v>5</v>
      </c>
      <c r="H98" s="9" t="s">
        <v>6</v>
      </c>
      <c r="I98" s="9" t="s">
        <v>7</v>
      </c>
      <c r="J98" s="9" t="s">
        <v>41</v>
      </c>
      <c r="K98" s="9" t="s">
        <v>42</v>
      </c>
      <c r="L98" s="9" t="s">
        <v>43</v>
      </c>
      <c r="M98" s="31" t="s">
        <v>44</v>
      </c>
      <c r="N98" s="9" t="s">
        <v>45</v>
      </c>
      <c r="O98" s="42" t="s">
        <v>1</v>
      </c>
      <c r="P98" s="8" t="s">
        <v>2</v>
      </c>
      <c r="Q98" s="9" t="s">
        <v>46</v>
      </c>
      <c r="R98" s="9" t="s">
        <v>8</v>
      </c>
      <c r="S98" s="9" t="s">
        <v>9</v>
      </c>
      <c r="T98" s="9" t="s">
        <v>10</v>
      </c>
      <c r="U98" s="9" t="s">
        <v>47</v>
      </c>
      <c r="V98" s="9" t="s">
        <v>11</v>
      </c>
      <c r="W98" s="9" t="s">
        <v>12</v>
      </c>
      <c r="X98" s="9" t="s">
        <v>13</v>
      </c>
      <c r="Y98" s="9" t="s">
        <v>14</v>
      </c>
    </row>
    <row r="99" spans="2:25" x14ac:dyDescent="0.2">
      <c r="B99" s="22" t="s">
        <v>85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5"/>
      <c r="O99" s="22" t="s">
        <v>85</v>
      </c>
      <c r="P99" s="24"/>
      <c r="Q99" s="23"/>
      <c r="R99" s="23"/>
      <c r="S99" s="24"/>
      <c r="T99" s="23"/>
      <c r="U99" s="23"/>
      <c r="V99" s="23"/>
      <c r="W99" s="23"/>
      <c r="X99" s="23"/>
      <c r="Y99" s="23"/>
    </row>
    <row r="100" spans="2:25" ht="13.5" thickBot="1" x14ac:dyDescent="0.25">
      <c r="B100" s="17" t="s">
        <v>26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0"/>
      <c r="O100" s="17" t="s">
        <v>26</v>
      </c>
      <c r="P100" s="19"/>
      <c r="Q100" s="18"/>
      <c r="R100" s="34"/>
      <c r="S100" s="19"/>
      <c r="T100" s="18"/>
      <c r="U100" s="18"/>
      <c r="V100" s="18"/>
      <c r="W100" s="18"/>
      <c r="X100" s="18"/>
      <c r="Y100" s="18"/>
    </row>
    <row r="101" spans="2:25" ht="13.5" thickBot="1" x14ac:dyDescent="0.25">
      <c r="B101" s="21"/>
      <c r="C101" s="15" t="s">
        <v>97</v>
      </c>
      <c r="D101" s="15" t="s">
        <v>15</v>
      </c>
      <c r="E101" s="16">
        <v>9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5" t="s">
        <v>97</v>
      </c>
      <c r="P101" s="15" t="s">
        <v>15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f t="shared" ref="Y101:Y112" si="6">E101+F101+G101+H101+I101+J101+K101+L101+M101+N101+Q101+R101+S101+T101+U101+V101+W101+X101</f>
        <v>9</v>
      </c>
    </row>
    <row r="102" spans="2:25" ht="13.5" thickBot="1" x14ac:dyDescent="0.25">
      <c r="B102" s="39"/>
      <c r="C102" s="15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/>
      <c r="P102" s="15"/>
      <c r="Q102" s="16"/>
      <c r="R102" s="16"/>
      <c r="S102" s="16"/>
      <c r="T102" s="16"/>
      <c r="U102" s="16"/>
      <c r="V102" s="16"/>
      <c r="W102" s="16"/>
      <c r="X102" s="16"/>
      <c r="Y102" s="16">
        <f t="shared" si="6"/>
        <v>0</v>
      </c>
    </row>
    <row r="103" spans="2:25" ht="13.5" thickBot="1" x14ac:dyDescent="0.25">
      <c r="B103" s="10" t="s">
        <v>27</v>
      </c>
      <c r="C103" s="11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27"/>
      <c r="O103" s="10" t="s">
        <v>27</v>
      </c>
      <c r="P103" s="12"/>
      <c r="Q103" s="12"/>
      <c r="R103" s="33"/>
      <c r="S103" s="12"/>
      <c r="T103" s="12"/>
      <c r="U103" s="12"/>
      <c r="V103" s="12"/>
      <c r="W103" s="12"/>
      <c r="X103" s="12"/>
      <c r="Y103" s="12"/>
    </row>
    <row r="104" spans="2:25" ht="13.5" thickBot="1" x14ac:dyDescent="0.25">
      <c r="B104" s="21"/>
      <c r="C104" s="15" t="s">
        <v>86</v>
      </c>
      <c r="D104" s="15" t="s">
        <v>15</v>
      </c>
      <c r="E104" s="16">
        <v>0</v>
      </c>
      <c r="F104" s="16">
        <v>27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5" t="s">
        <v>86</v>
      </c>
      <c r="P104" s="15" t="s">
        <v>15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f t="shared" ref="Y104" si="7">E104+F104+G104+H104+I104+J104+K104+L104+M104+N104+Q104+R104+S104+T104+U104+V104+W104+X104</f>
        <v>27</v>
      </c>
    </row>
    <row r="105" spans="2:25" ht="13.5" thickBot="1" x14ac:dyDescent="0.25">
      <c r="B105" s="21"/>
      <c r="C105" s="15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5"/>
      <c r="P105" s="15"/>
      <c r="Q105" s="16"/>
      <c r="R105" s="16"/>
      <c r="S105" s="16"/>
      <c r="T105" s="16"/>
      <c r="U105" s="16"/>
      <c r="V105" s="16"/>
      <c r="W105" s="16"/>
      <c r="X105" s="16"/>
      <c r="Y105" s="16">
        <f t="shared" si="6"/>
        <v>0</v>
      </c>
    </row>
    <row r="106" spans="2:25" ht="13.5" thickBot="1" x14ac:dyDescent="0.25">
      <c r="B106" s="10" t="s">
        <v>28</v>
      </c>
      <c r="C106" s="11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27"/>
      <c r="O106" s="10" t="s">
        <v>28</v>
      </c>
      <c r="P106" s="12"/>
      <c r="Q106" s="12"/>
      <c r="R106" s="33"/>
      <c r="S106" s="12"/>
      <c r="T106" s="12"/>
      <c r="U106" s="12"/>
      <c r="V106" s="12"/>
      <c r="W106" s="12"/>
      <c r="X106" s="12"/>
      <c r="Y106" s="12"/>
    </row>
    <row r="107" spans="2:25" ht="13.5" thickBot="1" x14ac:dyDescent="0.25">
      <c r="B107" s="21"/>
      <c r="C107" s="15" t="s">
        <v>87</v>
      </c>
      <c r="D107" s="15" t="s">
        <v>15</v>
      </c>
      <c r="E107" s="16">
        <v>0</v>
      </c>
      <c r="F107" s="16">
        <v>0</v>
      </c>
      <c r="G107" s="16">
        <v>24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5" t="s">
        <v>88</v>
      </c>
      <c r="P107" s="15" t="s">
        <v>15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f t="shared" si="6"/>
        <v>24</v>
      </c>
    </row>
    <row r="108" spans="2:25" ht="13.5" thickBot="1" x14ac:dyDescent="0.25">
      <c r="B108" s="21"/>
      <c r="C108" s="15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5"/>
      <c r="P108" s="15"/>
      <c r="Q108" s="16"/>
      <c r="R108" s="16"/>
      <c r="S108" s="16"/>
      <c r="T108" s="16"/>
      <c r="U108" s="16"/>
      <c r="V108" s="16"/>
      <c r="W108" s="16"/>
      <c r="X108" s="16"/>
      <c r="Y108" s="16">
        <f t="shared" si="6"/>
        <v>0</v>
      </c>
    </row>
    <row r="109" spans="2:25" ht="13.5" thickBot="1" x14ac:dyDescent="0.25">
      <c r="B109" s="10" t="s">
        <v>29</v>
      </c>
      <c r="C109" s="11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27"/>
      <c r="O109" s="10" t="s">
        <v>29</v>
      </c>
      <c r="P109" s="12"/>
      <c r="Q109" s="12"/>
      <c r="R109" s="33"/>
      <c r="S109" s="12"/>
      <c r="T109" s="12"/>
      <c r="U109" s="12"/>
      <c r="V109" s="12"/>
      <c r="W109" s="12"/>
      <c r="X109" s="12"/>
      <c r="Y109" s="12"/>
    </row>
    <row r="110" spans="2:25" ht="13.5" thickBot="1" x14ac:dyDescent="0.25">
      <c r="B110" s="21"/>
      <c r="C110" s="15" t="s">
        <v>89</v>
      </c>
      <c r="D110" s="15" t="s">
        <v>15</v>
      </c>
      <c r="E110" s="16">
        <v>0</v>
      </c>
      <c r="F110" s="16">
        <v>0</v>
      </c>
      <c r="G110" s="16">
        <v>0</v>
      </c>
      <c r="H110" s="16">
        <v>17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5" t="s">
        <v>89</v>
      </c>
      <c r="P110" s="15" t="s">
        <v>15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f t="shared" si="6"/>
        <v>17</v>
      </c>
    </row>
    <row r="111" spans="2:25" ht="13.5" thickBot="1" x14ac:dyDescent="0.25">
      <c r="B111" s="10" t="s">
        <v>30</v>
      </c>
      <c r="C111" s="11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27"/>
      <c r="O111" s="10" t="s">
        <v>30</v>
      </c>
      <c r="P111" s="12"/>
      <c r="Q111" s="12"/>
      <c r="R111" s="33"/>
      <c r="S111" s="12"/>
      <c r="T111" s="12"/>
      <c r="U111" s="12"/>
      <c r="V111" s="12"/>
      <c r="W111" s="12"/>
      <c r="X111" s="12"/>
      <c r="Y111" s="12"/>
    </row>
    <row r="112" spans="2:25" ht="13.5" thickBot="1" x14ac:dyDescent="0.25">
      <c r="B112" s="39"/>
      <c r="C112" s="15" t="s">
        <v>52</v>
      </c>
      <c r="D112" s="15" t="s">
        <v>15</v>
      </c>
      <c r="E112" s="16">
        <v>0</v>
      </c>
      <c r="F112" s="16">
        <v>0</v>
      </c>
      <c r="G112" s="16">
        <v>0</v>
      </c>
      <c r="H112" s="16">
        <v>0</v>
      </c>
      <c r="I112" s="16">
        <v>14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5" t="s">
        <v>52</v>
      </c>
      <c r="P112" s="15" t="s">
        <v>15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f t="shared" si="6"/>
        <v>14</v>
      </c>
    </row>
    <row r="113" spans="2:84" ht="13.5" thickBot="1" x14ac:dyDescent="0.25">
      <c r="B113" s="10" t="s">
        <v>31</v>
      </c>
      <c r="C113" s="11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27"/>
      <c r="O113" s="10" t="s">
        <v>31</v>
      </c>
      <c r="P113" s="12"/>
      <c r="Q113" s="12"/>
      <c r="R113" s="33"/>
      <c r="S113" s="12"/>
      <c r="T113" s="12"/>
      <c r="U113" s="12"/>
      <c r="V113" s="12"/>
      <c r="W113" s="12"/>
      <c r="X113" s="12"/>
      <c r="Y113" s="12"/>
    </row>
    <row r="114" spans="2:84" ht="13.5" thickBot="1" x14ac:dyDescent="0.25">
      <c r="B114" s="39"/>
      <c r="C114" s="15" t="s">
        <v>90</v>
      </c>
      <c r="D114" s="15" t="s">
        <v>15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27</v>
      </c>
      <c r="K114" s="16">
        <v>212</v>
      </c>
      <c r="L114" s="16">
        <v>62</v>
      </c>
      <c r="M114" s="16">
        <v>4</v>
      </c>
      <c r="N114" s="16">
        <v>24</v>
      </c>
      <c r="O114" s="15" t="s">
        <v>90</v>
      </c>
      <c r="P114" s="15" t="s">
        <v>15</v>
      </c>
      <c r="Q114" s="16">
        <v>22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f>E114+F114+G114+H114+I114+J114+K114+L114+M114+N114+Q114+R114+S114+T114+U114+V114+W114+X114</f>
        <v>351</v>
      </c>
    </row>
    <row r="115" spans="2:84" ht="13.5" thickBot="1" x14ac:dyDescent="0.25">
      <c r="B115" s="10" t="s">
        <v>32</v>
      </c>
      <c r="C115" s="11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27"/>
      <c r="O115" s="10" t="s">
        <v>32</v>
      </c>
      <c r="P115" s="12"/>
      <c r="Q115" s="12"/>
      <c r="R115" s="33"/>
      <c r="S115" s="12"/>
      <c r="T115" s="12"/>
      <c r="U115" s="12"/>
      <c r="V115" s="12"/>
      <c r="W115" s="12"/>
      <c r="X115" s="12"/>
      <c r="Y115" s="12"/>
    </row>
    <row r="116" spans="2:84" ht="13.5" thickBot="1" x14ac:dyDescent="0.25">
      <c r="B116" s="39"/>
      <c r="C116" s="15"/>
      <c r="D116" s="15"/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5"/>
      <c r="P116" s="14"/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f>E116+F116+G116+H116+I116+J116+K116+L116+M116+N116+Q116+R116+S116+T116+U116+V116+W116+X116</f>
        <v>0</v>
      </c>
    </row>
    <row r="117" spans="2:84" ht="13.5" thickBot="1" x14ac:dyDescent="0.25">
      <c r="B117" s="10" t="s">
        <v>33</v>
      </c>
      <c r="C117" s="11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27"/>
      <c r="O117" s="10" t="s">
        <v>33</v>
      </c>
      <c r="P117" s="43"/>
      <c r="Q117" s="12"/>
      <c r="R117" s="46"/>
      <c r="S117" s="12"/>
      <c r="T117" s="12"/>
      <c r="U117" s="12"/>
      <c r="V117" s="12"/>
      <c r="W117" s="12"/>
      <c r="X117" s="12"/>
      <c r="Y117" s="12"/>
    </row>
    <row r="118" spans="2:84" ht="13.5" thickBot="1" x14ac:dyDescent="0.25">
      <c r="B118" s="39"/>
      <c r="C118" s="15" t="s">
        <v>91</v>
      </c>
      <c r="D118" s="15" t="s">
        <v>15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5" t="s">
        <v>91</v>
      </c>
      <c r="P118" s="15" t="s">
        <v>15</v>
      </c>
      <c r="Q118" s="16">
        <v>0</v>
      </c>
      <c r="R118" s="16">
        <v>0</v>
      </c>
      <c r="S118" s="16">
        <v>36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f t="shared" ref="Y118:Y132" si="8">E118+F118+G118+H118+I118+J118+K118+L118+M118+N118+Q118+R118+S118+T118+U118+V118+W118+X118</f>
        <v>36</v>
      </c>
    </row>
    <row r="119" spans="2:84" ht="13.5" thickBot="1" x14ac:dyDescent="0.25">
      <c r="B119" s="39"/>
      <c r="C119" s="15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5"/>
      <c r="P119" s="15"/>
      <c r="Q119" s="16"/>
      <c r="R119" s="16"/>
      <c r="S119" s="16"/>
      <c r="T119" s="16"/>
      <c r="U119" s="16"/>
      <c r="V119" s="16"/>
      <c r="W119" s="16"/>
      <c r="X119" s="16"/>
      <c r="Y119" s="16">
        <f t="shared" si="8"/>
        <v>0</v>
      </c>
    </row>
    <row r="120" spans="2:84" ht="13.5" thickBot="1" x14ac:dyDescent="0.25">
      <c r="B120" s="39"/>
      <c r="C120" s="15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/>
      <c r="P120" s="14"/>
      <c r="Q120" s="16"/>
      <c r="R120" s="16"/>
      <c r="S120" s="16"/>
      <c r="T120" s="16"/>
      <c r="U120" s="16"/>
      <c r="V120" s="16"/>
      <c r="W120" s="16"/>
      <c r="X120" s="16"/>
      <c r="Y120" s="16">
        <f t="shared" si="8"/>
        <v>0</v>
      </c>
    </row>
    <row r="121" spans="2:84" ht="13.5" thickBot="1" x14ac:dyDescent="0.25">
      <c r="B121" s="10" t="s">
        <v>34</v>
      </c>
      <c r="C121" s="11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27"/>
      <c r="O121" s="10" t="s">
        <v>34</v>
      </c>
      <c r="P121" s="43"/>
      <c r="Q121" s="12"/>
      <c r="R121" s="46"/>
      <c r="S121" s="12"/>
      <c r="T121" s="12"/>
      <c r="U121" s="12"/>
      <c r="V121" s="12"/>
      <c r="W121" s="12"/>
      <c r="X121" s="12"/>
      <c r="Y121" s="12"/>
    </row>
    <row r="122" spans="2:84" ht="13.5" thickBot="1" x14ac:dyDescent="0.25">
      <c r="B122" s="39"/>
      <c r="C122" s="15" t="s">
        <v>92</v>
      </c>
      <c r="D122" s="15" t="s">
        <v>15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5" t="s">
        <v>92</v>
      </c>
      <c r="P122" s="15" t="s">
        <v>15</v>
      </c>
      <c r="Q122" s="16">
        <v>0</v>
      </c>
      <c r="R122" s="16">
        <v>0</v>
      </c>
      <c r="S122" s="16">
        <v>0</v>
      </c>
      <c r="T122" s="16">
        <v>13</v>
      </c>
      <c r="U122" s="16">
        <v>0</v>
      </c>
      <c r="V122" s="16">
        <v>0</v>
      </c>
      <c r="W122" s="16">
        <v>0</v>
      </c>
      <c r="X122" s="16">
        <v>0</v>
      </c>
      <c r="Y122" s="16">
        <f t="shared" si="8"/>
        <v>13</v>
      </c>
    </row>
    <row r="123" spans="2:84" ht="13.5" thickBot="1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2:84" ht="13.5" thickBot="1" x14ac:dyDescent="0.25">
      <c r="B124" s="10" t="s">
        <v>35</v>
      </c>
      <c r="C124" s="11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27"/>
      <c r="O124" s="10" t="s">
        <v>35</v>
      </c>
      <c r="P124" s="12"/>
      <c r="Q124" s="12"/>
      <c r="R124" s="46"/>
      <c r="S124" s="12"/>
      <c r="T124" s="12"/>
      <c r="U124" s="12"/>
      <c r="V124" s="12"/>
      <c r="W124" s="12"/>
      <c r="X124" s="12"/>
      <c r="Y124" s="12"/>
    </row>
    <row r="125" spans="2:84" ht="13.5" thickBot="1" x14ac:dyDescent="0.25">
      <c r="B125" s="39"/>
      <c r="C125" s="15" t="s">
        <v>94</v>
      </c>
      <c r="D125" s="15" t="s">
        <v>16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5" t="s">
        <v>94</v>
      </c>
      <c r="P125" s="15" t="s">
        <v>16</v>
      </c>
      <c r="Q125" s="16">
        <v>0</v>
      </c>
      <c r="R125" s="16">
        <v>0</v>
      </c>
      <c r="S125" s="16">
        <v>0</v>
      </c>
      <c r="T125" s="16">
        <v>0</v>
      </c>
      <c r="U125" s="16">
        <v>8</v>
      </c>
      <c r="V125" s="16">
        <v>0</v>
      </c>
      <c r="W125" s="16">
        <v>0</v>
      </c>
      <c r="X125" s="16">
        <v>0</v>
      </c>
      <c r="Y125" s="16">
        <f t="shared" si="8"/>
        <v>8</v>
      </c>
    </row>
    <row r="126" spans="2:84" ht="13.5" thickBot="1" x14ac:dyDescent="0.25">
      <c r="B126" s="10" t="s">
        <v>36</v>
      </c>
      <c r="C126" s="11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27"/>
      <c r="O126" s="10" t="s">
        <v>36</v>
      </c>
      <c r="P126" s="12"/>
      <c r="Q126" s="12"/>
      <c r="R126" s="46"/>
      <c r="S126" s="12"/>
      <c r="T126" s="12"/>
      <c r="U126" s="12"/>
      <c r="V126" s="12"/>
      <c r="W126" s="12"/>
      <c r="X126" s="12"/>
      <c r="Y126" s="12"/>
    </row>
    <row r="127" spans="2:84" ht="13.5" thickBot="1" x14ac:dyDescent="0.25">
      <c r="B127" s="21"/>
      <c r="C127" s="15" t="s">
        <v>111</v>
      </c>
      <c r="D127" s="15" t="s">
        <v>15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5" t="s">
        <v>112</v>
      </c>
      <c r="P127" s="15" t="s">
        <v>15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10</v>
      </c>
      <c r="W127" s="16">
        <v>0</v>
      </c>
      <c r="X127" s="16">
        <v>0</v>
      </c>
      <c r="Y127" s="16">
        <f t="shared" si="8"/>
        <v>10</v>
      </c>
    </row>
    <row r="128" spans="2:84" ht="13.5" thickBot="1" x14ac:dyDescent="0.25">
      <c r="B128" s="10" t="s">
        <v>37</v>
      </c>
      <c r="C128" s="11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27"/>
      <c r="O128" s="10" t="s">
        <v>37</v>
      </c>
      <c r="P128" s="12"/>
      <c r="Q128" s="12"/>
      <c r="R128" s="46"/>
      <c r="S128" s="12"/>
      <c r="T128" s="12"/>
      <c r="U128" s="12"/>
      <c r="V128" s="12"/>
      <c r="W128" s="12"/>
      <c r="X128" s="12"/>
      <c r="Y128" s="12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</row>
    <row r="129" spans="2:25" ht="13.5" thickBot="1" x14ac:dyDescent="0.25">
      <c r="B129" s="21"/>
      <c r="C129" s="38" t="s">
        <v>93</v>
      </c>
      <c r="D129" s="14" t="s">
        <v>15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38" t="s">
        <v>93</v>
      </c>
      <c r="P129" s="14" t="s">
        <v>15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36</v>
      </c>
      <c r="X129" s="16">
        <v>0</v>
      </c>
      <c r="Y129" s="16">
        <f t="shared" si="8"/>
        <v>36</v>
      </c>
    </row>
    <row r="130" spans="2:25" ht="13.5" thickBot="1" x14ac:dyDescent="0.25">
      <c r="B130" s="21"/>
      <c r="C130" s="38"/>
      <c r="D130" s="1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38"/>
      <c r="P130" s="14"/>
      <c r="Q130" s="16"/>
      <c r="R130" s="16"/>
      <c r="S130" s="16"/>
      <c r="T130" s="16"/>
      <c r="U130" s="16"/>
      <c r="V130" s="16"/>
      <c r="W130" s="16"/>
      <c r="X130" s="16"/>
      <c r="Y130" s="16">
        <f t="shared" si="8"/>
        <v>0</v>
      </c>
    </row>
    <row r="131" spans="2:25" ht="13.5" thickBot="1" x14ac:dyDescent="0.25">
      <c r="B131" s="10" t="s">
        <v>38</v>
      </c>
      <c r="C131" s="11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27"/>
      <c r="O131" s="10" t="s">
        <v>38</v>
      </c>
      <c r="P131" s="12"/>
      <c r="Q131" s="12"/>
      <c r="R131" s="46"/>
      <c r="S131" s="12"/>
      <c r="T131" s="12"/>
      <c r="U131" s="12"/>
      <c r="V131" s="12"/>
      <c r="W131" s="12"/>
      <c r="X131" s="12"/>
      <c r="Y131" s="12"/>
    </row>
    <row r="132" spans="2:25" ht="13.5" thickBot="1" x14ac:dyDescent="0.25">
      <c r="B132" s="21"/>
      <c r="C132" s="38" t="s">
        <v>113</v>
      </c>
      <c r="D132" s="14" t="s">
        <v>15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38" t="s">
        <v>113</v>
      </c>
      <c r="P132" s="14" t="s">
        <v>15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50</v>
      </c>
      <c r="Y132" s="16">
        <f t="shared" si="8"/>
        <v>50</v>
      </c>
    </row>
    <row r="133" spans="2:25" ht="13.5" thickBot="1" x14ac:dyDescent="0.25">
      <c r="B133" s="21"/>
      <c r="C133" s="38"/>
      <c r="D133" s="32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38"/>
      <c r="P133" s="32"/>
      <c r="Q133" s="16"/>
      <c r="R133" s="16"/>
      <c r="S133" s="16"/>
      <c r="T133" s="16"/>
      <c r="U133" s="16"/>
      <c r="V133" s="16"/>
      <c r="W133" s="16"/>
      <c r="X133" s="16"/>
      <c r="Y133" s="16">
        <f>SUM(H133:X133)</f>
        <v>0</v>
      </c>
    </row>
    <row r="134" spans="2:25" ht="27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7.75" x14ac:dyDescent="0.4"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1"/>
      <c r="T135" s="1"/>
      <c r="U135" s="1"/>
      <c r="V135" s="1"/>
      <c r="W135" s="1"/>
      <c r="X135" s="1"/>
      <c r="Y135" s="1"/>
    </row>
    <row r="136" spans="2:25" ht="15.75" x14ac:dyDescent="0.25">
      <c r="B136" s="3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6"/>
      <c r="Q136" s="4"/>
      <c r="R136" s="4"/>
      <c r="S136" s="36"/>
      <c r="T136" s="4"/>
      <c r="U136" s="4"/>
      <c r="V136" s="4"/>
      <c r="W136" s="4"/>
      <c r="X136" s="4"/>
      <c r="Y136" s="5"/>
    </row>
    <row r="137" spans="2:25" ht="15.7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6"/>
      <c r="Q137" s="4"/>
      <c r="R137" s="4"/>
      <c r="S137" s="36"/>
      <c r="T137" s="4"/>
      <c r="U137" s="4"/>
      <c r="V137" s="4"/>
      <c r="W137" s="4"/>
      <c r="X137" s="4"/>
      <c r="Y137" s="5"/>
    </row>
    <row r="138" spans="2:25" ht="16.5" thickBot="1" x14ac:dyDescent="0.3">
      <c r="B138" s="4"/>
      <c r="C138" s="4"/>
      <c r="D138" s="4"/>
      <c r="E138" s="4"/>
      <c r="F138" s="4"/>
      <c r="Y138" s="5"/>
    </row>
    <row r="139" spans="2:25" ht="101.25" thickBot="1" x14ac:dyDescent="0.25">
      <c r="B139" s="8" t="s">
        <v>0</v>
      </c>
      <c r="C139" s="8" t="s">
        <v>1</v>
      </c>
      <c r="D139" s="8"/>
      <c r="E139" s="9" t="s">
        <v>3</v>
      </c>
      <c r="F139" s="9" t="s">
        <v>4</v>
      </c>
      <c r="G139" s="9" t="s">
        <v>5</v>
      </c>
      <c r="H139" s="9" t="s">
        <v>6</v>
      </c>
      <c r="I139" s="9" t="s">
        <v>7</v>
      </c>
      <c r="J139" s="9" t="s">
        <v>41</v>
      </c>
      <c r="K139" s="9" t="s">
        <v>42</v>
      </c>
      <c r="L139" s="9" t="s">
        <v>43</v>
      </c>
      <c r="M139" s="31" t="s">
        <v>44</v>
      </c>
      <c r="N139" s="9" t="s">
        <v>45</v>
      </c>
      <c r="O139" s="42" t="s">
        <v>1</v>
      </c>
      <c r="P139" s="8" t="s">
        <v>2</v>
      </c>
      <c r="Q139" s="9" t="s">
        <v>46</v>
      </c>
      <c r="R139" s="9" t="s">
        <v>8</v>
      </c>
      <c r="S139" s="9" t="s">
        <v>9</v>
      </c>
      <c r="T139" s="9" t="s">
        <v>10</v>
      </c>
      <c r="U139" s="9" t="s">
        <v>47</v>
      </c>
      <c r="V139" s="9" t="s">
        <v>11</v>
      </c>
      <c r="W139" s="9" t="s">
        <v>12</v>
      </c>
      <c r="X139" s="9" t="s">
        <v>13</v>
      </c>
      <c r="Y139" s="9" t="s">
        <v>14</v>
      </c>
    </row>
    <row r="140" spans="2:25" x14ac:dyDescent="0.2">
      <c r="B140" s="22" t="s">
        <v>114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5"/>
      <c r="O140" s="22" t="s">
        <v>114</v>
      </c>
      <c r="P140" s="24"/>
      <c r="Q140" s="23"/>
      <c r="R140" s="23"/>
      <c r="S140" s="24"/>
      <c r="T140" s="23"/>
      <c r="U140" s="23"/>
      <c r="V140" s="23"/>
      <c r="W140" s="23"/>
      <c r="X140" s="23"/>
      <c r="Y140" s="53"/>
    </row>
    <row r="141" spans="2:25" ht="13.5" thickBot="1" x14ac:dyDescent="0.25">
      <c r="B141" s="17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20"/>
      <c r="O141" s="17"/>
      <c r="P141" s="19"/>
      <c r="Q141" s="18"/>
      <c r="R141" s="34"/>
      <c r="S141" s="19"/>
      <c r="T141" s="18"/>
      <c r="U141" s="18"/>
      <c r="V141" s="18"/>
      <c r="W141" s="18"/>
      <c r="X141" s="18"/>
      <c r="Y141" s="54"/>
    </row>
    <row r="142" spans="2:25" ht="13.5" thickBot="1" x14ac:dyDescent="0.25">
      <c r="B142" s="21"/>
      <c r="C142" s="15"/>
      <c r="D142" s="15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5"/>
      <c r="P142" s="15"/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32">
        <v>0</v>
      </c>
      <c r="Y142" s="16">
        <f t="shared" ref="Y142:Y173" si="9">E142+F142+G142+H142+I142+J142+K142+L142+M142+N142+Q142+R142+S142+T142+U142+V142+W142+X142</f>
        <v>0</v>
      </c>
    </row>
    <row r="143" spans="2:25" ht="13.5" thickBot="1" x14ac:dyDescent="0.25">
      <c r="B143" s="39"/>
      <c r="C143" s="15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5"/>
      <c r="P143" s="15"/>
      <c r="Q143" s="16"/>
      <c r="R143" s="16"/>
      <c r="S143" s="16"/>
      <c r="T143" s="16"/>
      <c r="U143" s="16"/>
      <c r="V143" s="16"/>
      <c r="W143" s="16"/>
      <c r="X143" s="32"/>
      <c r="Y143" s="16">
        <f t="shared" si="9"/>
        <v>0</v>
      </c>
    </row>
    <row r="144" spans="2:25" ht="13.5" thickBot="1" x14ac:dyDescent="0.25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16">
        <f t="shared" si="9"/>
        <v>0</v>
      </c>
    </row>
    <row r="145" spans="2:25" ht="13.5" thickBot="1" x14ac:dyDescent="0.25">
      <c r="B145" s="21"/>
      <c r="C145" s="15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5"/>
      <c r="P145" s="15"/>
      <c r="Q145" s="16"/>
      <c r="R145" s="16"/>
      <c r="S145" s="16"/>
      <c r="T145" s="16"/>
      <c r="U145" s="16"/>
      <c r="V145" s="16"/>
      <c r="W145" s="16"/>
      <c r="X145" s="32"/>
      <c r="Y145" s="16">
        <f t="shared" si="9"/>
        <v>0</v>
      </c>
    </row>
    <row r="146" spans="2:25" ht="13.5" thickBot="1" x14ac:dyDescent="0.25">
      <c r="B146" s="10" t="s">
        <v>115</v>
      </c>
      <c r="C146" s="11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27"/>
      <c r="O146" s="10" t="s">
        <v>115</v>
      </c>
      <c r="P146" s="12"/>
      <c r="Q146" s="12"/>
      <c r="R146" s="33"/>
      <c r="S146" s="12"/>
      <c r="T146" s="12"/>
      <c r="U146" s="12"/>
      <c r="V146" s="12"/>
      <c r="W146" s="12"/>
      <c r="X146" s="12"/>
      <c r="Y146" s="55"/>
    </row>
    <row r="147" spans="2:25" ht="13.5" thickBot="1" x14ac:dyDescent="0.25">
      <c r="B147" s="21"/>
      <c r="C147" s="15" t="s">
        <v>116</v>
      </c>
      <c r="D147" s="15" t="s">
        <v>15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9</v>
      </c>
      <c r="K147" s="16">
        <v>101</v>
      </c>
      <c r="L147" s="16">
        <v>20</v>
      </c>
      <c r="M147" s="16">
        <v>0</v>
      </c>
      <c r="N147" s="16">
        <v>0</v>
      </c>
      <c r="O147" s="15" t="s">
        <v>116</v>
      </c>
      <c r="P147" s="15" t="s">
        <v>15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32">
        <v>0</v>
      </c>
      <c r="Y147" s="16">
        <f t="shared" si="9"/>
        <v>130</v>
      </c>
    </row>
    <row r="148" spans="2:25" ht="13.5" thickBot="1" x14ac:dyDescent="0.25">
      <c r="B148" s="21"/>
      <c r="C148" s="15" t="s">
        <v>117</v>
      </c>
      <c r="D148" s="15" t="s">
        <v>15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4</v>
      </c>
      <c r="K148" s="16">
        <v>62</v>
      </c>
      <c r="L148" s="16">
        <v>17</v>
      </c>
      <c r="M148" s="16">
        <v>0</v>
      </c>
      <c r="N148" s="16">
        <v>0</v>
      </c>
      <c r="O148" s="15" t="s">
        <v>117</v>
      </c>
      <c r="P148" s="15" t="s">
        <v>15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32">
        <v>0</v>
      </c>
      <c r="Y148" s="16">
        <f t="shared" si="9"/>
        <v>83</v>
      </c>
    </row>
    <row r="149" spans="2:25" ht="13.5" thickBot="1" x14ac:dyDescent="0.25">
      <c r="B149" s="21"/>
      <c r="C149" s="15" t="s">
        <v>121</v>
      </c>
      <c r="D149" s="15" t="s">
        <v>141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22</v>
      </c>
      <c r="K149" s="32">
        <v>113</v>
      </c>
      <c r="L149" s="32">
        <v>29</v>
      </c>
      <c r="M149" s="32">
        <v>0</v>
      </c>
      <c r="N149" s="32">
        <v>0</v>
      </c>
      <c r="O149" s="15" t="s">
        <v>121</v>
      </c>
      <c r="P149" s="15" t="s">
        <v>16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16">
        <f t="shared" si="9"/>
        <v>164</v>
      </c>
    </row>
    <row r="150" spans="2:25" ht="13.5" thickBot="1" x14ac:dyDescent="0.25">
      <c r="B150" s="21"/>
      <c r="C150" s="15" t="s">
        <v>118</v>
      </c>
      <c r="D150" s="15" t="s">
        <v>15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16</v>
      </c>
      <c r="K150" s="32">
        <v>98</v>
      </c>
      <c r="L150" s="32">
        <v>26</v>
      </c>
      <c r="M150" s="32">
        <v>0</v>
      </c>
      <c r="N150" s="32">
        <v>0</v>
      </c>
      <c r="O150" s="15" t="s">
        <v>118</v>
      </c>
      <c r="P150" s="15" t="s">
        <v>15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16">
        <f t="shared" si="9"/>
        <v>140</v>
      </c>
    </row>
    <row r="151" spans="2:25" ht="13.5" thickBot="1" x14ac:dyDescent="0.25">
      <c r="B151" s="21"/>
      <c r="C151" s="15" t="s">
        <v>135</v>
      </c>
      <c r="D151" s="15" t="s">
        <v>15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16</v>
      </c>
      <c r="K151" s="32">
        <v>102</v>
      </c>
      <c r="L151" s="32">
        <v>31</v>
      </c>
      <c r="M151" s="32">
        <v>0</v>
      </c>
      <c r="N151" s="32">
        <v>0</v>
      </c>
      <c r="O151" s="15" t="s">
        <v>119</v>
      </c>
      <c r="P151" s="15" t="s">
        <v>15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16">
        <f t="shared" si="9"/>
        <v>149</v>
      </c>
    </row>
    <row r="152" spans="2:25" ht="13.5" thickBot="1" x14ac:dyDescent="0.25">
      <c r="B152" s="21"/>
      <c r="C152" s="15" t="s">
        <v>120</v>
      </c>
      <c r="D152" s="15" t="s">
        <v>15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15</v>
      </c>
      <c r="K152" s="32">
        <v>97</v>
      </c>
      <c r="L152" s="32">
        <v>32</v>
      </c>
      <c r="M152" s="32">
        <v>0</v>
      </c>
      <c r="N152" s="32">
        <v>0</v>
      </c>
      <c r="O152" s="15" t="s">
        <v>120</v>
      </c>
      <c r="P152" s="15" t="s">
        <v>15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16">
        <f t="shared" si="9"/>
        <v>144</v>
      </c>
    </row>
    <row r="153" spans="2:25" ht="13.5" thickBot="1" x14ac:dyDescent="0.25">
      <c r="B153" s="10" t="s">
        <v>122</v>
      </c>
      <c r="C153" s="11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27"/>
      <c r="O153" s="10" t="s">
        <v>122</v>
      </c>
      <c r="P153" s="12"/>
      <c r="Q153" s="12"/>
      <c r="R153" s="33"/>
      <c r="S153" s="12"/>
      <c r="T153" s="12"/>
      <c r="U153" s="12"/>
      <c r="V153" s="12"/>
      <c r="W153" s="12"/>
      <c r="X153" s="12"/>
      <c r="Y153" s="55"/>
    </row>
    <row r="154" spans="2:25" ht="13.5" thickBot="1" x14ac:dyDescent="0.25">
      <c r="B154" s="15"/>
      <c r="C154" s="56" t="s">
        <v>123</v>
      </c>
      <c r="D154" s="56" t="s">
        <v>124</v>
      </c>
      <c r="E154" s="59">
        <v>9</v>
      </c>
      <c r="F154" s="59">
        <v>13</v>
      </c>
      <c r="G154" s="59">
        <v>9</v>
      </c>
      <c r="H154" s="59">
        <v>8</v>
      </c>
      <c r="I154" s="59">
        <v>7</v>
      </c>
      <c r="J154" s="59">
        <v>17</v>
      </c>
      <c r="K154" s="59">
        <v>120</v>
      </c>
      <c r="L154" s="59">
        <v>35</v>
      </c>
      <c r="M154" s="59">
        <v>3</v>
      </c>
      <c r="N154" s="59">
        <v>16</v>
      </c>
      <c r="O154" s="56" t="s">
        <v>123</v>
      </c>
      <c r="P154" s="56" t="s">
        <v>124</v>
      </c>
      <c r="Q154" s="59">
        <v>16</v>
      </c>
      <c r="R154" s="59">
        <v>2</v>
      </c>
      <c r="S154" s="59">
        <v>20</v>
      </c>
      <c r="T154" s="59">
        <v>8</v>
      </c>
      <c r="U154" s="59">
        <v>6</v>
      </c>
      <c r="V154" s="59">
        <v>2</v>
      </c>
      <c r="W154" s="59">
        <v>27</v>
      </c>
      <c r="X154" s="59">
        <v>39</v>
      </c>
      <c r="Y154" s="57">
        <f t="shared" si="9"/>
        <v>357</v>
      </c>
    </row>
    <row r="155" spans="2:25" ht="13.5" thickBot="1" x14ac:dyDescent="0.25">
      <c r="B155" s="15"/>
      <c r="C155" s="15"/>
      <c r="D155" s="15" t="s">
        <v>125</v>
      </c>
      <c r="E155" s="32">
        <v>1</v>
      </c>
      <c r="F155" s="32">
        <v>13</v>
      </c>
      <c r="G155" s="32">
        <v>11</v>
      </c>
      <c r="H155" s="32">
        <v>7</v>
      </c>
      <c r="I155" s="32">
        <v>2</v>
      </c>
      <c r="J155" s="32">
        <v>4</v>
      </c>
      <c r="K155" s="32">
        <v>45</v>
      </c>
      <c r="L155" s="32">
        <v>13</v>
      </c>
      <c r="M155" s="32">
        <v>0</v>
      </c>
      <c r="N155" s="32">
        <v>1</v>
      </c>
      <c r="O155" s="15"/>
      <c r="P155" s="15" t="s">
        <v>125</v>
      </c>
      <c r="Q155" s="32">
        <v>3</v>
      </c>
      <c r="R155" s="32">
        <v>1</v>
      </c>
      <c r="S155" s="32">
        <v>7</v>
      </c>
      <c r="T155" s="32">
        <v>4</v>
      </c>
      <c r="U155" s="32">
        <v>5</v>
      </c>
      <c r="V155" s="32">
        <v>0</v>
      </c>
      <c r="W155" s="32">
        <v>12</v>
      </c>
      <c r="X155" s="32">
        <v>2</v>
      </c>
      <c r="Y155" s="16">
        <f t="shared" si="9"/>
        <v>131</v>
      </c>
    </row>
    <row r="156" spans="2:25" ht="13.5" thickBot="1" x14ac:dyDescent="0.25">
      <c r="B156" s="15"/>
      <c r="C156" s="15"/>
      <c r="D156" s="15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15"/>
      <c r="P156" s="15"/>
      <c r="Q156" s="32"/>
      <c r="R156" s="32"/>
      <c r="S156" s="32"/>
      <c r="T156" s="32"/>
      <c r="U156" s="32"/>
      <c r="V156" s="32"/>
      <c r="W156" s="32"/>
      <c r="X156" s="32"/>
      <c r="Y156" s="16"/>
    </row>
    <row r="157" spans="2:25" ht="13.5" thickBot="1" x14ac:dyDescent="0.25">
      <c r="B157" s="15"/>
      <c r="C157" s="56" t="s">
        <v>139</v>
      </c>
      <c r="D157" s="56" t="s">
        <v>124</v>
      </c>
      <c r="E157" s="59">
        <v>10</v>
      </c>
      <c r="F157" s="59">
        <v>13</v>
      </c>
      <c r="G157" s="59">
        <v>9</v>
      </c>
      <c r="H157" s="59">
        <v>9</v>
      </c>
      <c r="I157" s="59">
        <v>4</v>
      </c>
      <c r="J157" s="59">
        <v>14</v>
      </c>
      <c r="K157" s="59">
        <v>116</v>
      </c>
      <c r="L157" s="59">
        <v>31</v>
      </c>
      <c r="M157" s="59">
        <v>2</v>
      </c>
      <c r="N157" s="59">
        <v>15</v>
      </c>
      <c r="O157" s="56" t="s">
        <v>140</v>
      </c>
      <c r="P157" s="56" t="s">
        <v>124</v>
      </c>
      <c r="Q157" s="59">
        <v>15</v>
      </c>
      <c r="R157" s="59">
        <v>2</v>
      </c>
      <c r="S157" s="59">
        <v>9</v>
      </c>
      <c r="T157" s="59">
        <v>7</v>
      </c>
      <c r="U157" s="59">
        <v>6</v>
      </c>
      <c r="V157" s="59">
        <v>2</v>
      </c>
      <c r="W157" s="59">
        <v>22</v>
      </c>
      <c r="X157" s="59">
        <v>36</v>
      </c>
      <c r="Y157" s="16">
        <f t="shared" si="9"/>
        <v>322</v>
      </c>
    </row>
    <row r="158" spans="2:25" ht="14.25" customHeight="1" thickBot="1" x14ac:dyDescent="0.25">
      <c r="B158" s="15"/>
      <c r="C158" s="15"/>
      <c r="D158" s="15" t="s">
        <v>125</v>
      </c>
      <c r="E158" s="32">
        <v>0</v>
      </c>
      <c r="F158" s="32">
        <v>13</v>
      </c>
      <c r="G158" s="32">
        <v>11</v>
      </c>
      <c r="H158" s="32">
        <v>6</v>
      </c>
      <c r="I158" s="32">
        <v>4</v>
      </c>
      <c r="J158" s="32">
        <v>6</v>
      </c>
      <c r="K158" s="32">
        <v>48</v>
      </c>
      <c r="L158" s="32">
        <v>15</v>
      </c>
      <c r="M158" s="32">
        <v>1</v>
      </c>
      <c r="N158" s="32">
        <v>2</v>
      </c>
      <c r="O158" s="15"/>
      <c r="P158" s="15" t="s">
        <v>125</v>
      </c>
      <c r="Q158" s="32">
        <v>4</v>
      </c>
      <c r="R158" s="32">
        <v>1</v>
      </c>
      <c r="S158" s="32">
        <v>8</v>
      </c>
      <c r="T158" s="32">
        <v>5</v>
      </c>
      <c r="U158" s="32">
        <v>5</v>
      </c>
      <c r="V158" s="32">
        <v>0</v>
      </c>
      <c r="W158" s="32">
        <v>16</v>
      </c>
      <c r="X158" s="32">
        <v>5</v>
      </c>
      <c r="Y158" s="16">
        <f t="shared" si="9"/>
        <v>150</v>
      </c>
    </row>
    <row r="159" spans="2:25" ht="13.5" thickBot="1" x14ac:dyDescent="0.25">
      <c r="B159" s="15"/>
      <c r="C159" s="15"/>
      <c r="D159" s="15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15"/>
      <c r="P159" s="15"/>
      <c r="Q159" s="32"/>
      <c r="R159" s="32"/>
      <c r="S159" s="32"/>
      <c r="T159" s="32"/>
      <c r="U159" s="32"/>
      <c r="V159" s="32"/>
      <c r="W159" s="32"/>
      <c r="X159" s="32"/>
      <c r="Y159" s="16"/>
    </row>
    <row r="160" spans="2:25" ht="13.5" thickBot="1" x14ac:dyDescent="0.25">
      <c r="B160" s="15"/>
      <c r="C160" s="56" t="s">
        <v>126</v>
      </c>
      <c r="D160" s="56" t="s">
        <v>124</v>
      </c>
      <c r="E160" s="59">
        <v>7</v>
      </c>
      <c r="F160" s="59">
        <v>9</v>
      </c>
      <c r="G160" s="59">
        <v>8</v>
      </c>
      <c r="H160" s="59">
        <v>8</v>
      </c>
      <c r="I160" s="59">
        <v>6</v>
      </c>
      <c r="J160" s="59">
        <v>15</v>
      </c>
      <c r="K160" s="59">
        <v>109</v>
      </c>
      <c r="L160" s="59">
        <v>32</v>
      </c>
      <c r="M160" s="59">
        <v>2</v>
      </c>
      <c r="N160" s="59">
        <v>10</v>
      </c>
      <c r="O160" s="56" t="s">
        <v>126</v>
      </c>
      <c r="P160" s="56" t="s">
        <v>124</v>
      </c>
      <c r="Q160" s="59">
        <v>16</v>
      </c>
      <c r="R160" s="59">
        <v>1</v>
      </c>
      <c r="S160" s="59">
        <v>20</v>
      </c>
      <c r="T160" s="59">
        <v>8</v>
      </c>
      <c r="U160" s="59">
        <v>9</v>
      </c>
      <c r="V160" s="59">
        <v>2</v>
      </c>
      <c r="W160" s="59">
        <v>24</v>
      </c>
      <c r="X160" s="59">
        <v>34</v>
      </c>
      <c r="Y160" s="57">
        <f t="shared" si="9"/>
        <v>320</v>
      </c>
    </row>
    <row r="161" spans="2:84" ht="13.5" thickBot="1" x14ac:dyDescent="0.25">
      <c r="B161" s="15"/>
      <c r="C161" s="15"/>
      <c r="D161" s="15" t="s">
        <v>125</v>
      </c>
      <c r="E161" s="32">
        <v>3</v>
      </c>
      <c r="F161" s="32">
        <v>17</v>
      </c>
      <c r="G161" s="32">
        <v>12</v>
      </c>
      <c r="H161" s="32">
        <v>7</v>
      </c>
      <c r="I161" s="32">
        <v>2</v>
      </c>
      <c r="J161" s="32">
        <v>6</v>
      </c>
      <c r="K161" s="32">
        <v>53</v>
      </c>
      <c r="L161" s="32">
        <v>15</v>
      </c>
      <c r="M161" s="32">
        <v>1</v>
      </c>
      <c r="N161" s="32">
        <v>7</v>
      </c>
      <c r="O161" s="15"/>
      <c r="P161" s="15" t="s">
        <v>125</v>
      </c>
      <c r="Q161" s="32">
        <v>3</v>
      </c>
      <c r="R161" s="32">
        <v>2</v>
      </c>
      <c r="S161" s="32">
        <v>7</v>
      </c>
      <c r="T161" s="32">
        <v>4</v>
      </c>
      <c r="U161" s="32">
        <v>2</v>
      </c>
      <c r="V161" s="32">
        <v>0</v>
      </c>
      <c r="W161" s="32">
        <v>13</v>
      </c>
      <c r="X161" s="32">
        <v>7</v>
      </c>
      <c r="Y161" s="16">
        <f t="shared" si="9"/>
        <v>161</v>
      </c>
    </row>
    <row r="162" spans="2:84" ht="13.5" thickBot="1" x14ac:dyDescent="0.25">
      <c r="B162" s="15"/>
      <c r="C162" s="15"/>
      <c r="D162" s="15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15"/>
      <c r="P162" s="15"/>
      <c r="Q162" s="32"/>
      <c r="R162" s="32"/>
      <c r="S162" s="32"/>
      <c r="T162" s="32"/>
      <c r="U162" s="32"/>
      <c r="V162" s="32"/>
      <c r="W162" s="32"/>
      <c r="X162" s="32"/>
      <c r="Y162" s="16"/>
    </row>
    <row r="163" spans="2:84" ht="13.5" thickBot="1" x14ac:dyDescent="0.25">
      <c r="B163" s="15"/>
      <c r="C163" s="56" t="s">
        <v>127</v>
      </c>
      <c r="D163" s="56" t="s">
        <v>124</v>
      </c>
      <c r="E163" s="59">
        <v>7</v>
      </c>
      <c r="F163" s="59">
        <v>10</v>
      </c>
      <c r="G163" s="59">
        <v>8</v>
      </c>
      <c r="H163" s="59">
        <v>7</v>
      </c>
      <c r="I163" s="59">
        <v>4</v>
      </c>
      <c r="J163" s="59">
        <v>15</v>
      </c>
      <c r="K163" s="59">
        <v>115</v>
      </c>
      <c r="L163" s="59">
        <v>34</v>
      </c>
      <c r="M163" s="59">
        <v>2</v>
      </c>
      <c r="N163" s="59">
        <v>11</v>
      </c>
      <c r="O163" s="56" t="s">
        <v>127</v>
      </c>
      <c r="P163" s="56" t="s">
        <v>124</v>
      </c>
      <c r="Q163" s="59">
        <v>15</v>
      </c>
      <c r="R163" s="59">
        <v>1</v>
      </c>
      <c r="S163" s="59">
        <v>19</v>
      </c>
      <c r="T163" s="59">
        <v>8</v>
      </c>
      <c r="U163" s="59">
        <v>7</v>
      </c>
      <c r="V163" s="59">
        <v>2</v>
      </c>
      <c r="W163" s="59">
        <v>22</v>
      </c>
      <c r="X163" s="59">
        <v>35</v>
      </c>
      <c r="Y163" s="57">
        <f t="shared" si="9"/>
        <v>322</v>
      </c>
    </row>
    <row r="164" spans="2:84" ht="13.5" thickBot="1" x14ac:dyDescent="0.25">
      <c r="B164" s="15"/>
      <c r="C164" s="15"/>
      <c r="D164" s="15" t="s">
        <v>125</v>
      </c>
      <c r="E164" s="32">
        <v>3</v>
      </c>
      <c r="F164" s="32">
        <v>16</v>
      </c>
      <c r="G164" s="32">
        <v>11</v>
      </c>
      <c r="H164" s="32">
        <v>7</v>
      </c>
      <c r="I164" s="32">
        <v>4</v>
      </c>
      <c r="J164" s="32">
        <v>5</v>
      </c>
      <c r="K164" s="32">
        <v>50</v>
      </c>
      <c r="L164" s="32">
        <v>14</v>
      </c>
      <c r="M164" s="32">
        <v>1</v>
      </c>
      <c r="N164" s="32">
        <v>6</v>
      </c>
      <c r="O164" s="15"/>
      <c r="P164" s="15" t="s">
        <v>125</v>
      </c>
      <c r="Q164" s="32">
        <v>4</v>
      </c>
      <c r="R164" s="32">
        <v>2</v>
      </c>
      <c r="S164" s="32">
        <v>8</v>
      </c>
      <c r="T164" s="32">
        <v>4</v>
      </c>
      <c r="U164" s="32">
        <v>4</v>
      </c>
      <c r="V164" s="32">
        <v>0</v>
      </c>
      <c r="W164" s="32">
        <v>15</v>
      </c>
      <c r="X164" s="32">
        <v>5</v>
      </c>
      <c r="Y164" s="16">
        <f t="shared" si="9"/>
        <v>159</v>
      </c>
    </row>
    <row r="165" spans="2:84" ht="13.5" thickBot="1" x14ac:dyDescent="0.25">
      <c r="B165" s="15"/>
      <c r="C165" s="15"/>
      <c r="D165" s="15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15"/>
      <c r="P165" s="15"/>
      <c r="Q165" s="32"/>
      <c r="R165" s="32"/>
      <c r="S165" s="32"/>
      <c r="T165" s="32"/>
      <c r="U165" s="32"/>
      <c r="V165" s="32"/>
      <c r="W165" s="32"/>
      <c r="X165" s="32"/>
      <c r="Y165" s="16"/>
    </row>
    <row r="166" spans="2:84" ht="13.5" thickBot="1" x14ac:dyDescent="0.25">
      <c r="B166" s="15"/>
      <c r="C166" s="56" t="s">
        <v>136</v>
      </c>
      <c r="D166" s="56" t="s">
        <v>124</v>
      </c>
      <c r="E166" s="59">
        <v>7</v>
      </c>
      <c r="F166" s="59">
        <v>9</v>
      </c>
      <c r="G166" s="59">
        <v>7</v>
      </c>
      <c r="H166" s="59">
        <v>7</v>
      </c>
      <c r="I166" s="59">
        <v>6</v>
      </c>
      <c r="J166" s="59">
        <v>16</v>
      </c>
      <c r="K166" s="59">
        <v>113</v>
      </c>
      <c r="L166" s="59">
        <v>32</v>
      </c>
      <c r="M166" s="59">
        <v>3</v>
      </c>
      <c r="N166" s="59">
        <v>10</v>
      </c>
      <c r="O166" s="56" t="s">
        <v>128</v>
      </c>
      <c r="P166" s="56" t="s">
        <v>124</v>
      </c>
      <c r="Q166" s="59">
        <v>15</v>
      </c>
      <c r="R166" s="59">
        <v>1</v>
      </c>
      <c r="S166" s="59">
        <v>21</v>
      </c>
      <c r="T166" s="59">
        <v>9</v>
      </c>
      <c r="U166" s="59">
        <v>8</v>
      </c>
      <c r="V166" s="59">
        <v>2</v>
      </c>
      <c r="W166" s="59">
        <v>24</v>
      </c>
      <c r="X166" s="59">
        <v>32</v>
      </c>
      <c r="Y166" s="57">
        <f t="shared" si="9"/>
        <v>322</v>
      </c>
    </row>
    <row r="167" spans="2:84" ht="13.5" thickBot="1" x14ac:dyDescent="0.25">
      <c r="B167" s="15"/>
      <c r="C167" s="15"/>
      <c r="D167" s="15" t="s">
        <v>125</v>
      </c>
      <c r="E167" s="32">
        <v>3</v>
      </c>
      <c r="F167" s="32">
        <v>17</v>
      </c>
      <c r="G167" s="32">
        <v>12</v>
      </c>
      <c r="H167" s="32">
        <v>7</v>
      </c>
      <c r="I167" s="32">
        <v>3</v>
      </c>
      <c r="J167" s="32">
        <v>3</v>
      </c>
      <c r="K167" s="32">
        <v>51</v>
      </c>
      <c r="L167" s="32">
        <v>16</v>
      </c>
      <c r="M167" s="32">
        <v>0</v>
      </c>
      <c r="N167" s="32">
        <v>7</v>
      </c>
      <c r="O167" s="15"/>
      <c r="P167" s="15" t="s">
        <v>125</v>
      </c>
      <c r="Q167" s="32">
        <v>4</v>
      </c>
      <c r="R167" s="32">
        <v>2</v>
      </c>
      <c r="S167" s="32">
        <v>6</v>
      </c>
      <c r="T167" s="32">
        <v>3</v>
      </c>
      <c r="U167" s="32">
        <v>3</v>
      </c>
      <c r="V167" s="32">
        <v>0</v>
      </c>
      <c r="W167" s="32">
        <v>13</v>
      </c>
      <c r="X167" s="32">
        <v>8</v>
      </c>
      <c r="Y167" s="16">
        <f t="shared" si="9"/>
        <v>158</v>
      </c>
    </row>
    <row r="168" spans="2:84" ht="13.5" thickBot="1" x14ac:dyDescent="0.25">
      <c r="B168" s="15"/>
      <c r="C168" s="15"/>
      <c r="D168" s="15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15"/>
      <c r="P168" s="15"/>
      <c r="Q168" s="32"/>
      <c r="R168" s="32"/>
      <c r="S168" s="32"/>
      <c r="T168" s="32"/>
      <c r="U168" s="32"/>
      <c r="V168" s="32"/>
      <c r="W168" s="32"/>
      <c r="X168" s="32"/>
      <c r="Y168" s="16"/>
    </row>
    <row r="169" spans="2:84" ht="13.5" thickBot="1" x14ac:dyDescent="0.25">
      <c r="B169" s="15"/>
      <c r="C169" s="56" t="s">
        <v>129</v>
      </c>
      <c r="D169" s="56" t="s">
        <v>124</v>
      </c>
      <c r="E169" s="59">
        <v>7</v>
      </c>
      <c r="F169" s="59">
        <v>12</v>
      </c>
      <c r="G169" s="59">
        <v>8</v>
      </c>
      <c r="H169" s="59">
        <v>8</v>
      </c>
      <c r="I169" s="59">
        <v>6</v>
      </c>
      <c r="J169" s="59">
        <v>18</v>
      </c>
      <c r="K169" s="59">
        <v>119</v>
      </c>
      <c r="L169" s="59">
        <v>36</v>
      </c>
      <c r="M169" s="59">
        <v>3</v>
      </c>
      <c r="N169" s="59">
        <v>11</v>
      </c>
      <c r="O169" s="56" t="s">
        <v>129</v>
      </c>
      <c r="P169" s="56" t="s">
        <v>124</v>
      </c>
      <c r="Q169" s="59">
        <v>15</v>
      </c>
      <c r="R169" s="59">
        <v>1</v>
      </c>
      <c r="S169" s="59">
        <v>23</v>
      </c>
      <c r="T169" s="59">
        <v>9</v>
      </c>
      <c r="U169" s="59">
        <v>7</v>
      </c>
      <c r="V169" s="59">
        <v>2</v>
      </c>
      <c r="W169" s="59">
        <v>26</v>
      </c>
      <c r="X169" s="59">
        <v>35</v>
      </c>
      <c r="Y169" s="57">
        <f t="shared" si="9"/>
        <v>346</v>
      </c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</row>
    <row r="170" spans="2:84" ht="13.5" thickBot="1" x14ac:dyDescent="0.25">
      <c r="B170" s="15"/>
      <c r="C170" s="15"/>
      <c r="D170" s="15" t="s">
        <v>125</v>
      </c>
      <c r="E170" s="32">
        <v>3</v>
      </c>
      <c r="F170" s="32">
        <v>15</v>
      </c>
      <c r="G170" s="32">
        <v>11</v>
      </c>
      <c r="H170" s="32">
        <v>6</v>
      </c>
      <c r="I170" s="32">
        <v>2</v>
      </c>
      <c r="J170" s="32">
        <v>3</v>
      </c>
      <c r="K170" s="32">
        <v>45</v>
      </c>
      <c r="L170" s="32">
        <v>12</v>
      </c>
      <c r="M170" s="32">
        <v>0</v>
      </c>
      <c r="N170" s="32">
        <v>6</v>
      </c>
      <c r="O170" s="15"/>
      <c r="P170" s="15" t="s">
        <v>125</v>
      </c>
      <c r="Q170" s="32">
        <v>3</v>
      </c>
      <c r="R170" s="32">
        <v>2</v>
      </c>
      <c r="S170" s="32">
        <v>4</v>
      </c>
      <c r="T170" s="32">
        <v>2</v>
      </c>
      <c r="U170" s="32">
        <v>3</v>
      </c>
      <c r="V170" s="32">
        <v>0</v>
      </c>
      <c r="W170" s="32">
        <v>13</v>
      </c>
      <c r="X170" s="32">
        <v>6</v>
      </c>
      <c r="Y170" s="16">
        <f t="shared" si="9"/>
        <v>136</v>
      </c>
    </row>
    <row r="171" spans="2:84" ht="13.5" thickBot="1" x14ac:dyDescent="0.25">
      <c r="B171" s="15"/>
      <c r="C171" s="15"/>
      <c r="D171" s="15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15"/>
      <c r="P171" s="15"/>
      <c r="Q171" s="32"/>
      <c r="R171" s="32"/>
      <c r="S171" s="32"/>
      <c r="T171" s="32"/>
      <c r="U171" s="32"/>
      <c r="V171" s="32"/>
      <c r="W171" s="32"/>
      <c r="X171" s="32"/>
      <c r="Y171" s="16"/>
    </row>
    <row r="172" spans="2:84" ht="13.5" thickBot="1" x14ac:dyDescent="0.25">
      <c r="B172" s="15"/>
      <c r="C172" s="56" t="s">
        <v>130</v>
      </c>
      <c r="D172" s="56" t="s">
        <v>124</v>
      </c>
      <c r="E172" s="59">
        <v>10</v>
      </c>
      <c r="F172" s="59">
        <v>11</v>
      </c>
      <c r="G172" s="59">
        <v>8</v>
      </c>
      <c r="H172" s="59">
        <v>8</v>
      </c>
      <c r="I172" s="59">
        <v>6</v>
      </c>
      <c r="J172" s="59">
        <v>17</v>
      </c>
      <c r="K172" s="59">
        <v>122</v>
      </c>
      <c r="L172" s="59">
        <v>32</v>
      </c>
      <c r="M172" s="59">
        <v>3</v>
      </c>
      <c r="N172" s="59">
        <v>15</v>
      </c>
      <c r="O172" s="56" t="s">
        <v>130</v>
      </c>
      <c r="P172" s="56" t="s">
        <v>124</v>
      </c>
      <c r="Q172" s="59">
        <v>14</v>
      </c>
      <c r="R172" s="59">
        <v>1</v>
      </c>
      <c r="S172" s="59">
        <v>20</v>
      </c>
      <c r="T172" s="59">
        <v>9</v>
      </c>
      <c r="U172" s="59">
        <v>5</v>
      </c>
      <c r="V172" s="59">
        <v>1</v>
      </c>
      <c r="W172" s="59">
        <v>29</v>
      </c>
      <c r="X172" s="59">
        <v>36</v>
      </c>
      <c r="Y172" s="57">
        <f t="shared" si="9"/>
        <v>347</v>
      </c>
    </row>
    <row r="173" spans="2:84" ht="13.5" thickBot="1" x14ac:dyDescent="0.25">
      <c r="B173" s="15"/>
      <c r="C173" s="15"/>
      <c r="D173" s="15" t="s">
        <v>125</v>
      </c>
      <c r="E173" s="32">
        <v>0</v>
      </c>
      <c r="F173" s="32">
        <v>15</v>
      </c>
      <c r="G173" s="32">
        <v>11</v>
      </c>
      <c r="H173" s="32">
        <v>6</v>
      </c>
      <c r="I173" s="32">
        <v>3</v>
      </c>
      <c r="J173" s="32">
        <v>4</v>
      </c>
      <c r="K173" s="32">
        <v>42</v>
      </c>
      <c r="L173" s="32">
        <v>16</v>
      </c>
      <c r="M173" s="32">
        <v>0</v>
      </c>
      <c r="N173" s="32">
        <v>3</v>
      </c>
      <c r="O173" s="15"/>
      <c r="P173" s="15" t="s">
        <v>125</v>
      </c>
      <c r="Q173" s="32">
        <v>3</v>
      </c>
      <c r="R173" s="32">
        <v>2</v>
      </c>
      <c r="S173" s="32">
        <v>7</v>
      </c>
      <c r="T173" s="32">
        <v>2</v>
      </c>
      <c r="U173" s="32">
        <v>4</v>
      </c>
      <c r="V173" s="32">
        <v>1</v>
      </c>
      <c r="W173" s="32">
        <v>10</v>
      </c>
      <c r="X173" s="32">
        <v>5</v>
      </c>
      <c r="Y173" s="16">
        <f t="shared" si="9"/>
        <v>134</v>
      </c>
    </row>
    <row r="174" spans="2:84" x14ac:dyDescent="0.2"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</sheetData>
  <pageMargins left="0" right="0" top="0" bottom="0" header="0" footer="0"/>
  <pageSetup paperSize="5" scale="66" fitToHeight="0" orientation="landscape" r:id="rId1"/>
  <headerFooter alignWithMargins="0"/>
  <rowBreaks count="5" manualBreakCount="5">
    <brk id="25" min="1" max="24" man="1"/>
    <brk id="54" min="1" max="24" man="1"/>
    <brk id="96" min="1" max="24" man="1"/>
    <brk id="136" min="1" max="24" man="1"/>
    <brk id="19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75"/>
  <sheetViews>
    <sheetView topLeftCell="B33" zoomScale="90" zoomScaleNormal="90" workbookViewId="0">
      <selection activeCell="E63" sqref="E63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customWidth="1"/>
    <col min="5" max="14" width="8.7109375" customWidth="1"/>
    <col min="15" max="15" width="29.5703125" customWidth="1"/>
    <col min="16" max="16" width="7.42578125" style="37" customWidth="1"/>
    <col min="17" max="17" width="7.42578125" customWidth="1"/>
    <col min="18" max="18" width="8.7109375" customWidth="1"/>
    <col min="19" max="19" width="8.7109375" style="37" customWidth="1"/>
    <col min="20" max="25" width="8.7109375" customWidth="1"/>
    <col min="26" max="31" width="9.140625" customWidth="1"/>
  </cols>
  <sheetData>
    <row r="1" spans="2:25" ht="27" x14ac:dyDescent="0.35">
      <c r="B1" s="47" t="s">
        <v>131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95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ht="101.25" thickBot="1" x14ac:dyDescent="0.25">
      <c r="B3" s="8" t="s">
        <v>0</v>
      </c>
      <c r="C3" s="8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41</v>
      </c>
      <c r="K3" s="9" t="s">
        <v>42</v>
      </c>
      <c r="L3" s="9" t="s">
        <v>43</v>
      </c>
      <c r="M3" s="31" t="s">
        <v>44</v>
      </c>
      <c r="N3" s="9" t="s">
        <v>45</v>
      </c>
      <c r="O3" s="42" t="s">
        <v>1</v>
      </c>
      <c r="P3" s="8" t="s">
        <v>2</v>
      </c>
      <c r="Q3" s="9" t="s">
        <v>46</v>
      </c>
      <c r="R3" s="9" t="s">
        <v>8</v>
      </c>
      <c r="S3" s="9" t="s">
        <v>9</v>
      </c>
      <c r="T3" s="9" t="s">
        <v>10</v>
      </c>
      <c r="U3" s="9" t="s">
        <v>47</v>
      </c>
      <c r="V3" s="9" t="s">
        <v>11</v>
      </c>
      <c r="W3" s="9" t="s">
        <v>12</v>
      </c>
      <c r="X3" s="9" t="s">
        <v>13</v>
      </c>
      <c r="Y3" s="9" t="s">
        <v>14</v>
      </c>
    </row>
    <row r="4" spans="2:25" ht="13.5" thickBot="1" x14ac:dyDescent="0.25">
      <c r="B4" s="10" t="s">
        <v>102</v>
      </c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3"/>
      <c r="O4" s="10" t="s">
        <v>102</v>
      </c>
      <c r="P4" s="43"/>
      <c r="Q4" s="11"/>
      <c r="R4" s="11"/>
      <c r="S4" s="12"/>
      <c r="T4" s="11"/>
      <c r="U4" s="11"/>
      <c r="V4" s="11"/>
      <c r="W4" s="11"/>
      <c r="X4" s="11"/>
      <c r="Y4" s="52"/>
    </row>
    <row r="5" spans="2:25" ht="13.5" thickBot="1" x14ac:dyDescent="0.25">
      <c r="B5" s="8"/>
      <c r="C5" s="15" t="s">
        <v>103</v>
      </c>
      <c r="D5" s="49" t="s">
        <v>15</v>
      </c>
      <c r="E5" s="16">
        <v>10</v>
      </c>
      <c r="F5" s="16">
        <v>16</v>
      </c>
      <c r="G5" s="16">
        <v>16</v>
      </c>
      <c r="H5" s="16">
        <v>18</v>
      </c>
      <c r="I5" s="16">
        <v>15</v>
      </c>
      <c r="J5" s="16">
        <v>46</v>
      </c>
      <c r="K5" s="16">
        <v>78</v>
      </c>
      <c r="L5" s="16">
        <v>59</v>
      </c>
      <c r="M5" s="16">
        <v>2</v>
      </c>
      <c r="N5" s="16">
        <v>15</v>
      </c>
      <c r="O5" s="15" t="s">
        <v>103</v>
      </c>
      <c r="P5" s="49" t="s">
        <v>15</v>
      </c>
      <c r="Q5" s="16">
        <v>9</v>
      </c>
      <c r="R5" s="16">
        <v>12</v>
      </c>
      <c r="S5" s="16">
        <v>31</v>
      </c>
      <c r="T5" s="16">
        <v>17</v>
      </c>
      <c r="U5" s="16">
        <v>6</v>
      </c>
      <c r="V5" s="16">
        <v>6</v>
      </c>
      <c r="W5" s="16">
        <v>30</v>
      </c>
      <c r="X5" s="32">
        <v>48</v>
      </c>
      <c r="Y5" s="16">
        <f>SUM(E5:X5)</f>
        <v>434</v>
      </c>
    </row>
    <row r="6" spans="2:25" ht="13.5" thickBot="1" x14ac:dyDescent="0.25">
      <c r="B6" s="8"/>
      <c r="C6" s="15" t="s">
        <v>104</v>
      </c>
      <c r="D6" s="49" t="s">
        <v>16</v>
      </c>
      <c r="E6" s="16">
        <v>0</v>
      </c>
      <c r="F6" s="16">
        <v>2</v>
      </c>
      <c r="G6" s="16">
        <v>4</v>
      </c>
      <c r="H6" s="16">
        <v>0</v>
      </c>
      <c r="I6" s="16">
        <v>0</v>
      </c>
      <c r="J6" s="16">
        <v>9</v>
      </c>
      <c r="K6" s="16">
        <v>13</v>
      </c>
      <c r="L6" s="16">
        <v>14</v>
      </c>
      <c r="M6" s="16">
        <v>0</v>
      </c>
      <c r="N6" s="16">
        <v>3</v>
      </c>
      <c r="O6" s="15" t="s">
        <v>104</v>
      </c>
      <c r="P6" s="49" t="s">
        <v>16</v>
      </c>
      <c r="Q6" s="16">
        <v>1</v>
      </c>
      <c r="R6" s="16">
        <v>1</v>
      </c>
      <c r="S6" s="16">
        <v>2</v>
      </c>
      <c r="T6" s="16">
        <v>0</v>
      </c>
      <c r="U6" s="16">
        <v>2</v>
      </c>
      <c r="V6" s="16">
        <v>0</v>
      </c>
      <c r="W6" s="16">
        <v>3</v>
      </c>
      <c r="X6" s="32">
        <v>5</v>
      </c>
      <c r="Y6" s="16">
        <f t="shared" ref="Y6:Y22" si="0">SUM(E6:X6)</f>
        <v>59</v>
      </c>
    </row>
    <row r="7" spans="2:25" ht="13.5" thickBot="1" x14ac:dyDescent="0.25">
      <c r="B7" s="8"/>
      <c r="C7" s="15" t="s">
        <v>105</v>
      </c>
      <c r="D7" s="49" t="s">
        <v>108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1</v>
      </c>
      <c r="K7" s="16">
        <v>3</v>
      </c>
      <c r="L7" s="16">
        <v>0</v>
      </c>
      <c r="M7" s="16">
        <v>0</v>
      </c>
      <c r="N7" s="16">
        <v>0</v>
      </c>
      <c r="O7" s="15" t="s">
        <v>105</v>
      </c>
      <c r="P7" s="49" t="s">
        <v>108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32">
        <v>0</v>
      </c>
      <c r="Y7" s="16">
        <f t="shared" si="0"/>
        <v>4</v>
      </c>
    </row>
    <row r="8" spans="2:25" ht="13.5" thickBot="1" x14ac:dyDescent="0.25">
      <c r="B8" s="8"/>
      <c r="C8" s="15" t="s">
        <v>106</v>
      </c>
      <c r="D8" s="49" t="s">
        <v>107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1</v>
      </c>
      <c r="L8" s="16">
        <v>0</v>
      </c>
      <c r="M8" s="16">
        <v>0</v>
      </c>
      <c r="N8" s="16">
        <v>0</v>
      </c>
      <c r="O8" s="15" t="s">
        <v>106</v>
      </c>
      <c r="P8" s="49" t="s">
        <v>107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32">
        <v>0</v>
      </c>
      <c r="Y8" s="16">
        <f t="shared" si="0"/>
        <v>1</v>
      </c>
    </row>
    <row r="9" spans="2:25" ht="13.5" thickBot="1" x14ac:dyDescent="0.25">
      <c r="B9" s="10" t="s">
        <v>17</v>
      </c>
      <c r="C9" s="11"/>
      <c r="D9" s="11"/>
      <c r="E9" s="12"/>
      <c r="F9" s="12"/>
      <c r="G9" s="11"/>
      <c r="H9" s="11"/>
      <c r="I9" s="11"/>
      <c r="J9" s="11"/>
      <c r="K9" s="11"/>
      <c r="L9" s="11"/>
      <c r="M9" s="11"/>
      <c r="N9" s="13"/>
      <c r="O9" s="10" t="s">
        <v>17</v>
      </c>
      <c r="P9" s="43"/>
      <c r="Q9" s="11"/>
      <c r="R9" s="11"/>
      <c r="S9" s="12"/>
      <c r="T9" s="11"/>
      <c r="U9" s="11"/>
      <c r="V9" s="11"/>
      <c r="W9" s="11"/>
      <c r="X9" s="11"/>
      <c r="Y9" s="52"/>
    </row>
    <row r="10" spans="2:25" ht="13.5" thickBot="1" x14ac:dyDescent="0.25">
      <c r="B10" s="40"/>
      <c r="C10" s="14" t="s">
        <v>48</v>
      </c>
      <c r="D10" s="15" t="s">
        <v>16</v>
      </c>
      <c r="E10" s="16">
        <v>0</v>
      </c>
      <c r="F10" s="16">
        <v>2</v>
      </c>
      <c r="G10" s="16">
        <v>2</v>
      </c>
      <c r="H10" s="16">
        <v>0</v>
      </c>
      <c r="I10" s="16">
        <v>0</v>
      </c>
      <c r="J10" s="16">
        <v>6</v>
      </c>
      <c r="K10" s="16">
        <v>11</v>
      </c>
      <c r="L10" s="16">
        <v>8</v>
      </c>
      <c r="M10" s="16">
        <v>0</v>
      </c>
      <c r="N10" s="16">
        <v>4</v>
      </c>
      <c r="O10" s="14" t="s">
        <v>48</v>
      </c>
      <c r="P10" s="15" t="s">
        <v>16</v>
      </c>
      <c r="Q10" s="16">
        <v>0</v>
      </c>
      <c r="R10" s="16">
        <v>0</v>
      </c>
      <c r="S10" s="16">
        <v>2</v>
      </c>
      <c r="T10" s="16">
        <v>0</v>
      </c>
      <c r="U10" s="16">
        <v>2</v>
      </c>
      <c r="V10" s="16">
        <v>0</v>
      </c>
      <c r="W10" s="16">
        <v>2</v>
      </c>
      <c r="X10" s="32">
        <v>6</v>
      </c>
      <c r="Y10" s="16">
        <f t="shared" si="0"/>
        <v>45</v>
      </c>
    </row>
    <row r="11" spans="2:25" ht="13.5" thickBot="1" x14ac:dyDescent="0.25">
      <c r="B11" s="40"/>
      <c r="C11" s="14" t="s">
        <v>49</v>
      </c>
      <c r="D11" s="15" t="s">
        <v>15</v>
      </c>
      <c r="E11" s="16">
        <v>10</v>
      </c>
      <c r="F11" s="16">
        <v>16</v>
      </c>
      <c r="G11" s="16">
        <v>17</v>
      </c>
      <c r="H11" s="16">
        <v>17</v>
      </c>
      <c r="I11" s="16">
        <v>15</v>
      </c>
      <c r="J11" s="16">
        <v>50</v>
      </c>
      <c r="K11" s="16">
        <v>79</v>
      </c>
      <c r="L11" s="16">
        <v>61</v>
      </c>
      <c r="M11" s="16">
        <v>2</v>
      </c>
      <c r="N11" s="16">
        <v>14</v>
      </c>
      <c r="O11" s="14" t="s">
        <v>49</v>
      </c>
      <c r="P11" s="15" t="s">
        <v>15</v>
      </c>
      <c r="Q11" s="16">
        <v>10</v>
      </c>
      <c r="R11" s="16">
        <v>13</v>
      </c>
      <c r="S11" s="16">
        <v>31</v>
      </c>
      <c r="T11" s="16">
        <v>16</v>
      </c>
      <c r="U11" s="16">
        <v>6</v>
      </c>
      <c r="V11" s="16">
        <v>6</v>
      </c>
      <c r="W11" s="16">
        <v>30</v>
      </c>
      <c r="X11" s="32">
        <v>46</v>
      </c>
      <c r="Y11" s="16">
        <f t="shared" si="0"/>
        <v>439</v>
      </c>
    </row>
    <row r="12" spans="2:25" ht="13.5" thickBot="1" x14ac:dyDescent="0.25">
      <c r="B12" s="14"/>
      <c r="C12" s="14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4"/>
      <c r="P12" s="15"/>
      <c r="Q12" s="16"/>
      <c r="R12" s="16"/>
      <c r="S12" s="16"/>
      <c r="T12" s="16"/>
      <c r="U12" s="16"/>
      <c r="V12" s="16"/>
      <c r="W12" s="16"/>
      <c r="X12" s="32"/>
      <c r="Y12" s="16"/>
    </row>
    <row r="13" spans="2:25" ht="13.5" thickBot="1" x14ac:dyDescent="0.25">
      <c r="B13" s="17" t="s">
        <v>56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/>
      <c r="O13" s="17" t="s">
        <v>56</v>
      </c>
      <c r="P13" s="18"/>
      <c r="Q13" s="19"/>
      <c r="R13" s="18"/>
      <c r="S13" s="19"/>
      <c r="T13" s="18"/>
      <c r="U13" s="18"/>
      <c r="V13" s="18"/>
      <c r="W13" s="18"/>
      <c r="X13" s="18"/>
      <c r="Y13" s="52"/>
    </row>
    <row r="14" spans="2:25" ht="13.5" thickBot="1" x14ac:dyDescent="0.25">
      <c r="B14" s="40"/>
      <c r="C14" s="15" t="s">
        <v>55</v>
      </c>
      <c r="D14" s="15" t="s">
        <v>15</v>
      </c>
      <c r="E14" s="16">
        <v>10</v>
      </c>
      <c r="F14" s="16">
        <v>16</v>
      </c>
      <c r="G14" s="16">
        <v>19</v>
      </c>
      <c r="H14" s="16">
        <v>18</v>
      </c>
      <c r="I14" s="16">
        <v>15</v>
      </c>
      <c r="J14" s="16">
        <v>49</v>
      </c>
      <c r="K14" s="16">
        <v>81</v>
      </c>
      <c r="L14" s="16">
        <v>64</v>
      </c>
      <c r="M14" s="16">
        <v>1</v>
      </c>
      <c r="N14" s="16">
        <v>18</v>
      </c>
      <c r="O14" s="15" t="s">
        <v>55</v>
      </c>
      <c r="P14" s="15" t="s">
        <v>15</v>
      </c>
      <c r="Q14" s="16">
        <v>10</v>
      </c>
      <c r="R14" s="16">
        <v>13</v>
      </c>
      <c r="S14" s="16">
        <v>30</v>
      </c>
      <c r="T14" s="16">
        <v>17</v>
      </c>
      <c r="U14" s="16">
        <v>6</v>
      </c>
      <c r="V14" s="16">
        <v>6</v>
      </c>
      <c r="W14" s="16">
        <v>28</v>
      </c>
      <c r="X14" s="32">
        <v>49</v>
      </c>
      <c r="Y14" s="16">
        <f t="shared" si="0"/>
        <v>450</v>
      </c>
    </row>
    <row r="15" spans="2:25" ht="13.5" thickBot="1" x14ac:dyDescent="0.25">
      <c r="B15" s="17" t="s">
        <v>57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0"/>
      <c r="O15" s="17" t="s">
        <v>57</v>
      </c>
      <c r="P15" s="18"/>
      <c r="Q15" s="19"/>
      <c r="R15" s="18"/>
      <c r="S15" s="19"/>
      <c r="T15" s="18"/>
      <c r="U15" s="18"/>
      <c r="V15" s="18"/>
      <c r="W15" s="18"/>
      <c r="X15" s="18"/>
      <c r="Y15" s="52"/>
    </row>
    <row r="16" spans="2:25" ht="13.5" thickBot="1" x14ac:dyDescent="0.25">
      <c r="B16" s="40"/>
      <c r="C16" s="15" t="s">
        <v>58</v>
      </c>
      <c r="D16" s="15" t="s">
        <v>16</v>
      </c>
      <c r="E16" s="16">
        <v>0</v>
      </c>
      <c r="F16" s="16">
        <v>2</v>
      </c>
      <c r="G16" s="16">
        <v>2</v>
      </c>
      <c r="H16" s="16">
        <v>0</v>
      </c>
      <c r="I16" s="16">
        <v>0</v>
      </c>
      <c r="J16" s="16">
        <v>8</v>
      </c>
      <c r="K16" s="16">
        <v>11</v>
      </c>
      <c r="L16" s="16">
        <v>11</v>
      </c>
      <c r="M16" s="16">
        <v>0</v>
      </c>
      <c r="N16" s="16">
        <v>5</v>
      </c>
      <c r="O16" s="15" t="s">
        <v>58</v>
      </c>
      <c r="P16" s="15" t="s">
        <v>16</v>
      </c>
      <c r="Q16" s="16">
        <v>1</v>
      </c>
      <c r="R16" s="16">
        <v>1</v>
      </c>
      <c r="S16" s="16">
        <v>4</v>
      </c>
      <c r="T16" s="16">
        <v>0</v>
      </c>
      <c r="U16" s="16">
        <v>3</v>
      </c>
      <c r="V16" s="16">
        <v>0</v>
      </c>
      <c r="W16" s="16">
        <v>2</v>
      </c>
      <c r="X16" s="32">
        <v>7</v>
      </c>
      <c r="Y16" s="16">
        <f t="shared" si="0"/>
        <v>57</v>
      </c>
    </row>
    <row r="17" spans="1:25" ht="13.5" thickBot="1" x14ac:dyDescent="0.25">
      <c r="B17" s="40"/>
      <c r="C17" s="15" t="s">
        <v>40</v>
      </c>
      <c r="D17" s="15" t="s">
        <v>15</v>
      </c>
      <c r="E17" s="16">
        <v>10</v>
      </c>
      <c r="F17" s="16">
        <v>12</v>
      </c>
      <c r="G17" s="16">
        <v>18</v>
      </c>
      <c r="H17" s="16">
        <v>17</v>
      </c>
      <c r="I17" s="16">
        <v>15</v>
      </c>
      <c r="J17" s="16">
        <v>46</v>
      </c>
      <c r="K17" s="16">
        <v>69</v>
      </c>
      <c r="L17" s="16">
        <v>59</v>
      </c>
      <c r="M17" s="16">
        <v>1</v>
      </c>
      <c r="N17" s="16">
        <v>12</v>
      </c>
      <c r="O17" s="15" t="s">
        <v>40</v>
      </c>
      <c r="P17" s="15" t="s">
        <v>15</v>
      </c>
      <c r="Q17" s="16">
        <v>9</v>
      </c>
      <c r="R17" s="16">
        <v>12</v>
      </c>
      <c r="S17" s="16">
        <v>27</v>
      </c>
      <c r="T17" s="16">
        <v>17</v>
      </c>
      <c r="U17" s="16">
        <v>5</v>
      </c>
      <c r="V17" s="16">
        <v>6</v>
      </c>
      <c r="W17" s="16">
        <v>30</v>
      </c>
      <c r="X17" s="32">
        <v>45</v>
      </c>
      <c r="Y17" s="16">
        <f t="shared" si="0"/>
        <v>410</v>
      </c>
    </row>
    <row r="18" spans="1:25" ht="13.5" thickBot="1" x14ac:dyDescent="0.25">
      <c r="B18" s="17" t="s">
        <v>59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0"/>
      <c r="O18" s="17" t="s">
        <v>59</v>
      </c>
      <c r="P18" s="18"/>
      <c r="Q18" s="19"/>
      <c r="R18" s="18"/>
      <c r="S18" s="19"/>
      <c r="T18" s="18"/>
      <c r="U18" s="18"/>
      <c r="V18" s="18"/>
      <c r="W18" s="18"/>
      <c r="X18" s="18"/>
      <c r="Y18" s="52"/>
    </row>
    <row r="19" spans="1:25" ht="13.5" thickBot="1" x14ac:dyDescent="0.25">
      <c r="B19" s="40"/>
      <c r="C19" s="15" t="s">
        <v>60</v>
      </c>
      <c r="D19" s="15" t="s">
        <v>15</v>
      </c>
      <c r="E19" s="16">
        <v>10</v>
      </c>
      <c r="F19" s="16">
        <v>11</v>
      </c>
      <c r="G19" s="16">
        <v>19</v>
      </c>
      <c r="H19" s="16">
        <v>17</v>
      </c>
      <c r="I19" s="16">
        <v>15</v>
      </c>
      <c r="J19" s="16">
        <v>47</v>
      </c>
      <c r="K19" s="16">
        <v>83</v>
      </c>
      <c r="L19" s="16">
        <v>66</v>
      </c>
      <c r="M19" s="16">
        <v>2</v>
      </c>
      <c r="N19" s="16">
        <v>17</v>
      </c>
      <c r="O19" s="15" t="s">
        <v>60</v>
      </c>
      <c r="P19" s="15" t="s">
        <v>15</v>
      </c>
      <c r="Q19" s="16">
        <v>10</v>
      </c>
      <c r="R19" s="16">
        <v>13</v>
      </c>
      <c r="S19" s="16">
        <v>31</v>
      </c>
      <c r="T19" s="16">
        <v>14</v>
      </c>
      <c r="U19" s="16">
        <v>7</v>
      </c>
      <c r="V19" s="16">
        <v>7</v>
      </c>
      <c r="W19" s="16">
        <v>29</v>
      </c>
      <c r="X19" s="32">
        <v>48</v>
      </c>
      <c r="Y19" s="16">
        <f t="shared" si="0"/>
        <v>446</v>
      </c>
    </row>
    <row r="20" spans="1:25" ht="13.5" thickBot="1" x14ac:dyDescent="0.25">
      <c r="B20" s="40"/>
      <c r="C20" s="1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6"/>
      <c r="R20" s="16"/>
      <c r="S20" s="16"/>
      <c r="T20" s="16"/>
      <c r="U20" s="16"/>
      <c r="V20" s="16"/>
      <c r="W20" s="16"/>
      <c r="X20" s="32"/>
      <c r="Y20" s="16"/>
    </row>
    <row r="21" spans="1:25" ht="13.5" thickBot="1" x14ac:dyDescent="0.25">
      <c r="B21" s="22" t="s">
        <v>61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5"/>
      <c r="O21" s="22" t="s">
        <v>61</v>
      </c>
      <c r="P21" s="45"/>
      <c r="Q21" s="23"/>
      <c r="R21" s="23"/>
      <c r="S21" s="24"/>
      <c r="T21" s="23"/>
      <c r="U21" s="23"/>
      <c r="V21" s="23"/>
      <c r="W21" s="23"/>
      <c r="X21" s="23"/>
      <c r="Y21" s="52"/>
    </row>
    <row r="22" spans="1:25" ht="13.5" thickBot="1" x14ac:dyDescent="0.25">
      <c r="B22" s="41"/>
      <c r="C22" s="15" t="s">
        <v>62</v>
      </c>
      <c r="D22" s="15" t="s">
        <v>15</v>
      </c>
      <c r="E22" s="16">
        <v>10</v>
      </c>
      <c r="F22" s="16">
        <v>11</v>
      </c>
      <c r="G22" s="16">
        <v>19</v>
      </c>
      <c r="H22" s="16">
        <v>16</v>
      </c>
      <c r="I22" s="16">
        <v>15</v>
      </c>
      <c r="J22" s="16">
        <v>45</v>
      </c>
      <c r="K22" s="16">
        <v>79</v>
      </c>
      <c r="L22" s="16">
        <v>60</v>
      </c>
      <c r="M22" s="16">
        <v>1</v>
      </c>
      <c r="N22" s="16">
        <v>17</v>
      </c>
      <c r="O22" s="15" t="s">
        <v>62</v>
      </c>
      <c r="P22" s="15" t="s">
        <v>15</v>
      </c>
      <c r="Q22" s="16">
        <v>8</v>
      </c>
      <c r="R22" s="16">
        <v>13</v>
      </c>
      <c r="S22" s="16">
        <v>29</v>
      </c>
      <c r="T22" s="16">
        <v>16</v>
      </c>
      <c r="U22" s="16">
        <v>6</v>
      </c>
      <c r="V22" s="16">
        <v>5</v>
      </c>
      <c r="W22" s="16">
        <v>28</v>
      </c>
      <c r="X22" s="32">
        <v>48</v>
      </c>
      <c r="Y22" s="16">
        <f t="shared" si="0"/>
        <v>426</v>
      </c>
    </row>
    <row r="23" spans="1:25" ht="13.5" thickBot="1" x14ac:dyDescent="0.25">
      <c r="B23" s="22" t="s">
        <v>63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5"/>
      <c r="O23" s="22" t="s">
        <v>50</v>
      </c>
      <c r="P23" s="23"/>
      <c r="Q23" s="23"/>
      <c r="R23" s="23"/>
      <c r="S23" s="24"/>
      <c r="T23" s="23"/>
      <c r="U23" s="23"/>
      <c r="V23" s="23"/>
      <c r="W23" s="23"/>
      <c r="X23" s="23"/>
      <c r="Y23" s="52"/>
    </row>
    <row r="24" spans="1:25" ht="13.5" thickBot="1" x14ac:dyDescent="0.25">
      <c r="B24" s="41"/>
      <c r="C24" s="15" t="s">
        <v>64</v>
      </c>
      <c r="D24" s="15" t="s">
        <v>15</v>
      </c>
      <c r="E24" s="16">
        <v>10</v>
      </c>
      <c r="F24" s="16">
        <v>10</v>
      </c>
      <c r="G24" s="16">
        <v>19</v>
      </c>
      <c r="H24" s="16">
        <v>18</v>
      </c>
      <c r="I24" s="16">
        <v>15</v>
      </c>
      <c r="J24" s="16">
        <v>46</v>
      </c>
      <c r="K24" s="16">
        <v>81</v>
      </c>
      <c r="L24" s="16">
        <v>67</v>
      </c>
      <c r="M24" s="16">
        <v>1</v>
      </c>
      <c r="N24" s="16">
        <v>15</v>
      </c>
      <c r="O24" s="15" t="s">
        <v>64</v>
      </c>
      <c r="P24" s="15" t="s">
        <v>15</v>
      </c>
      <c r="Q24" s="16">
        <v>10</v>
      </c>
      <c r="R24" s="16">
        <v>13</v>
      </c>
      <c r="S24" s="16">
        <v>26</v>
      </c>
      <c r="T24" s="16">
        <v>16</v>
      </c>
      <c r="U24" s="16">
        <v>5</v>
      </c>
      <c r="V24" s="16">
        <v>6</v>
      </c>
      <c r="W24" s="16">
        <v>28</v>
      </c>
      <c r="X24" s="32">
        <v>50</v>
      </c>
      <c r="Y24" s="16">
        <f>SUM(E24:X24)</f>
        <v>436</v>
      </c>
    </row>
    <row r="25" spans="1:25" ht="13.5" thickBot="1" x14ac:dyDescent="0.25">
      <c r="B25" s="40"/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6"/>
      <c r="R25" s="16"/>
      <c r="S25" s="16"/>
      <c r="T25" s="16"/>
      <c r="U25" s="16"/>
      <c r="V25" s="16"/>
      <c r="W25" s="16"/>
      <c r="X25" s="32"/>
      <c r="Y25" s="16"/>
    </row>
    <row r="26" spans="1:25" ht="27.75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</row>
    <row r="27" spans="1:25" ht="27.75" x14ac:dyDescent="0.4"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1"/>
      <c r="T27" s="1"/>
      <c r="U27" s="1"/>
      <c r="V27" s="1"/>
      <c r="W27" s="1"/>
      <c r="X27" s="1"/>
      <c r="Y27" s="1"/>
    </row>
    <row r="28" spans="1:25" ht="20.100000000000001" customHeight="1" x14ac:dyDescent="0.4"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35"/>
      <c r="Q28" s="1"/>
      <c r="R28" s="1"/>
      <c r="S28" s="35"/>
      <c r="T28" s="1"/>
      <c r="U28" s="1"/>
      <c r="V28" s="1"/>
      <c r="W28" s="1"/>
      <c r="X28" s="1"/>
      <c r="Y28" s="1"/>
    </row>
    <row r="29" spans="1:25" ht="15.75" x14ac:dyDescent="0.25"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6"/>
      <c r="Q29" s="4"/>
      <c r="R29" s="4"/>
      <c r="S29" s="36"/>
      <c r="T29" s="4"/>
      <c r="U29" s="4"/>
      <c r="V29" s="4"/>
      <c r="W29" s="4"/>
      <c r="X29" s="4"/>
      <c r="Y29" s="5"/>
    </row>
    <row r="30" spans="1:25" ht="15.75" x14ac:dyDescent="0.25">
      <c r="B30" s="3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6"/>
      <c r="Q30" s="4"/>
      <c r="R30" s="4"/>
      <c r="S30" s="36"/>
      <c r="T30" s="4"/>
      <c r="U30" s="4"/>
      <c r="V30" s="4"/>
      <c r="W30" s="4"/>
      <c r="X30" s="4"/>
      <c r="Y30" s="5"/>
    </row>
    <row r="31" spans="1:25" ht="15.7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6"/>
      <c r="Q31" s="4"/>
      <c r="R31" s="4"/>
      <c r="S31" s="36"/>
      <c r="T31" s="4"/>
      <c r="U31" s="4"/>
      <c r="V31" s="4"/>
      <c r="W31" s="4"/>
      <c r="X31" s="4"/>
      <c r="Y31" s="5"/>
    </row>
    <row r="32" spans="1:25" ht="15" customHeight="1" thickBot="1" x14ac:dyDescent="0.3">
      <c r="A32" s="6"/>
      <c r="Y32" s="7"/>
    </row>
    <row r="33" spans="2:25" ht="101.25" thickBot="1" x14ac:dyDescent="0.25">
      <c r="B33" s="8" t="s">
        <v>0</v>
      </c>
      <c r="C33" s="8" t="s">
        <v>1</v>
      </c>
      <c r="D33" s="8" t="s">
        <v>2</v>
      </c>
      <c r="E33" s="9" t="s">
        <v>3</v>
      </c>
      <c r="F33" s="9" t="s">
        <v>4</v>
      </c>
      <c r="G33" s="9" t="s">
        <v>5</v>
      </c>
      <c r="H33" s="9" t="s">
        <v>6</v>
      </c>
      <c r="I33" s="9" t="s">
        <v>7</v>
      </c>
      <c r="J33" s="9" t="s">
        <v>41</v>
      </c>
      <c r="K33" s="9" t="s">
        <v>42</v>
      </c>
      <c r="L33" s="9" t="s">
        <v>43</v>
      </c>
      <c r="M33" s="31" t="s">
        <v>44</v>
      </c>
      <c r="N33" s="9" t="s">
        <v>45</v>
      </c>
      <c r="O33" s="42" t="s">
        <v>1</v>
      </c>
      <c r="P33" s="8" t="s">
        <v>2</v>
      </c>
      <c r="Q33" s="9" t="s">
        <v>46</v>
      </c>
      <c r="R33" s="9" t="s">
        <v>8</v>
      </c>
      <c r="S33" s="9" t="s">
        <v>9</v>
      </c>
      <c r="T33" s="9" t="s">
        <v>10</v>
      </c>
      <c r="U33" s="9" t="s">
        <v>47</v>
      </c>
      <c r="V33" s="9" t="s">
        <v>11</v>
      </c>
      <c r="W33" s="9" t="s">
        <v>12</v>
      </c>
      <c r="X33" s="9" t="s">
        <v>13</v>
      </c>
      <c r="Y33" s="9" t="s">
        <v>14</v>
      </c>
    </row>
    <row r="34" spans="2:25" ht="13.5" thickBot="1" x14ac:dyDescent="0.25">
      <c r="B34" s="17" t="s">
        <v>75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17" t="s">
        <v>75</v>
      </c>
      <c r="P34" s="44"/>
      <c r="Q34" s="11"/>
      <c r="R34" s="34"/>
      <c r="S34" s="19"/>
      <c r="T34" s="18"/>
      <c r="U34" s="18"/>
      <c r="V34" s="18"/>
      <c r="W34" s="18"/>
      <c r="X34" s="18"/>
      <c r="Y34" s="18"/>
    </row>
    <row r="35" spans="2:25" ht="13.5" thickBot="1" x14ac:dyDescent="0.25">
      <c r="B35" s="40"/>
      <c r="C35" s="15" t="s">
        <v>76</v>
      </c>
      <c r="D35" s="15" t="s">
        <v>51</v>
      </c>
      <c r="E35" s="16">
        <v>0</v>
      </c>
      <c r="F35" s="16">
        <v>0</v>
      </c>
      <c r="G35" s="16">
        <v>0</v>
      </c>
      <c r="H35" s="16">
        <v>15</v>
      </c>
      <c r="I35" s="16">
        <v>0</v>
      </c>
      <c r="J35" s="16">
        <v>0</v>
      </c>
      <c r="K35" s="16">
        <v>70</v>
      </c>
      <c r="L35" s="16">
        <v>0</v>
      </c>
      <c r="M35" s="16">
        <v>0</v>
      </c>
      <c r="N35" s="16">
        <v>13</v>
      </c>
      <c r="O35" s="15" t="s">
        <v>76</v>
      </c>
      <c r="P35" s="15" t="s">
        <v>51</v>
      </c>
      <c r="Q35" s="16">
        <v>0</v>
      </c>
      <c r="R35" s="16">
        <v>0</v>
      </c>
      <c r="S35" s="16">
        <v>0</v>
      </c>
      <c r="T35" s="16">
        <v>0</v>
      </c>
      <c r="U35" s="16">
        <v>5</v>
      </c>
      <c r="V35" s="16">
        <v>7</v>
      </c>
      <c r="W35" s="16">
        <v>0</v>
      </c>
      <c r="X35" s="16">
        <v>0</v>
      </c>
      <c r="Y35" s="16">
        <f t="shared" ref="Y35:Y36" si="1">E35+F35+G35+H35+I35+J35+K35+L35+M35+N35+Q35+R35+S35+T35+U35+V35+W35+X35</f>
        <v>110</v>
      </c>
    </row>
    <row r="36" spans="2:25" ht="13.5" thickBot="1" x14ac:dyDescent="0.25">
      <c r="B36" s="40"/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5"/>
      <c r="P36" s="15"/>
      <c r="Q36" s="16"/>
      <c r="R36" s="16"/>
      <c r="S36" s="16"/>
      <c r="T36" s="16"/>
      <c r="U36" s="16"/>
      <c r="V36" s="16"/>
      <c r="W36" s="16"/>
      <c r="X36" s="16"/>
      <c r="Y36" s="16">
        <f t="shared" si="1"/>
        <v>0</v>
      </c>
    </row>
    <row r="37" spans="2:25" ht="13.5" thickBot="1" x14ac:dyDescent="0.25">
      <c r="B37" s="17" t="s">
        <v>77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17" t="s">
        <v>77</v>
      </c>
      <c r="P37" s="44"/>
      <c r="Q37" s="11"/>
      <c r="R37" s="34"/>
      <c r="S37" s="19"/>
      <c r="T37" s="18"/>
      <c r="U37" s="18"/>
      <c r="V37" s="18"/>
      <c r="W37" s="18"/>
      <c r="X37" s="18"/>
      <c r="Y37" s="18"/>
    </row>
    <row r="38" spans="2:25" ht="13.5" thickBot="1" x14ac:dyDescent="0.25">
      <c r="B38" s="40"/>
      <c r="C38" s="15" t="s">
        <v>54</v>
      </c>
      <c r="D38" s="15" t="s">
        <v>51</v>
      </c>
      <c r="E38" s="16">
        <v>0</v>
      </c>
      <c r="F38" s="16">
        <v>0</v>
      </c>
      <c r="G38" s="16">
        <v>0</v>
      </c>
      <c r="H38" s="16">
        <v>0</v>
      </c>
      <c r="I38" s="16">
        <v>14</v>
      </c>
      <c r="J38" s="16">
        <v>0</v>
      </c>
      <c r="K38" s="16">
        <v>0</v>
      </c>
      <c r="L38" s="16">
        <v>60</v>
      </c>
      <c r="M38" s="16">
        <v>0</v>
      </c>
      <c r="N38" s="16">
        <v>0</v>
      </c>
      <c r="O38" s="15" t="s">
        <v>54</v>
      </c>
      <c r="P38" s="15" t="s">
        <v>51</v>
      </c>
      <c r="Q38" s="16">
        <v>10</v>
      </c>
      <c r="R38" s="16">
        <v>0</v>
      </c>
      <c r="S38" s="16">
        <v>26</v>
      </c>
      <c r="T38" s="16">
        <v>16</v>
      </c>
      <c r="U38" s="16">
        <v>0</v>
      </c>
      <c r="V38" s="16">
        <v>0</v>
      </c>
      <c r="W38" s="16">
        <v>0</v>
      </c>
      <c r="X38" s="16">
        <v>44</v>
      </c>
      <c r="Y38" s="16">
        <f t="shared" ref="Y38:Y39" si="2">E38+F38+G38+H38+I38+J38+K38+L38+M38+N38+Q38+R38+S38+T38+U38+V38+W38+X38</f>
        <v>170</v>
      </c>
    </row>
    <row r="39" spans="2:25" ht="13.5" thickBot="1" x14ac:dyDescent="0.25">
      <c r="B39" s="40"/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5"/>
      <c r="P39" s="15"/>
      <c r="Q39" s="16"/>
      <c r="R39" s="16"/>
      <c r="S39" s="16"/>
      <c r="T39" s="16"/>
      <c r="U39" s="16"/>
      <c r="V39" s="16"/>
      <c r="W39" s="16"/>
      <c r="X39" s="16"/>
      <c r="Y39" s="16">
        <f t="shared" si="2"/>
        <v>0</v>
      </c>
    </row>
    <row r="40" spans="2:25" ht="13.5" thickBot="1" x14ac:dyDescent="0.25">
      <c r="B40" s="17" t="s">
        <v>65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17" t="s">
        <v>65</v>
      </c>
      <c r="P40" s="44"/>
      <c r="Q40" s="11"/>
      <c r="R40" s="34"/>
      <c r="S40" s="19"/>
      <c r="T40" s="18"/>
      <c r="U40" s="18"/>
      <c r="V40" s="18"/>
      <c r="W40" s="18"/>
      <c r="X40" s="18"/>
      <c r="Y40" s="18"/>
    </row>
    <row r="41" spans="2:25" ht="13.5" thickBot="1" x14ac:dyDescent="0.25">
      <c r="B41" s="40"/>
      <c r="C41" s="15" t="s">
        <v>66</v>
      </c>
      <c r="D41" s="15" t="s">
        <v>15</v>
      </c>
      <c r="E41" s="16">
        <v>10</v>
      </c>
      <c r="F41" s="16">
        <v>13</v>
      </c>
      <c r="G41" s="16">
        <v>19</v>
      </c>
      <c r="H41" s="16">
        <v>15</v>
      </c>
      <c r="I41" s="16">
        <v>15</v>
      </c>
      <c r="J41" s="16">
        <v>46</v>
      </c>
      <c r="K41" s="16">
        <v>78</v>
      </c>
      <c r="L41" s="16">
        <v>63</v>
      </c>
      <c r="M41" s="16">
        <v>2</v>
      </c>
      <c r="N41" s="16">
        <v>16</v>
      </c>
      <c r="O41" s="15" t="s">
        <v>66</v>
      </c>
      <c r="P41" s="15" t="s">
        <v>15</v>
      </c>
      <c r="Q41" s="16">
        <v>9</v>
      </c>
      <c r="R41" s="16">
        <v>13</v>
      </c>
      <c r="S41" s="16">
        <v>26</v>
      </c>
      <c r="T41" s="16">
        <v>17</v>
      </c>
      <c r="U41" s="16">
        <v>7</v>
      </c>
      <c r="V41" s="16">
        <v>7</v>
      </c>
      <c r="W41" s="16">
        <v>30</v>
      </c>
      <c r="X41" s="16">
        <v>45</v>
      </c>
      <c r="Y41" s="16">
        <f>E41+F41+G41+H41+I41+J41+K41+L41+M41+N41+Q41+R41+S41+T41+U41+V41+W41+X41</f>
        <v>431</v>
      </c>
    </row>
    <row r="42" spans="2:25" ht="13.5" thickBot="1" x14ac:dyDescent="0.25">
      <c r="B42" s="17" t="s">
        <v>67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0"/>
      <c r="O42" s="17" t="s">
        <v>67</v>
      </c>
      <c r="P42" s="44"/>
      <c r="Q42" s="11"/>
      <c r="R42" s="34"/>
      <c r="S42" s="19"/>
      <c r="T42" s="18"/>
      <c r="U42" s="18"/>
      <c r="V42" s="18"/>
      <c r="W42" s="18"/>
      <c r="X42" s="18"/>
      <c r="Y42" s="18"/>
    </row>
    <row r="43" spans="2:25" ht="13.5" thickBot="1" x14ac:dyDescent="0.25">
      <c r="B43" s="40"/>
      <c r="C43" s="15" t="s">
        <v>68</v>
      </c>
      <c r="D43" s="15" t="s">
        <v>51</v>
      </c>
      <c r="E43" s="16">
        <v>10</v>
      </c>
      <c r="F43" s="16">
        <v>15</v>
      </c>
      <c r="G43" s="16">
        <v>19</v>
      </c>
      <c r="H43" s="16">
        <v>16</v>
      </c>
      <c r="I43" s="16">
        <v>15</v>
      </c>
      <c r="J43" s="16">
        <v>49</v>
      </c>
      <c r="K43" s="16">
        <v>84</v>
      </c>
      <c r="L43" s="16">
        <v>64</v>
      </c>
      <c r="M43" s="16">
        <v>2</v>
      </c>
      <c r="N43" s="16">
        <v>17</v>
      </c>
      <c r="O43" s="15" t="s">
        <v>68</v>
      </c>
      <c r="P43" s="15" t="s">
        <v>51</v>
      </c>
      <c r="Q43" s="16">
        <v>10</v>
      </c>
      <c r="R43" s="16">
        <v>13</v>
      </c>
      <c r="S43" s="16">
        <v>28</v>
      </c>
      <c r="T43" s="16">
        <v>17</v>
      </c>
      <c r="U43" s="16">
        <v>6</v>
      </c>
      <c r="V43" s="16">
        <v>7</v>
      </c>
      <c r="W43" s="16">
        <v>29</v>
      </c>
      <c r="X43" s="16">
        <v>48</v>
      </c>
      <c r="Y43" s="16">
        <f t="shared" ref="Y43:Y52" si="3">E43+F43+G43+H43+I43+J43+K43+L43+M43+N43+Q43+R43+S43+T43+U43+V43+W43+X43</f>
        <v>449</v>
      </c>
    </row>
    <row r="44" spans="2:25" ht="13.5" thickBot="1" x14ac:dyDescent="0.25">
      <c r="B44" s="40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5"/>
      <c r="P44" s="15"/>
      <c r="Q44" s="16"/>
      <c r="R44" s="16"/>
      <c r="S44" s="16"/>
      <c r="T44" s="16"/>
      <c r="U44" s="16"/>
      <c r="V44" s="16"/>
      <c r="W44" s="16"/>
      <c r="X44" s="16"/>
      <c r="Y44" s="16">
        <f t="shared" si="3"/>
        <v>0</v>
      </c>
    </row>
    <row r="45" spans="2:25" ht="13.5" thickBot="1" x14ac:dyDescent="0.25">
      <c r="B45" s="17" t="s">
        <v>69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0"/>
      <c r="O45" s="17" t="s">
        <v>69</v>
      </c>
      <c r="P45" s="44"/>
      <c r="Q45" s="11"/>
      <c r="R45" s="34"/>
      <c r="S45" s="19"/>
      <c r="T45" s="18"/>
      <c r="U45" s="18"/>
      <c r="V45" s="18"/>
      <c r="W45" s="18"/>
      <c r="X45" s="18"/>
      <c r="Y45" s="18"/>
    </row>
    <row r="46" spans="2:25" ht="13.5" thickBot="1" x14ac:dyDescent="0.25">
      <c r="B46" s="40"/>
      <c r="C46" s="15" t="s">
        <v>70</v>
      </c>
      <c r="D46" s="15" t="s">
        <v>51</v>
      </c>
      <c r="E46" s="16">
        <v>8</v>
      </c>
      <c r="F46" s="16">
        <v>12</v>
      </c>
      <c r="G46" s="16">
        <v>11</v>
      </c>
      <c r="H46" s="16">
        <v>11</v>
      </c>
      <c r="I46" s="16">
        <v>13</v>
      </c>
      <c r="J46" s="16">
        <v>28</v>
      </c>
      <c r="K46" s="16">
        <v>63</v>
      </c>
      <c r="L46" s="16">
        <v>44</v>
      </c>
      <c r="M46" s="16">
        <v>0</v>
      </c>
      <c r="N46" s="16">
        <v>9</v>
      </c>
      <c r="O46" s="15" t="s">
        <v>70</v>
      </c>
      <c r="P46" s="15" t="s">
        <v>51</v>
      </c>
      <c r="Q46" s="16">
        <v>6</v>
      </c>
      <c r="R46" s="16">
        <v>10</v>
      </c>
      <c r="S46" s="16">
        <v>17</v>
      </c>
      <c r="T46" s="16">
        <v>15</v>
      </c>
      <c r="U46" s="16">
        <v>5</v>
      </c>
      <c r="V46" s="16">
        <v>1</v>
      </c>
      <c r="W46" s="16">
        <v>22</v>
      </c>
      <c r="X46" s="16">
        <v>41</v>
      </c>
      <c r="Y46" s="16">
        <f t="shared" si="3"/>
        <v>316</v>
      </c>
    </row>
    <row r="47" spans="2:25" ht="13.5" thickBot="1" x14ac:dyDescent="0.25">
      <c r="B47" s="40"/>
      <c r="C47" s="15" t="s">
        <v>137</v>
      </c>
      <c r="D47" s="15" t="s">
        <v>51</v>
      </c>
      <c r="E47" s="16">
        <v>2</v>
      </c>
      <c r="F47" s="16">
        <v>0</v>
      </c>
      <c r="G47" s="16">
        <v>8</v>
      </c>
      <c r="H47" s="16">
        <v>7</v>
      </c>
      <c r="I47" s="16">
        <v>0</v>
      </c>
      <c r="J47" s="16">
        <v>19</v>
      </c>
      <c r="K47" s="16">
        <v>44</v>
      </c>
      <c r="L47" s="16">
        <v>22</v>
      </c>
      <c r="M47" s="16">
        <v>2</v>
      </c>
      <c r="N47" s="16">
        <v>5</v>
      </c>
      <c r="O47" s="15" t="s">
        <v>137</v>
      </c>
      <c r="P47" s="15" t="s">
        <v>51</v>
      </c>
      <c r="Q47" s="16">
        <v>2</v>
      </c>
      <c r="R47" s="16">
        <v>3</v>
      </c>
      <c r="S47" s="16">
        <v>14</v>
      </c>
      <c r="T47" s="16">
        <v>2</v>
      </c>
      <c r="U47" s="16">
        <v>1</v>
      </c>
      <c r="V47" s="16">
        <v>4</v>
      </c>
      <c r="W47" s="16">
        <v>6</v>
      </c>
      <c r="X47" s="16">
        <v>12</v>
      </c>
      <c r="Y47" s="16">
        <f>E47+F47+G47+H47+I47+J47+K47+L47+M47+N47+Q47+R47+S47+T47+U47+V47+W47+X47</f>
        <v>153</v>
      </c>
    </row>
    <row r="48" spans="2:25" ht="13.5" thickBot="1" x14ac:dyDescent="0.25">
      <c r="B48" s="17" t="s">
        <v>71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0"/>
      <c r="O48" s="17" t="s">
        <v>71</v>
      </c>
      <c r="P48" s="44"/>
      <c r="Q48" s="11"/>
      <c r="R48" s="34"/>
      <c r="S48" s="19"/>
      <c r="T48" s="18"/>
      <c r="U48" s="18"/>
      <c r="V48" s="18"/>
      <c r="W48" s="18"/>
      <c r="X48" s="18"/>
      <c r="Y48" s="18"/>
    </row>
    <row r="49" spans="2:25" ht="13.5" thickBot="1" x14ac:dyDescent="0.25">
      <c r="B49" s="40"/>
      <c r="C49" s="15" t="s">
        <v>72</v>
      </c>
      <c r="D49" s="15" t="s">
        <v>51</v>
      </c>
      <c r="E49" s="16">
        <v>10</v>
      </c>
      <c r="F49" s="16">
        <v>11</v>
      </c>
      <c r="G49" s="16">
        <v>19</v>
      </c>
      <c r="H49" s="16">
        <v>16</v>
      </c>
      <c r="I49" s="16">
        <v>15</v>
      </c>
      <c r="J49" s="16">
        <v>46</v>
      </c>
      <c r="K49" s="16">
        <v>77</v>
      </c>
      <c r="L49" s="16">
        <v>62</v>
      </c>
      <c r="M49" s="16">
        <v>1</v>
      </c>
      <c r="N49" s="16">
        <v>17</v>
      </c>
      <c r="O49" s="15" t="s">
        <v>72</v>
      </c>
      <c r="P49" s="15" t="s">
        <v>51</v>
      </c>
      <c r="Q49" s="16">
        <v>10</v>
      </c>
      <c r="R49" s="16">
        <v>13</v>
      </c>
      <c r="S49" s="16">
        <v>28</v>
      </c>
      <c r="T49" s="16">
        <v>16</v>
      </c>
      <c r="U49" s="16">
        <v>6</v>
      </c>
      <c r="V49" s="16">
        <v>5</v>
      </c>
      <c r="W49" s="16">
        <v>28</v>
      </c>
      <c r="X49" s="16">
        <v>48</v>
      </c>
      <c r="Y49" s="16">
        <f t="shared" si="3"/>
        <v>428</v>
      </c>
    </row>
    <row r="50" spans="2:25" ht="13.5" thickBot="1" x14ac:dyDescent="0.25">
      <c r="B50" s="17" t="s">
        <v>73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0"/>
      <c r="O50" s="17" t="s">
        <v>73</v>
      </c>
      <c r="P50" s="44"/>
      <c r="Q50" s="11"/>
      <c r="R50" s="34"/>
      <c r="S50" s="19"/>
      <c r="T50" s="18"/>
      <c r="U50" s="18"/>
      <c r="V50" s="18"/>
      <c r="W50" s="18"/>
      <c r="X50" s="18"/>
      <c r="Y50" s="18"/>
    </row>
    <row r="51" spans="2:25" ht="13.5" thickBot="1" x14ac:dyDescent="0.25">
      <c r="B51" s="40"/>
      <c r="C51" s="15" t="s">
        <v>74</v>
      </c>
      <c r="D51" s="15" t="s">
        <v>51</v>
      </c>
      <c r="E51" s="16">
        <v>10</v>
      </c>
      <c r="F51" s="16">
        <v>13</v>
      </c>
      <c r="G51" s="16">
        <v>18</v>
      </c>
      <c r="H51" s="16">
        <v>17</v>
      </c>
      <c r="I51" s="16">
        <v>15</v>
      </c>
      <c r="J51" s="16">
        <v>48</v>
      </c>
      <c r="K51" s="16">
        <v>66</v>
      </c>
      <c r="L51" s="16">
        <v>61</v>
      </c>
      <c r="M51" s="16">
        <v>2</v>
      </c>
      <c r="N51" s="16">
        <v>16</v>
      </c>
      <c r="O51" s="38" t="s">
        <v>74</v>
      </c>
      <c r="P51" s="14" t="s">
        <v>51</v>
      </c>
      <c r="Q51" s="16">
        <v>9</v>
      </c>
      <c r="R51" s="16">
        <v>13</v>
      </c>
      <c r="S51" s="16">
        <v>22</v>
      </c>
      <c r="T51" s="16">
        <v>16</v>
      </c>
      <c r="U51" s="16">
        <v>7</v>
      </c>
      <c r="V51" s="16">
        <v>7</v>
      </c>
      <c r="W51" s="16">
        <v>31</v>
      </c>
      <c r="X51" s="16">
        <v>42</v>
      </c>
      <c r="Y51" s="16">
        <f t="shared" si="3"/>
        <v>413</v>
      </c>
    </row>
    <row r="52" spans="2:25" ht="13.5" thickBot="1" x14ac:dyDescent="0.25">
      <c r="B52" s="40"/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5"/>
      <c r="P52" s="14"/>
      <c r="Q52" s="16"/>
      <c r="R52" s="16"/>
      <c r="S52" s="16"/>
      <c r="T52" s="16"/>
      <c r="U52" s="16"/>
      <c r="V52" s="16"/>
      <c r="W52" s="16"/>
      <c r="X52" s="16"/>
      <c r="Y52" s="16">
        <f t="shared" si="3"/>
        <v>0</v>
      </c>
    </row>
    <row r="53" spans="2:25" ht="2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7.75" x14ac:dyDescent="0.4"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1"/>
      <c r="V54" s="1"/>
      <c r="W54" s="1"/>
      <c r="X54" s="1"/>
      <c r="Y54" s="1"/>
    </row>
    <row r="55" spans="2:25" ht="15.75" x14ac:dyDescent="0.25">
      <c r="B55" s="3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6"/>
      <c r="Q55" s="4"/>
      <c r="R55" s="4"/>
      <c r="S55" s="36"/>
      <c r="T55" s="4"/>
      <c r="U55" s="4"/>
      <c r="V55" s="4"/>
      <c r="W55" s="4"/>
      <c r="X55" s="4"/>
      <c r="Y55" s="5"/>
    </row>
    <row r="56" spans="2:25" ht="15.75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6"/>
      <c r="Q56" s="4"/>
      <c r="R56" s="4"/>
      <c r="S56" s="36"/>
      <c r="T56" s="4"/>
      <c r="U56" s="4"/>
      <c r="V56" s="4"/>
      <c r="W56" s="4"/>
      <c r="X56" s="4"/>
      <c r="Y56" s="5"/>
    </row>
    <row r="57" spans="2:25" ht="15.75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6"/>
      <c r="Q57" s="4"/>
      <c r="R57" s="4"/>
      <c r="S57" s="36"/>
      <c r="T57" s="4"/>
      <c r="U57" s="4"/>
      <c r="V57" s="4"/>
      <c r="W57" s="4"/>
      <c r="X57" s="4"/>
      <c r="Y57" s="5"/>
    </row>
    <row r="58" spans="2:25" ht="15.75" x14ac:dyDescent="0.25">
      <c r="B58" s="4"/>
      <c r="C58" s="4"/>
      <c r="D58" s="4"/>
      <c r="E58" s="4"/>
      <c r="F58" s="4"/>
      <c r="Y58" s="5"/>
    </row>
    <row r="59" spans="2:25" ht="13.5" thickBot="1" x14ac:dyDescent="0.25">
      <c r="Y59" s="7"/>
    </row>
    <row r="60" spans="2:25" ht="101.25" thickBot="1" x14ac:dyDescent="0.25">
      <c r="B60" s="8" t="s">
        <v>0</v>
      </c>
      <c r="C60" s="8" t="s">
        <v>1</v>
      </c>
      <c r="D60" s="8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9" t="s">
        <v>41</v>
      </c>
      <c r="K60" s="9" t="s">
        <v>42</v>
      </c>
      <c r="L60" s="9" t="s">
        <v>43</v>
      </c>
      <c r="M60" s="31" t="s">
        <v>44</v>
      </c>
      <c r="N60" s="9" t="s">
        <v>45</v>
      </c>
      <c r="O60" s="42" t="s">
        <v>1</v>
      </c>
      <c r="P60" s="8" t="s">
        <v>2</v>
      </c>
      <c r="Q60" s="9" t="s">
        <v>46</v>
      </c>
      <c r="R60" s="9" t="s">
        <v>8</v>
      </c>
      <c r="S60" s="9" t="s">
        <v>9</v>
      </c>
      <c r="T60" s="9" t="s">
        <v>10</v>
      </c>
      <c r="U60" s="9" t="s">
        <v>47</v>
      </c>
      <c r="V60" s="9" t="s">
        <v>11</v>
      </c>
      <c r="W60" s="9" t="s">
        <v>12</v>
      </c>
      <c r="X60" s="9" t="s">
        <v>13</v>
      </c>
      <c r="Y60" s="9" t="s">
        <v>14</v>
      </c>
    </row>
    <row r="61" spans="2:25" x14ac:dyDescent="0.2">
      <c r="B61" s="22" t="s">
        <v>78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5"/>
      <c r="O61" s="22" t="s">
        <v>78</v>
      </c>
      <c r="P61" s="24"/>
      <c r="Q61" s="23"/>
      <c r="R61" s="23"/>
      <c r="S61" s="24"/>
      <c r="T61" s="23"/>
      <c r="U61" s="23"/>
      <c r="V61" s="23"/>
      <c r="W61" s="23"/>
      <c r="X61" s="23"/>
      <c r="Y61" s="23"/>
    </row>
    <row r="62" spans="2:25" ht="13.5" thickBot="1" x14ac:dyDescent="0.25">
      <c r="B62" s="17" t="s">
        <v>26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0"/>
      <c r="O62" s="17" t="s">
        <v>26</v>
      </c>
      <c r="P62" s="19"/>
      <c r="Q62" s="18"/>
      <c r="R62" s="34"/>
      <c r="S62" s="19"/>
      <c r="T62" s="18"/>
      <c r="U62" s="18"/>
      <c r="V62" s="18"/>
      <c r="W62" s="18"/>
      <c r="X62" s="18"/>
      <c r="Y62" s="18"/>
    </row>
    <row r="63" spans="2:25" ht="13.5" thickBot="1" x14ac:dyDescent="0.25">
      <c r="B63" s="15"/>
      <c r="C63" s="15" t="s">
        <v>84</v>
      </c>
      <c r="D63" s="15" t="s">
        <v>15</v>
      </c>
      <c r="E63" s="16">
        <v>10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5" t="s">
        <v>84</v>
      </c>
      <c r="P63" s="15" t="s">
        <v>15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f t="shared" ref="Y63:Y95" si="4">E63+F63+G63+H63+I63+J63+K63+L63+M63+N63+Q63+R63+S63+T63+U63+V63+W63+X63</f>
        <v>10</v>
      </c>
    </row>
    <row r="64" spans="2:25" ht="13.5" thickBot="1" x14ac:dyDescent="0.25">
      <c r="B64" s="48"/>
      <c r="C64" s="15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5"/>
      <c r="P64" s="15"/>
      <c r="Q64" s="16"/>
      <c r="R64" s="16"/>
      <c r="S64" s="16"/>
      <c r="T64" s="16"/>
      <c r="U64" s="16"/>
      <c r="V64" s="16"/>
      <c r="W64" s="16"/>
      <c r="X64" s="16"/>
      <c r="Y64" s="16">
        <f t="shared" si="4"/>
        <v>0</v>
      </c>
    </row>
    <row r="65" spans="1:25" ht="13.5" thickBot="1" x14ac:dyDescent="0.25">
      <c r="B65" s="10" t="s">
        <v>27</v>
      </c>
      <c r="C65" s="11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27"/>
      <c r="O65" s="10" t="s">
        <v>27</v>
      </c>
      <c r="P65" s="12"/>
      <c r="Q65" s="12"/>
      <c r="R65" s="33"/>
      <c r="S65" s="12"/>
      <c r="T65" s="12"/>
      <c r="U65" s="12"/>
      <c r="V65" s="12"/>
      <c r="W65" s="12"/>
      <c r="X65" s="12"/>
      <c r="Y65" s="12"/>
    </row>
    <row r="66" spans="1:25" ht="13.5" thickBot="1" x14ac:dyDescent="0.25">
      <c r="B66" s="15"/>
      <c r="C66" s="15" t="s">
        <v>83</v>
      </c>
      <c r="D66" s="15" t="s">
        <v>15</v>
      </c>
      <c r="E66" s="16">
        <v>0</v>
      </c>
      <c r="F66" s="16">
        <v>14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5" t="s">
        <v>83</v>
      </c>
      <c r="P66" s="15" t="s">
        <v>15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f t="shared" ref="Y66" si="5">E66+F66+G66+H66+I66+J66+K66+L66+M66+N66+Q66+R66+S66+T66+U66+V66+W66+X66</f>
        <v>14</v>
      </c>
    </row>
    <row r="67" spans="1:25" ht="13.5" thickBot="1" x14ac:dyDescent="0.25">
      <c r="B67" s="21"/>
      <c r="C67" s="15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5"/>
      <c r="P67" s="15"/>
      <c r="Q67" s="16"/>
      <c r="R67" s="16"/>
      <c r="S67" s="16"/>
      <c r="T67" s="16"/>
      <c r="U67" s="16"/>
      <c r="V67" s="16"/>
      <c r="W67" s="16"/>
      <c r="X67" s="16"/>
      <c r="Y67" s="16">
        <f t="shared" si="4"/>
        <v>0</v>
      </c>
    </row>
    <row r="68" spans="1:25" ht="13.5" thickBot="1" x14ac:dyDescent="0.25">
      <c r="B68" s="10" t="s">
        <v>28</v>
      </c>
      <c r="C68" s="11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27"/>
      <c r="O68" s="10" t="s">
        <v>28</v>
      </c>
      <c r="P68" s="12"/>
      <c r="Q68" s="12"/>
      <c r="R68" s="33"/>
      <c r="S68" s="12"/>
      <c r="T68" s="12"/>
      <c r="U68" s="12"/>
      <c r="V68" s="12"/>
      <c r="W68" s="12"/>
      <c r="X68" s="12"/>
      <c r="Y68" s="12"/>
    </row>
    <row r="69" spans="1:25" ht="13.5" thickBot="1" x14ac:dyDescent="0.25">
      <c r="B69" s="21"/>
      <c r="C69" s="15" t="s">
        <v>53</v>
      </c>
      <c r="D69" s="15" t="s">
        <v>15</v>
      </c>
      <c r="E69" s="16">
        <v>0</v>
      </c>
      <c r="F69" s="16">
        <v>0</v>
      </c>
      <c r="G69" s="16">
        <v>19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5" t="s">
        <v>53</v>
      </c>
      <c r="P69" s="15" t="s">
        <v>15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f t="shared" si="4"/>
        <v>19</v>
      </c>
    </row>
    <row r="70" spans="1:25" ht="13.5" thickBot="1" x14ac:dyDescent="0.25">
      <c r="B70" s="21"/>
      <c r="C70" s="15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6"/>
      <c r="R70" s="16"/>
      <c r="S70" s="16"/>
      <c r="T70" s="16"/>
      <c r="U70" s="16"/>
      <c r="V70" s="16"/>
      <c r="W70" s="16"/>
      <c r="X70" s="16"/>
      <c r="Y70" s="16">
        <f t="shared" si="4"/>
        <v>0</v>
      </c>
    </row>
    <row r="71" spans="1:25" ht="13.5" thickBot="1" x14ac:dyDescent="0.25">
      <c r="B71" s="10" t="s">
        <v>29</v>
      </c>
      <c r="C71" s="11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27"/>
      <c r="O71" s="10" t="s">
        <v>29</v>
      </c>
      <c r="P71" s="12"/>
      <c r="Q71" s="12"/>
      <c r="R71" s="33"/>
      <c r="S71" s="12"/>
      <c r="T71" s="12"/>
      <c r="U71" s="12"/>
      <c r="V71" s="12"/>
      <c r="W71" s="12"/>
      <c r="X71" s="12"/>
      <c r="Y71" s="12"/>
    </row>
    <row r="72" spans="1:25" ht="13.5" thickBot="1" x14ac:dyDescent="0.25">
      <c r="B72" s="21"/>
      <c r="C72" s="15"/>
      <c r="D72" s="15"/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5"/>
      <c r="P72" s="15"/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f t="shared" si="4"/>
        <v>0</v>
      </c>
    </row>
    <row r="73" spans="1:25" ht="20.100000000000001" customHeight="1" thickBot="1" x14ac:dyDescent="0.25">
      <c r="B73" s="10" t="s">
        <v>30</v>
      </c>
      <c r="C73" s="11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27"/>
      <c r="O73" s="10" t="s">
        <v>30</v>
      </c>
      <c r="P73" s="12"/>
      <c r="Q73" s="12"/>
      <c r="R73" s="33"/>
      <c r="S73" s="12"/>
      <c r="T73" s="12"/>
      <c r="U73" s="12"/>
      <c r="V73" s="12"/>
      <c r="W73" s="12"/>
      <c r="X73" s="12"/>
      <c r="Y73" s="12"/>
    </row>
    <row r="74" spans="1:25" ht="13.5" thickBot="1" x14ac:dyDescent="0.25">
      <c r="B74" s="15"/>
      <c r="C74" s="15" t="s">
        <v>98</v>
      </c>
      <c r="D74" s="15" t="s">
        <v>15</v>
      </c>
      <c r="E74" s="16">
        <v>0</v>
      </c>
      <c r="F74" s="16">
        <v>0</v>
      </c>
      <c r="G74" s="16">
        <v>0</v>
      </c>
      <c r="H74" s="16">
        <v>0</v>
      </c>
      <c r="I74" s="16">
        <v>15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5" t="s">
        <v>98</v>
      </c>
      <c r="P74" s="15" t="s">
        <v>15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f t="shared" si="4"/>
        <v>15</v>
      </c>
    </row>
    <row r="75" spans="1:25" ht="13.5" thickBot="1" x14ac:dyDescent="0.25">
      <c r="B75" s="10" t="s">
        <v>31</v>
      </c>
      <c r="C75" s="11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27"/>
      <c r="O75" s="10" t="s">
        <v>31</v>
      </c>
      <c r="P75" s="12"/>
      <c r="Q75" s="12"/>
      <c r="R75" s="33"/>
      <c r="S75" s="12"/>
      <c r="T75" s="12"/>
      <c r="U75" s="12"/>
      <c r="V75" s="12"/>
      <c r="W75" s="12"/>
      <c r="X75" s="12"/>
      <c r="Y75" s="12"/>
    </row>
    <row r="76" spans="1:25" ht="13.5" thickBot="1" x14ac:dyDescent="0.25">
      <c r="B76" s="39"/>
      <c r="C76" s="15" t="s">
        <v>82</v>
      </c>
      <c r="D76" s="15" t="s">
        <v>15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51</v>
      </c>
      <c r="K76" s="16">
        <v>85</v>
      </c>
      <c r="L76" s="16">
        <v>65</v>
      </c>
      <c r="M76" s="16">
        <v>1</v>
      </c>
      <c r="N76" s="16">
        <v>15</v>
      </c>
      <c r="O76" s="15" t="s">
        <v>82</v>
      </c>
      <c r="P76" s="15" t="s">
        <v>15</v>
      </c>
      <c r="Q76" s="16">
        <v>10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f t="shared" si="4"/>
        <v>227</v>
      </c>
    </row>
    <row r="77" spans="1:25" ht="15" customHeight="1" thickBot="1" x14ac:dyDescent="0.3">
      <c r="A77" s="6"/>
      <c r="B77" s="39"/>
      <c r="C77" s="15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6"/>
      <c r="R77" s="16"/>
      <c r="S77" s="16"/>
      <c r="T77" s="16"/>
      <c r="U77" s="16"/>
      <c r="V77" s="16"/>
      <c r="W77" s="16"/>
      <c r="X77" s="16"/>
      <c r="Y77" s="16">
        <f t="shared" si="4"/>
        <v>0</v>
      </c>
    </row>
    <row r="78" spans="1:25" ht="13.5" thickBot="1" x14ac:dyDescent="0.25">
      <c r="B78" s="10" t="s">
        <v>32</v>
      </c>
      <c r="C78" s="11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27"/>
      <c r="O78" s="10" t="s">
        <v>32</v>
      </c>
      <c r="P78" s="12"/>
      <c r="Q78" s="12"/>
      <c r="R78" s="33"/>
      <c r="S78" s="12"/>
      <c r="T78" s="12"/>
      <c r="U78" s="12"/>
      <c r="V78" s="12"/>
      <c r="W78" s="12"/>
      <c r="X78" s="12"/>
      <c r="Y78" s="12"/>
    </row>
    <row r="79" spans="1:25" ht="13.5" thickBot="1" x14ac:dyDescent="0.25">
      <c r="B79" s="39"/>
      <c r="C79" s="15" t="s">
        <v>81</v>
      </c>
      <c r="D79" s="15" t="s">
        <v>15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5" t="s">
        <v>81</v>
      </c>
      <c r="P79" s="15" t="s">
        <v>15</v>
      </c>
      <c r="Q79" s="16">
        <v>0</v>
      </c>
      <c r="R79" s="16">
        <v>12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f t="shared" si="4"/>
        <v>12</v>
      </c>
    </row>
    <row r="80" spans="1:25" ht="13.5" thickBot="1" x14ac:dyDescent="0.25">
      <c r="B80" s="10" t="s">
        <v>33</v>
      </c>
      <c r="C80" s="11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27"/>
      <c r="O80" s="10" t="s">
        <v>33</v>
      </c>
      <c r="P80" s="43"/>
      <c r="Q80" s="12"/>
      <c r="R80" s="46"/>
      <c r="S80" s="12"/>
      <c r="T80" s="12"/>
      <c r="U80" s="12"/>
      <c r="V80" s="12"/>
      <c r="W80" s="12"/>
      <c r="X80" s="12"/>
      <c r="Y80" s="12"/>
    </row>
    <row r="81" spans="2:84" ht="13.5" thickBot="1" x14ac:dyDescent="0.25">
      <c r="B81" s="39"/>
      <c r="C81" s="15" t="s">
        <v>109</v>
      </c>
      <c r="D81" s="15" t="s">
        <v>15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5" t="s">
        <v>109</v>
      </c>
      <c r="P81" s="15" t="s">
        <v>15</v>
      </c>
      <c r="Q81" s="16">
        <v>0</v>
      </c>
      <c r="R81" s="16">
        <v>0</v>
      </c>
      <c r="S81" s="16">
        <v>32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f t="shared" si="4"/>
        <v>32</v>
      </c>
    </row>
    <row r="82" spans="2:84" ht="13.5" thickBot="1" x14ac:dyDescent="0.25">
      <c r="B82" s="39"/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5"/>
      <c r="P82" s="15"/>
      <c r="Q82" s="16"/>
      <c r="R82" s="16"/>
      <c r="S82" s="16"/>
      <c r="T82" s="16"/>
      <c r="U82" s="16"/>
      <c r="V82" s="16"/>
      <c r="W82" s="16"/>
      <c r="X82" s="16"/>
      <c r="Y82" s="16">
        <f t="shared" si="4"/>
        <v>0</v>
      </c>
    </row>
    <row r="83" spans="2:84" ht="13.5" thickBot="1" x14ac:dyDescent="0.25">
      <c r="B83" s="39"/>
      <c r="C83" s="15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5"/>
      <c r="P83" s="14"/>
      <c r="Q83" s="16"/>
      <c r="R83" s="16"/>
      <c r="S83" s="16"/>
      <c r="T83" s="16"/>
      <c r="U83" s="16"/>
      <c r="V83" s="16"/>
      <c r="W83" s="16"/>
      <c r="X83" s="16"/>
      <c r="Y83" s="16">
        <f t="shared" si="4"/>
        <v>0</v>
      </c>
    </row>
    <row r="84" spans="2:84" ht="13.5" thickBot="1" x14ac:dyDescent="0.25">
      <c r="B84" s="10" t="s">
        <v>34</v>
      </c>
      <c r="C84" s="11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27"/>
      <c r="O84" s="10" t="s">
        <v>34</v>
      </c>
      <c r="P84" s="43"/>
      <c r="Q84" s="12"/>
      <c r="R84" s="46"/>
      <c r="S84" s="12"/>
      <c r="T84" s="12"/>
      <c r="U84" s="12"/>
      <c r="V84" s="12"/>
      <c r="W84" s="12"/>
      <c r="X84" s="12"/>
      <c r="Y84" s="12"/>
    </row>
    <row r="85" spans="2:84" ht="13.5" thickBot="1" x14ac:dyDescent="0.25">
      <c r="B85" s="39"/>
      <c r="C85" s="15" t="s">
        <v>110</v>
      </c>
      <c r="D85" s="15" t="s">
        <v>15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5" t="s">
        <v>110</v>
      </c>
      <c r="P85" s="15" t="s">
        <v>15</v>
      </c>
      <c r="Q85" s="16">
        <v>0</v>
      </c>
      <c r="R85" s="16">
        <v>0</v>
      </c>
      <c r="S85" s="16">
        <v>0</v>
      </c>
      <c r="T85" s="16">
        <v>17</v>
      </c>
      <c r="U85" s="16">
        <v>0</v>
      </c>
      <c r="V85" s="16">
        <v>0</v>
      </c>
      <c r="W85" s="16">
        <v>0</v>
      </c>
      <c r="X85" s="16">
        <v>0</v>
      </c>
      <c r="Y85" s="16">
        <f t="shared" si="4"/>
        <v>17</v>
      </c>
    </row>
    <row r="86" spans="2:84" ht="13.5" thickBot="1" x14ac:dyDescent="0.25">
      <c r="B86" s="10" t="s">
        <v>35</v>
      </c>
      <c r="C86" s="11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27"/>
      <c r="O86" s="10" t="s">
        <v>35</v>
      </c>
      <c r="P86" s="12"/>
      <c r="Q86" s="12"/>
      <c r="R86" s="46"/>
      <c r="S86" s="12"/>
      <c r="T86" s="12"/>
      <c r="U86" s="12"/>
      <c r="V86" s="12"/>
      <c r="W86" s="12"/>
      <c r="X86" s="12"/>
      <c r="Y86" s="12"/>
    </row>
    <row r="87" spans="2:84" ht="13.5" thickBot="1" x14ac:dyDescent="0.25">
      <c r="B87" s="39"/>
      <c r="C87" s="15"/>
      <c r="D87" s="15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5"/>
      <c r="P87" s="15"/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f t="shared" si="4"/>
        <v>0</v>
      </c>
    </row>
    <row r="88" spans="2:84" ht="13.5" thickBot="1" x14ac:dyDescent="0.25">
      <c r="B88" s="39"/>
      <c r="C88" s="15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6"/>
      <c r="R88" s="16"/>
      <c r="S88" s="16"/>
      <c r="T88" s="16"/>
      <c r="U88" s="16"/>
      <c r="V88" s="16"/>
      <c r="W88" s="16"/>
      <c r="X88" s="16"/>
      <c r="Y88" s="16">
        <f>E88+F88+G88+H88+I88+J88+K88+L88+M88+N88+Q88+R88+S88+T88+U88+V88+W88+X88</f>
        <v>0</v>
      </c>
    </row>
    <row r="89" spans="2:84" ht="13.5" thickBot="1" x14ac:dyDescent="0.25">
      <c r="B89" s="10" t="s">
        <v>36</v>
      </c>
      <c r="C89" s="11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27"/>
      <c r="O89" s="10" t="s">
        <v>36</v>
      </c>
      <c r="P89" s="12"/>
      <c r="Q89" s="12"/>
      <c r="R89" s="46"/>
      <c r="S89" s="12"/>
      <c r="T89" s="12"/>
      <c r="U89" s="12"/>
      <c r="V89" s="12"/>
      <c r="W89" s="12"/>
      <c r="X89" s="12"/>
      <c r="Y89" s="12"/>
    </row>
    <row r="90" spans="2:84" ht="13.5" thickBot="1" x14ac:dyDescent="0.25">
      <c r="B90" s="21"/>
      <c r="C90" s="15"/>
      <c r="D90" s="15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5"/>
      <c r="P90" s="15"/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f t="shared" si="4"/>
        <v>0</v>
      </c>
    </row>
    <row r="91" spans="2:84" ht="13.5" thickBot="1" x14ac:dyDescent="0.25">
      <c r="B91" s="10" t="s">
        <v>37</v>
      </c>
      <c r="C91" s="11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27"/>
      <c r="O91" s="10" t="s">
        <v>37</v>
      </c>
      <c r="P91" s="12"/>
      <c r="Q91" s="12"/>
      <c r="R91" s="46"/>
      <c r="S91" s="12"/>
      <c r="T91" s="12"/>
      <c r="U91" s="12"/>
      <c r="V91" s="12"/>
      <c r="W91" s="12"/>
      <c r="X91" s="12"/>
      <c r="Y91" s="12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</row>
    <row r="92" spans="2:84" ht="13.5" thickBot="1" x14ac:dyDescent="0.25">
      <c r="B92" s="21"/>
      <c r="C92" s="38" t="s">
        <v>80</v>
      </c>
      <c r="D92" s="14" t="s">
        <v>15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38" t="s">
        <v>80</v>
      </c>
      <c r="P92" s="14" t="s">
        <v>15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29</v>
      </c>
      <c r="X92" s="16">
        <v>0</v>
      </c>
      <c r="Y92" s="16">
        <f t="shared" si="4"/>
        <v>29</v>
      </c>
    </row>
    <row r="93" spans="2:84" ht="13.5" thickBot="1" x14ac:dyDescent="0.25">
      <c r="B93" s="21"/>
      <c r="C93" s="38"/>
      <c r="D93" s="1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4"/>
      <c r="Q93" s="16"/>
      <c r="R93" s="16"/>
      <c r="S93" s="16"/>
      <c r="T93" s="16"/>
      <c r="U93" s="16"/>
      <c r="V93" s="16"/>
      <c r="W93" s="16"/>
      <c r="X93" s="16"/>
      <c r="Y93" s="16">
        <f t="shared" si="4"/>
        <v>0</v>
      </c>
    </row>
    <row r="94" spans="2:84" ht="13.5" thickBot="1" x14ac:dyDescent="0.25">
      <c r="B94" s="10" t="s">
        <v>38</v>
      </c>
      <c r="C94" s="11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27"/>
      <c r="O94" s="10" t="s">
        <v>38</v>
      </c>
      <c r="P94" s="12"/>
      <c r="Q94" s="12"/>
      <c r="R94" s="46"/>
      <c r="S94" s="12"/>
      <c r="T94" s="12"/>
      <c r="U94" s="12"/>
      <c r="V94" s="12"/>
      <c r="W94" s="12"/>
      <c r="X94" s="12"/>
      <c r="Y94" s="12"/>
    </row>
    <row r="95" spans="2:84" ht="13.5" thickBot="1" x14ac:dyDescent="0.25">
      <c r="B95" s="21"/>
      <c r="C95" s="38" t="s">
        <v>79</v>
      </c>
      <c r="D95" s="15" t="s">
        <v>15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38" t="s">
        <v>79</v>
      </c>
      <c r="P95" s="15" t="s">
        <v>15</v>
      </c>
      <c r="Q95" s="32">
        <v>0</v>
      </c>
      <c r="R95" s="32">
        <v>0</v>
      </c>
      <c r="S95" s="32">
        <v>0</v>
      </c>
      <c r="T95" s="16">
        <v>0</v>
      </c>
      <c r="U95" s="16">
        <v>0</v>
      </c>
      <c r="V95" s="16">
        <v>0</v>
      </c>
      <c r="W95" s="16">
        <v>0</v>
      </c>
      <c r="X95" s="16">
        <v>46</v>
      </c>
      <c r="Y95" s="16">
        <f t="shared" si="4"/>
        <v>46</v>
      </c>
    </row>
    <row r="96" spans="2:84" ht="27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7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8.5" thickBot="1" x14ac:dyDescent="0.45"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2"/>
      <c r="S98" s="1"/>
      <c r="T98" s="1"/>
      <c r="U98" s="1"/>
      <c r="V98" s="1"/>
      <c r="W98" s="1"/>
      <c r="X98" s="1"/>
      <c r="Y98" s="1"/>
    </row>
    <row r="99" spans="2:25" ht="101.25" thickBot="1" x14ac:dyDescent="0.25">
      <c r="B99" s="8" t="s">
        <v>0</v>
      </c>
      <c r="C99" s="8" t="s">
        <v>1</v>
      </c>
      <c r="D99" s="8"/>
      <c r="E99" s="9" t="s">
        <v>3</v>
      </c>
      <c r="F99" s="9" t="s">
        <v>4</v>
      </c>
      <c r="G99" s="9" t="s">
        <v>5</v>
      </c>
      <c r="H99" s="9" t="s">
        <v>6</v>
      </c>
      <c r="I99" s="9" t="s">
        <v>7</v>
      </c>
      <c r="J99" s="9" t="s">
        <v>41</v>
      </c>
      <c r="K99" s="9" t="s">
        <v>42</v>
      </c>
      <c r="L99" s="9" t="s">
        <v>43</v>
      </c>
      <c r="M99" s="31" t="s">
        <v>44</v>
      </c>
      <c r="N99" s="9" t="s">
        <v>45</v>
      </c>
      <c r="O99" s="42" t="s">
        <v>1</v>
      </c>
      <c r="P99" s="8" t="s">
        <v>2</v>
      </c>
      <c r="Q99" s="9" t="s">
        <v>46</v>
      </c>
      <c r="R99" s="9" t="s">
        <v>8</v>
      </c>
      <c r="S99" s="9" t="s">
        <v>9</v>
      </c>
      <c r="T99" s="9" t="s">
        <v>10</v>
      </c>
      <c r="U99" s="9" t="s">
        <v>47</v>
      </c>
      <c r="V99" s="9" t="s">
        <v>11</v>
      </c>
      <c r="W99" s="9" t="s">
        <v>12</v>
      </c>
      <c r="X99" s="9" t="s">
        <v>13</v>
      </c>
      <c r="Y99" s="9" t="s">
        <v>14</v>
      </c>
    </row>
    <row r="100" spans="2:25" x14ac:dyDescent="0.2">
      <c r="B100" s="22" t="s">
        <v>85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5"/>
      <c r="O100" s="22" t="s">
        <v>85</v>
      </c>
      <c r="P100" s="24"/>
      <c r="Q100" s="23"/>
      <c r="R100" s="23"/>
      <c r="S100" s="24"/>
      <c r="T100" s="23"/>
      <c r="U100" s="23"/>
      <c r="V100" s="23"/>
      <c r="W100" s="23"/>
      <c r="X100" s="23"/>
      <c r="Y100" s="23"/>
    </row>
    <row r="101" spans="2:25" ht="13.5" thickBot="1" x14ac:dyDescent="0.25">
      <c r="B101" s="17" t="s">
        <v>26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0"/>
      <c r="O101" s="17" t="s">
        <v>26</v>
      </c>
      <c r="P101" s="19"/>
      <c r="Q101" s="18"/>
      <c r="R101" s="34"/>
      <c r="S101" s="19"/>
      <c r="T101" s="18"/>
      <c r="U101" s="18"/>
      <c r="V101" s="18"/>
      <c r="W101" s="18"/>
      <c r="X101" s="18"/>
      <c r="Y101" s="18"/>
    </row>
    <row r="102" spans="2:25" ht="13.5" thickBot="1" x14ac:dyDescent="0.25">
      <c r="B102" s="21"/>
      <c r="C102" s="15" t="s">
        <v>97</v>
      </c>
      <c r="D102" s="15" t="s">
        <v>15</v>
      </c>
      <c r="E102" s="16">
        <v>10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5" t="s">
        <v>97</v>
      </c>
      <c r="P102" s="15" t="s">
        <v>15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f t="shared" ref="Y102:Y113" si="6">E102+F102+G102+H102+I102+J102+K102+L102+M102+N102+Q102+R102+S102+T102+U102+V102+W102+X102</f>
        <v>10</v>
      </c>
    </row>
    <row r="103" spans="2:25" ht="13.5" thickBot="1" x14ac:dyDescent="0.25">
      <c r="B103" s="39"/>
      <c r="C103" s="15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5"/>
      <c r="P103" s="15"/>
      <c r="Q103" s="16"/>
      <c r="R103" s="16"/>
      <c r="S103" s="16"/>
      <c r="T103" s="16"/>
      <c r="U103" s="16"/>
      <c r="V103" s="16"/>
      <c r="W103" s="16"/>
      <c r="X103" s="16"/>
      <c r="Y103" s="16">
        <f t="shared" si="6"/>
        <v>0</v>
      </c>
    </row>
    <row r="104" spans="2:25" ht="13.5" thickBot="1" x14ac:dyDescent="0.25">
      <c r="B104" s="10" t="s">
        <v>27</v>
      </c>
      <c r="C104" s="11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27"/>
      <c r="O104" s="10" t="s">
        <v>27</v>
      </c>
      <c r="P104" s="12"/>
      <c r="Q104" s="12"/>
      <c r="R104" s="33"/>
      <c r="S104" s="12"/>
      <c r="T104" s="12"/>
      <c r="U104" s="12"/>
      <c r="V104" s="12"/>
      <c r="W104" s="12"/>
      <c r="X104" s="12"/>
      <c r="Y104" s="12"/>
    </row>
    <row r="105" spans="2:25" ht="13.5" thickBot="1" x14ac:dyDescent="0.25">
      <c r="B105" s="21"/>
      <c r="C105" s="15" t="s">
        <v>86</v>
      </c>
      <c r="D105" s="15" t="s">
        <v>15</v>
      </c>
      <c r="E105" s="16">
        <v>0</v>
      </c>
      <c r="F105" s="16">
        <v>14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5" t="s">
        <v>86</v>
      </c>
      <c r="P105" s="15" t="s">
        <v>15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f t="shared" ref="Y105" si="7">E105+F105+G105+H105+I105+J105+K105+L105+M105+N105+Q105+R105+S105+T105+U105+V105+W105+X105</f>
        <v>14</v>
      </c>
    </row>
    <row r="106" spans="2:25" ht="13.5" thickBot="1" x14ac:dyDescent="0.25">
      <c r="B106" s="21"/>
      <c r="C106" s="15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5"/>
      <c r="P106" s="15"/>
      <c r="Q106" s="16"/>
      <c r="R106" s="16"/>
      <c r="S106" s="16"/>
      <c r="T106" s="16"/>
      <c r="U106" s="16"/>
      <c r="V106" s="16"/>
      <c r="W106" s="16"/>
      <c r="X106" s="16"/>
      <c r="Y106" s="16">
        <f t="shared" si="6"/>
        <v>0</v>
      </c>
    </row>
    <row r="107" spans="2:25" ht="13.5" thickBot="1" x14ac:dyDescent="0.25">
      <c r="B107" s="10" t="s">
        <v>28</v>
      </c>
      <c r="C107" s="11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27"/>
      <c r="O107" s="10" t="s">
        <v>28</v>
      </c>
      <c r="P107" s="12"/>
      <c r="Q107" s="12"/>
      <c r="R107" s="33"/>
      <c r="S107" s="12"/>
      <c r="T107" s="12"/>
      <c r="U107" s="12"/>
      <c r="V107" s="12"/>
      <c r="W107" s="12"/>
      <c r="X107" s="12"/>
      <c r="Y107" s="12"/>
    </row>
    <row r="108" spans="2:25" ht="13.5" thickBot="1" x14ac:dyDescent="0.25">
      <c r="B108" s="21"/>
      <c r="C108" s="15" t="s">
        <v>87</v>
      </c>
      <c r="D108" s="15" t="s">
        <v>15</v>
      </c>
      <c r="E108" s="16">
        <v>0</v>
      </c>
      <c r="F108" s="16">
        <v>0</v>
      </c>
      <c r="G108" s="16">
        <v>19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5" t="s">
        <v>88</v>
      </c>
      <c r="P108" s="15" t="s">
        <v>15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f t="shared" si="6"/>
        <v>19</v>
      </c>
    </row>
    <row r="109" spans="2:25" ht="13.5" thickBot="1" x14ac:dyDescent="0.25">
      <c r="B109" s="21"/>
      <c r="C109" s="15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5"/>
      <c r="P109" s="15"/>
      <c r="Q109" s="16"/>
      <c r="R109" s="16"/>
      <c r="S109" s="16"/>
      <c r="T109" s="16"/>
      <c r="U109" s="16"/>
      <c r="V109" s="16"/>
      <c r="W109" s="16"/>
      <c r="X109" s="16"/>
      <c r="Y109" s="16">
        <f t="shared" si="6"/>
        <v>0</v>
      </c>
    </row>
    <row r="110" spans="2:25" ht="13.5" thickBot="1" x14ac:dyDescent="0.25">
      <c r="B110" s="10" t="s">
        <v>29</v>
      </c>
      <c r="C110" s="11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27"/>
      <c r="O110" s="10" t="s">
        <v>29</v>
      </c>
      <c r="P110" s="12"/>
      <c r="Q110" s="12"/>
      <c r="R110" s="33"/>
      <c r="S110" s="12"/>
      <c r="T110" s="12"/>
      <c r="U110" s="12"/>
      <c r="V110" s="12"/>
      <c r="W110" s="12"/>
      <c r="X110" s="12"/>
      <c r="Y110" s="12"/>
    </row>
    <row r="111" spans="2:25" ht="13.5" thickBot="1" x14ac:dyDescent="0.25">
      <c r="B111" s="21"/>
      <c r="C111" s="15" t="s">
        <v>89</v>
      </c>
      <c r="D111" s="15" t="s">
        <v>15</v>
      </c>
      <c r="E111" s="16">
        <v>0</v>
      </c>
      <c r="F111" s="16">
        <v>0</v>
      </c>
      <c r="G111" s="16">
        <v>0</v>
      </c>
      <c r="H111" s="16">
        <v>16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5" t="s">
        <v>89</v>
      </c>
      <c r="P111" s="15" t="s">
        <v>15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f t="shared" si="6"/>
        <v>16</v>
      </c>
    </row>
    <row r="112" spans="2:25" ht="13.5" thickBot="1" x14ac:dyDescent="0.25">
      <c r="B112" s="10" t="s">
        <v>30</v>
      </c>
      <c r="C112" s="11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27"/>
      <c r="O112" s="10" t="s">
        <v>30</v>
      </c>
      <c r="P112" s="12"/>
      <c r="Q112" s="12"/>
      <c r="R112" s="33"/>
      <c r="S112" s="12"/>
      <c r="T112" s="12"/>
      <c r="U112" s="12"/>
      <c r="V112" s="12"/>
      <c r="W112" s="12"/>
      <c r="X112" s="12"/>
      <c r="Y112" s="12"/>
    </row>
    <row r="113" spans="2:25" ht="13.5" thickBot="1" x14ac:dyDescent="0.25">
      <c r="B113" s="39"/>
      <c r="C113" s="15" t="s">
        <v>52</v>
      </c>
      <c r="D113" s="15" t="s">
        <v>15</v>
      </c>
      <c r="E113" s="16">
        <v>0</v>
      </c>
      <c r="F113" s="16">
        <v>0</v>
      </c>
      <c r="G113" s="16">
        <v>0</v>
      </c>
      <c r="H113" s="16">
        <v>0</v>
      </c>
      <c r="I113" s="16">
        <v>12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5" t="s">
        <v>52</v>
      </c>
      <c r="P113" s="15" t="s">
        <v>15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f t="shared" si="6"/>
        <v>12</v>
      </c>
    </row>
    <row r="114" spans="2:25" ht="13.5" thickBot="1" x14ac:dyDescent="0.25">
      <c r="B114" s="10" t="s">
        <v>31</v>
      </c>
      <c r="C114" s="11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27"/>
      <c r="O114" s="10" t="s">
        <v>31</v>
      </c>
      <c r="P114" s="12"/>
      <c r="Q114" s="12"/>
      <c r="R114" s="33"/>
      <c r="S114" s="12"/>
      <c r="T114" s="12"/>
      <c r="U114" s="12"/>
      <c r="V114" s="12"/>
      <c r="W114" s="12"/>
      <c r="X114" s="12"/>
      <c r="Y114" s="12"/>
    </row>
    <row r="115" spans="2:25" ht="13.5" thickBot="1" x14ac:dyDescent="0.25">
      <c r="B115" s="39"/>
      <c r="C115" s="15" t="s">
        <v>90</v>
      </c>
      <c r="D115" s="15" t="s">
        <v>15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49</v>
      </c>
      <c r="K115" s="16">
        <v>86</v>
      </c>
      <c r="L115" s="16">
        <v>66</v>
      </c>
      <c r="M115" s="16">
        <v>2</v>
      </c>
      <c r="N115" s="16">
        <v>17</v>
      </c>
      <c r="O115" s="15" t="s">
        <v>90</v>
      </c>
      <c r="P115" s="15" t="s">
        <v>15</v>
      </c>
      <c r="Q115" s="16">
        <v>10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f>E115+F115+G115+H115+I115+J115+K115+L115+M115+N115+Q115+R115+S115+T115+U115+V115+W115+X115</f>
        <v>230</v>
      </c>
    </row>
    <row r="116" spans="2:25" ht="13.5" thickBot="1" x14ac:dyDescent="0.25">
      <c r="B116" s="10" t="s">
        <v>32</v>
      </c>
      <c r="C116" s="11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27"/>
      <c r="O116" s="10" t="s">
        <v>32</v>
      </c>
      <c r="P116" s="12"/>
      <c r="Q116" s="12"/>
      <c r="R116" s="33"/>
      <c r="S116" s="12"/>
      <c r="T116" s="12"/>
      <c r="U116" s="12"/>
      <c r="V116" s="12"/>
      <c r="W116" s="12"/>
      <c r="X116" s="12"/>
      <c r="Y116" s="12"/>
    </row>
    <row r="117" spans="2:25" ht="13.5" thickBot="1" x14ac:dyDescent="0.25">
      <c r="B117" s="39"/>
      <c r="C117" s="15"/>
      <c r="D117" s="15"/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5"/>
      <c r="P117" s="14"/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f>E117+F117+G117+H117+I117+J117+K117+L117+M117+N117+Q117+R117+S117+T117+U117+V117+W117+X117</f>
        <v>0</v>
      </c>
    </row>
    <row r="118" spans="2:25" ht="13.5" thickBot="1" x14ac:dyDescent="0.25">
      <c r="B118" s="10" t="s">
        <v>33</v>
      </c>
      <c r="C118" s="11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27"/>
      <c r="O118" s="10" t="s">
        <v>33</v>
      </c>
      <c r="P118" s="43"/>
      <c r="Q118" s="12"/>
      <c r="R118" s="46"/>
      <c r="S118" s="12"/>
      <c r="T118" s="12"/>
      <c r="U118" s="12"/>
      <c r="V118" s="12"/>
      <c r="W118" s="12"/>
      <c r="X118" s="12"/>
      <c r="Y118" s="12"/>
    </row>
    <row r="119" spans="2:25" ht="13.5" thickBot="1" x14ac:dyDescent="0.25">
      <c r="B119" s="39"/>
      <c r="C119" s="15" t="s">
        <v>91</v>
      </c>
      <c r="D119" s="15" t="s">
        <v>15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5" t="s">
        <v>91</v>
      </c>
      <c r="P119" s="15" t="s">
        <v>15</v>
      </c>
      <c r="Q119" s="16">
        <v>0</v>
      </c>
      <c r="R119" s="16">
        <v>0</v>
      </c>
      <c r="S119" s="16">
        <v>30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f t="shared" ref="Y119:Y133" si="8">E119+F119+G119+H119+I119+J119+K119+L119+M119+N119+Q119+R119+S119+T119+U119+V119+W119+X119</f>
        <v>30</v>
      </c>
    </row>
    <row r="120" spans="2:25" ht="13.5" thickBot="1" x14ac:dyDescent="0.25">
      <c r="B120" s="39"/>
      <c r="C120" s="15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/>
      <c r="P120" s="15"/>
      <c r="Q120" s="16"/>
      <c r="R120" s="16"/>
      <c r="S120" s="16"/>
      <c r="T120" s="16"/>
      <c r="U120" s="16"/>
      <c r="V120" s="16"/>
      <c r="W120" s="16"/>
      <c r="X120" s="16"/>
      <c r="Y120" s="16">
        <f t="shared" si="8"/>
        <v>0</v>
      </c>
    </row>
    <row r="121" spans="2:25" ht="13.5" thickBot="1" x14ac:dyDescent="0.25">
      <c r="B121" s="39"/>
      <c r="C121" s="15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5"/>
      <c r="P121" s="14"/>
      <c r="Q121" s="16"/>
      <c r="R121" s="16"/>
      <c r="S121" s="16"/>
      <c r="T121" s="16"/>
      <c r="U121" s="16"/>
      <c r="V121" s="16"/>
      <c r="W121" s="16"/>
      <c r="X121" s="16"/>
      <c r="Y121" s="16">
        <f t="shared" si="8"/>
        <v>0</v>
      </c>
    </row>
    <row r="122" spans="2:25" ht="13.5" thickBot="1" x14ac:dyDescent="0.25">
      <c r="B122" s="10" t="s">
        <v>34</v>
      </c>
      <c r="C122" s="11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27"/>
      <c r="O122" s="10" t="s">
        <v>34</v>
      </c>
      <c r="P122" s="43"/>
      <c r="Q122" s="12"/>
      <c r="R122" s="46"/>
      <c r="S122" s="12"/>
      <c r="T122" s="12"/>
      <c r="U122" s="12"/>
      <c r="V122" s="12"/>
      <c r="W122" s="12"/>
      <c r="X122" s="12"/>
      <c r="Y122" s="12"/>
    </row>
    <row r="123" spans="2:25" ht="13.5" thickBot="1" x14ac:dyDescent="0.25">
      <c r="B123" s="39"/>
      <c r="C123" s="15" t="s">
        <v>92</v>
      </c>
      <c r="D123" s="15" t="s">
        <v>15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5" t="s">
        <v>92</v>
      </c>
      <c r="P123" s="15" t="s">
        <v>15</v>
      </c>
      <c r="Q123" s="16">
        <v>0</v>
      </c>
      <c r="R123" s="16">
        <v>0</v>
      </c>
      <c r="S123" s="16">
        <v>0</v>
      </c>
      <c r="T123" s="16">
        <v>14</v>
      </c>
      <c r="U123" s="16">
        <v>0</v>
      </c>
      <c r="V123" s="16">
        <v>0</v>
      </c>
      <c r="W123" s="16">
        <v>0</v>
      </c>
      <c r="X123" s="16">
        <v>0</v>
      </c>
      <c r="Y123" s="16">
        <f t="shared" si="8"/>
        <v>14</v>
      </c>
    </row>
    <row r="124" spans="2:25" ht="13.5" thickBot="1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2:25" ht="13.5" thickBot="1" x14ac:dyDescent="0.25">
      <c r="B125" s="10" t="s">
        <v>35</v>
      </c>
      <c r="C125" s="11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27"/>
      <c r="O125" s="10" t="s">
        <v>35</v>
      </c>
      <c r="P125" s="12"/>
      <c r="Q125" s="12"/>
      <c r="R125" s="46"/>
      <c r="S125" s="12"/>
      <c r="T125" s="12"/>
      <c r="U125" s="12"/>
      <c r="V125" s="12"/>
      <c r="W125" s="12"/>
      <c r="X125" s="12"/>
      <c r="Y125" s="12"/>
    </row>
    <row r="126" spans="2:25" ht="13.5" thickBot="1" x14ac:dyDescent="0.25">
      <c r="B126" s="39"/>
      <c r="C126" s="15" t="s">
        <v>94</v>
      </c>
      <c r="D126" s="15" t="s">
        <v>16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5" t="s">
        <v>94</v>
      </c>
      <c r="P126" s="15" t="s">
        <v>16</v>
      </c>
      <c r="Q126" s="16">
        <v>0</v>
      </c>
      <c r="R126" s="16">
        <v>0</v>
      </c>
      <c r="S126" s="16">
        <v>0</v>
      </c>
      <c r="T126" s="16">
        <v>0</v>
      </c>
      <c r="U126" s="16">
        <v>5</v>
      </c>
      <c r="V126" s="16">
        <v>0</v>
      </c>
      <c r="W126" s="16">
        <v>0</v>
      </c>
      <c r="X126" s="16">
        <v>0</v>
      </c>
      <c r="Y126" s="16">
        <f t="shared" si="8"/>
        <v>5</v>
      </c>
    </row>
    <row r="127" spans="2:25" ht="13.5" thickBot="1" x14ac:dyDescent="0.25">
      <c r="B127" s="10" t="s">
        <v>36</v>
      </c>
      <c r="C127" s="11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27"/>
      <c r="O127" s="10" t="s">
        <v>36</v>
      </c>
      <c r="P127" s="12"/>
      <c r="Q127" s="12"/>
      <c r="R127" s="46"/>
      <c r="S127" s="12"/>
      <c r="T127" s="12"/>
      <c r="U127" s="12"/>
      <c r="V127" s="12"/>
      <c r="W127" s="12"/>
      <c r="X127" s="12"/>
      <c r="Y127" s="12"/>
    </row>
    <row r="128" spans="2:25" ht="13.5" thickBot="1" x14ac:dyDescent="0.25">
      <c r="B128" s="21"/>
      <c r="C128" s="15" t="s">
        <v>111</v>
      </c>
      <c r="D128" s="15" t="s">
        <v>15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5" t="s">
        <v>112</v>
      </c>
      <c r="P128" s="15" t="s">
        <v>15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6</v>
      </c>
      <c r="W128" s="16">
        <v>0</v>
      </c>
      <c r="X128" s="16">
        <v>0</v>
      </c>
      <c r="Y128" s="16">
        <f t="shared" si="8"/>
        <v>6</v>
      </c>
    </row>
    <row r="129" spans="2:84" ht="13.5" thickBot="1" x14ac:dyDescent="0.25">
      <c r="B129" s="10" t="s">
        <v>37</v>
      </c>
      <c r="C129" s="11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27"/>
      <c r="O129" s="10" t="s">
        <v>37</v>
      </c>
      <c r="P129" s="12"/>
      <c r="Q129" s="12"/>
      <c r="R129" s="46"/>
      <c r="S129" s="12"/>
      <c r="T129" s="12"/>
      <c r="U129" s="12"/>
      <c r="V129" s="12"/>
      <c r="W129" s="12"/>
      <c r="X129" s="12"/>
      <c r="Y129" s="12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</row>
    <row r="130" spans="2:84" ht="13.5" thickBot="1" x14ac:dyDescent="0.25">
      <c r="B130" s="21"/>
      <c r="C130" s="38" t="s">
        <v>93</v>
      </c>
      <c r="D130" s="14" t="s">
        <v>15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38" t="s">
        <v>93</v>
      </c>
      <c r="P130" s="14" t="s">
        <v>15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25</v>
      </c>
      <c r="X130" s="16">
        <v>0</v>
      </c>
      <c r="Y130" s="16">
        <f t="shared" si="8"/>
        <v>25</v>
      </c>
    </row>
    <row r="131" spans="2:84" ht="13.5" thickBot="1" x14ac:dyDescent="0.25">
      <c r="B131" s="21"/>
      <c r="C131" s="38"/>
      <c r="D131" s="1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38"/>
      <c r="P131" s="14"/>
      <c r="Q131" s="16"/>
      <c r="R131" s="16"/>
      <c r="S131" s="16"/>
      <c r="T131" s="16"/>
      <c r="U131" s="16"/>
      <c r="V131" s="16"/>
      <c r="W131" s="16"/>
      <c r="X131" s="16"/>
      <c r="Y131" s="16">
        <f t="shared" si="8"/>
        <v>0</v>
      </c>
    </row>
    <row r="132" spans="2:84" ht="13.5" thickBot="1" x14ac:dyDescent="0.25">
      <c r="B132" s="10" t="s">
        <v>38</v>
      </c>
      <c r="C132" s="11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27"/>
      <c r="O132" s="10" t="s">
        <v>38</v>
      </c>
      <c r="P132" s="12"/>
      <c r="Q132" s="12"/>
      <c r="R132" s="46"/>
      <c r="S132" s="12"/>
      <c r="T132" s="12"/>
      <c r="U132" s="12"/>
      <c r="V132" s="12"/>
      <c r="W132" s="12"/>
      <c r="X132" s="12"/>
      <c r="Y132" s="12"/>
    </row>
    <row r="133" spans="2:84" ht="13.5" thickBot="1" x14ac:dyDescent="0.25">
      <c r="B133" s="21"/>
      <c r="C133" s="38" t="s">
        <v>113</v>
      </c>
      <c r="D133" s="14" t="s">
        <v>15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38" t="s">
        <v>113</v>
      </c>
      <c r="P133" s="14" t="s">
        <v>15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51</v>
      </c>
      <c r="Y133" s="16">
        <f t="shared" si="8"/>
        <v>51</v>
      </c>
    </row>
    <row r="134" spans="2:84" ht="13.5" thickBot="1" x14ac:dyDescent="0.25">
      <c r="B134" s="21"/>
      <c r="C134" s="38"/>
      <c r="D134" s="32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38"/>
      <c r="P134" s="32"/>
      <c r="Q134" s="16"/>
      <c r="R134" s="16"/>
      <c r="S134" s="16"/>
      <c r="T134" s="16"/>
      <c r="U134" s="16"/>
      <c r="V134" s="16"/>
      <c r="W134" s="16"/>
      <c r="X134" s="16"/>
      <c r="Y134" s="16">
        <f>SUM(H134:X134)</f>
        <v>0</v>
      </c>
    </row>
    <row r="135" spans="2:84" ht="27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84" ht="27.75" x14ac:dyDescent="0.4"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"/>
      <c r="S136" s="1"/>
      <c r="T136" s="1"/>
      <c r="U136" s="1"/>
      <c r="V136" s="1"/>
      <c r="W136" s="1"/>
      <c r="X136" s="1"/>
      <c r="Y136" s="1"/>
    </row>
    <row r="137" spans="2:84" ht="15.75" x14ac:dyDescent="0.25">
      <c r="B137" s="3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6"/>
      <c r="Q137" s="4"/>
      <c r="R137" s="4"/>
      <c r="S137" s="36"/>
      <c r="T137" s="4"/>
      <c r="U137" s="4"/>
      <c r="V137" s="4"/>
      <c r="W137" s="4"/>
      <c r="X137" s="4"/>
      <c r="Y137" s="5"/>
    </row>
    <row r="138" spans="2:84" ht="15.75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6"/>
      <c r="Q138" s="4"/>
      <c r="R138" s="4"/>
      <c r="S138" s="36"/>
      <c r="T138" s="4"/>
      <c r="U138" s="4"/>
      <c r="V138" s="4"/>
      <c r="W138" s="4"/>
      <c r="X138" s="4"/>
      <c r="Y138" s="5"/>
    </row>
    <row r="139" spans="2:84" ht="16.5" thickBot="1" x14ac:dyDescent="0.3">
      <c r="B139" s="4"/>
      <c r="C139" s="4"/>
      <c r="D139" s="4"/>
      <c r="E139" s="4"/>
      <c r="F139" s="4"/>
      <c r="Y139" s="5"/>
    </row>
    <row r="140" spans="2:84" ht="101.25" thickBot="1" x14ac:dyDescent="0.25">
      <c r="B140" s="8" t="s">
        <v>0</v>
      </c>
      <c r="C140" s="8" t="s">
        <v>1</v>
      </c>
      <c r="D140" s="8"/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9" t="s">
        <v>41</v>
      </c>
      <c r="K140" s="9" t="s">
        <v>42</v>
      </c>
      <c r="L140" s="9" t="s">
        <v>43</v>
      </c>
      <c r="M140" s="31" t="s">
        <v>44</v>
      </c>
      <c r="N140" s="9" t="s">
        <v>45</v>
      </c>
      <c r="O140" s="42" t="s">
        <v>1</v>
      </c>
      <c r="P140" s="8" t="s">
        <v>2</v>
      </c>
      <c r="Q140" s="9" t="s">
        <v>46</v>
      </c>
      <c r="R140" s="9" t="s">
        <v>8</v>
      </c>
      <c r="S140" s="9" t="s">
        <v>9</v>
      </c>
      <c r="T140" s="9" t="s">
        <v>10</v>
      </c>
      <c r="U140" s="9" t="s">
        <v>47</v>
      </c>
      <c r="V140" s="9" t="s">
        <v>11</v>
      </c>
      <c r="W140" s="9" t="s">
        <v>12</v>
      </c>
      <c r="X140" s="9" t="s">
        <v>13</v>
      </c>
      <c r="Y140" s="9" t="s">
        <v>14</v>
      </c>
    </row>
    <row r="141" spans="2:84" x14ac:dyDescent="0.2">
      <c r="B141" s="22" t="s">
        <v>114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5"/>
      <c r="O141" s="22" t="s">
        <v>114</v>
      </c>
      <c r="P141" s="24"/>
      <c r="Q141" s="23"/>
      <c r="R141" s="23"/>
      <c r="S141" s="24"/>
      <c r="T141" s="23"/>
      <c r="U141" s="23"/>
      <c r="V141" s="23"/>
      <c r="W141" s="23"/>
      <c r="X141" s="23"/>
      <c r="Y141" s="53"/>
    </row>
    <row r="142" spans="2:84" ht="13.5" thickBot="1" x14ac:dyDescent="0.25">
      <c r="B142" s="17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20"/>
      <c r="O142" s="17"/>
      <c r="P142" s="19"/>
      <c r="Q142" s="18"/>
      <c r="R142" s="34"/>
      <c r="S142" s="19"/>
      <c r="T142" s="18"/>
      <c r="U142" s="18"/>
      <c r="V142" s="18"/>
      <c r="W142" s="18"/>
      <c r="X142" s="18"/>
      <c r="Y142" s="54"/>
    </row>
    <row r="143" spans="2:84" ht="13.5" thickBot="1" x14ac:dyDescent="0.25">
      <c r="B143" s="21"/>
      <c r="C143" s="15"/>
      <c r="D143" s="15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5"/>
      <c r="P143" s="15"/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32">
        <v>0</v>
      </c>
      <c r="Y143" s="16">
        <f t="shared" ref="Y143:Y174" si="9">E143+F143+G143+H143+I143+J143+K143+L143+M143+N143+Q143+R143+S143+T143+U143+V143+W143+X143</f>
        <v>0</v>
      </c>
    </row>
    <row r="144" spans="2:84" ht="13.5" thickBot="1" x14ac:dyDescent="0.25">
      <c r="B144" s="39"/>
      <c r="C144" s="15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5"/>
      <c r="P144" s="15"/>
      <c r="Q144" s="16"/>
      <c r="R144" s="16"/>
      <c r="S144" s="16"/>
      <c r="T144" s="16"/>
      <c r="U144" s="16"/>
      <c r="V144" s="16"/>
      <c r="W144" s="16"/>
      <c r="X144" s="32"/>
      <c r="Y144" s="16">
        <f t="shared" si="9"/>
        <v>0</v>
      </c>
    </row>
    <row r="145" spans="2:25" ht="13.5" thickBot="1" x14ac:dyDescent="0.2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6">
        <f t="shared" si="9"/>
        <v>0</v>
      </c>
    </row>
    <row r="146" spans="2:25" ht="13.5" thickBot="1" x14ac:dyDescent="0.25">
      <c r="B146" s="21"/>
      <c r="C146" s="15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5"/>
      <c r="P146" s="15"/>
      <c r="Q146" s="16"/>
      <c r="R146" s="16"/>
      <c r="S146" s="16"/>
      <c r="T146" s="16"/>
      <c r="U146" s="16"/>
      <c r="V146" s="16"/>
      <c r="W146" s="16"/>
      <c r="X146" s="32"/>
      <c r="Y146" s="16">
        <f t="shared" si="9"/>
        <v>0</v>
      </c>
    </row>
    <row r="147" spans="2:25" ht="13.5" thickBot="1" x14ac:dyDescent="0.25">
      <c r="B147" s="10" t="s">
        <v>115</v>
      </c>
      <c r="C147" s="11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27"/>
      <c r="O147" s="10" t="s">
        <v>115</v>
      </c>
      <c r="P147" s="12"/>
      <c r="Q147" s="12"/>
      <c r="R147" s="33"/>
      <c r="S147" s="12"/>
      <c r="T147" s="12"/>
      <c r="U147" s="12"/>
      <c r="V147" s="12"/>
      <c r="W147" s="12"/>
      <c r="X147" s="12"/>
      <c r="Y147" s="55"/>
    </row>
    <row r="148" spans="2:25" ht="13.5" thickBot="1" x14ac:dyDescent="0.25">
      <c r="B148" s="21"/>
      <c r="C148" s="15" t="s">
        <v>116</v>
      </c>
      <c r="D148" s="15" t="s">
        <v>15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14</v>
      </c>
      <c r="K148" s="16">
        <v>32</v>
      </c>
      <c r="L148" s="16">
        <v>32</v>
      </c>
      <c r="M148" s="16">
        <v>0</v>
      </c>
      <c r="N148" s="16">
        <v>0</v>
      </c>
      <c r="O148" s="15" t="s">
        <v>116</v>
      </c>
      <c r="P148" s="15" t="s">
        <v>15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32">
        <v>0</v>
      </c>
      <c r="Y148" s="16">
        <f t="shared" si="9"/>
        <v>78</v>
      </c>
    </row>
    <row r="149" spans="2:25" ht="13.5" thickBot="1" x14ac:dyDescent="0.25">
      <c r="B149" s="21"/>
      <c r="C149" s="15" t="s">
        <v>117</v>
      </c>
      <c r="D149" s="15" t="s">
        <v>15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15</v>
      </c>
      <c r="K149" s="16">
        <v>26</v>
      </c>
      <c r="L149" s="16">
        <v>17</v>
      </c>
      <c r="M149" s="16">
        <v>0</v>
      </c>
      <c r="N149" s="16">
        <v>0</v>
      </c>
      <c r="O149" s="15" t="s">
        <v>142</v>
      </c>
      <c r="P149" s="15" t="s">
        <v>15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32">
        <v>0</v>
      </c>
      <c r="Y149" s="16">
        <f t="shared" si="9"/>
        <v>58</v>
      </c>
    </row>
    <row r="150" spans="2:25" ht="13.5" thickBot="1" x14ac:dyDescent="0.25">
      <c r="B150" s="21"/>
      <c r="C150" s="15" t="s">
        <v>121</v>
      </c>
      <c r="D150" s="15" t="s">
        <v>141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32</v>
      </c>
      <c r="K150" s="32">
        <v>43</v>
      </c>
      <c r="L150" s="32">
        <v>22</v>
      </c>
      <c r="M150" s="32">
        <v>0</v>
      </c>
      <c r="N150" s="32">
        <v>0</v>
      </c>
      <c r="O150" s="15" t="s">
        <v>121</v>
      </c>
      <c r="P150" s="15" t="s">
        <v>16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16">
        <f t="shared" si="9"/>
        <v>97</v>
      </c>
    </row>
    <row r="151" spans="2:25" ht="13.5" thickBot="1" x14ac:dyDescent="0.25">
      <c r="B151" s="21"/>
      <c r="C151" s="15" t="s">
        <v>118</v>
      </c>
      <c r="D151" s="15" t="s">
        <v>15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23</v>
      </c>
      <c r="K151" s="32">
        <v>39</v>
      </c>
      <c r="L151" s="32">
        <v>28</v>
      </c>
      <c r="M151" s="32">
        <v>0</v>
      </c>
      <c r="N151" s="32">
        <v>0</v>
      </c>
      <c r="O151" s="15" t="s">
        <v>118</v>
      </c>
      <c r="P151" s="15" t="s">
        <v>15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16">
        <f t="shared" si="9"/>
        <v>90</v>
      </c>
    </row>
    <row r="152" spans="2:25" ht="13.5" thickBot="1" x14ac:dyDescent="0.25">
      <c r="B152" s="21"/>
      <c r="C152" s="15" t="s">
        <v>135</v>
      </c>
      <c r="D152" s="15" t="s">
        <v>15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28</v>
      </c>
      <c r="K152" s="32">
        <v>51</v>
      </c>
      <c r="L152" s="32">
        <v>36</v>
      </c>
      <c r="M152" s="32">
        <v>0</v>
      </c>
      <c r="N152" s="32">
        <v>0</v>
      </c>
      <c r="O152" s="15" t="s">
        <v>135</v>
      </c>
      <c r="P152" s="15" t="s">
        <v>15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16">
        <f t="shared" si="9"/>
        <v>115</v>
      </c>
    </row>
    <row r="153" spans="2:25" ht="13.5" thickBot="1" x14ac:dyDescent="0.25">
      <c r="B153" s="21"/>
      <c r="C153" s="15" t="s">
        <v>120</v>
      </c>
      <c r="D153" s="15" t="s">
        <v>15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32</v>
      </c>
      <c r="K153" s="32">
        <v>45</v>
      </c>
      <c r="L153" s="32">
        <v>34</v>
      </c>
      <c r="M153" s="32">
        <v>0</v>
      </c>
      <c r="N153" s="32">
        <v>0</v>
      </c>
      <c r="O153" s="15" t="s">
        <v>120</v>
      </c>
      <c r="P153" s="15" t="s">
        <v>15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16">
        <f t="shared" si="9"/>
        <v>111</v>
      </c>
    </row>
    <row r="154" spans="2:25" ht="13.5" thickBot="1" x14ac:dyDescent="0.25">
      <c r="B154" s="10" t="s">
        <v>122</v>
      </c>
      <c r="C154" s="11"/>
      <c r="D154" s="11"/>
      <c r="E154" s="12"/>
      <c r="F154" s="12"/>
      <c r="G154" s="12"/>
      <c r="H154" s="12"/>
      <c r="I154" s="12"/>
      <c r="J154" s="12"/>
      <c r="K154" s="12"/>
      <c r="L154" s="12"/>
      <c r="M154" s="12">
        <v>0</v>
      </c>
      <c r="N154" s="27"/>
      <c r="O154" s="10" t="s">
        <v>122</v>
      </c>
      <c r="P154" s="12"/>
      <c r="Q154" s="12"/>
      <c r="R154" s="33"/>
      <c r="S154" s="12"/>
      <c r="T154" s="12"/>
      <c r="U154" s="12"/>
      <c r="V154" s="12"/>
      <c r="W154" s="12"/>
      <c r="X154" s="12"/>
      <c r="Y154" s="55"/>
    </row>
    <row r="155" spans="2:25" ht="13.5" thickBot="1" x14ac:dyDescent="0.25">
      <c r="B155" s="15"/>
      <c r="C155" s="56" t="s">
        <v>123</v>
      </c>
      <c r="D155" s="56" t="s">
        <v>124</v>
      </c>
      <c r="E155" s="56">
        <v>10</v>
      </c>
      <c r="F155" s="56">
        <v>5</v>
      </c>
      <c r="G155" s="56">
        <v>14</v>
      </c>
      <c r="H155" s="56">
        <v>13</v>
      </c>
      <c r="I155" s="56">
        <v>9</v>
      </c>
      <c r="J155" s="56">
        <v>38</v>
      </c>
      <c r="K155" s="56">
        <v>55</v>
      </c>
      <c r="L155" s="56">
        <v>46</v>
      </c>
      <c r="M155" s="56">
        <v>0</v>
      </c>
      <c r="N155" s="56">
        <v>10</v>
      </c>
      <c r="O155" s="56" t="s">
        <v>123</v>
      </c>
      <c r="P155" s="56" t="s">
        <v>124</v>
      </c>
      <c r="Q155" s="56">
        <v>5</v>
      </c>
      <c r="R155" s="56">
        <v>8</v>
      </c>
      <c r="S155" s="56">
        <v>14</v>
      </c>
      <c r="T155" s="56">
        <v>13</v>
      </c>
      <c r="U155" s="56">
        <v>6</v>
      </c>
      <c r="V155" s="56">
        <v>2</v>
      </c>
      <c r="W155" s="56">
        <v>14</v>
      </c>
      <c r="X155" s="56">
        <v>36</v>
      </c>
      <c r="Y155" s="57">
        <f t="shared" si="9"/>
        <v>298</v>
      </c>
    </row>
    <row r="156" spans="2:25" ht="13.5" thickBot="1" x14ac:dyDescent="0.25">
      <c r="B156" s="15"/>
      <c r="C156" s="15"/>
      <c r="D156" s="15" t="s">
        <v>125</v>
      </c>
      <c r="E156" s="15">
        <v>0</v>
      </c>
      <c r="F156" s="15">
        <v>5</v>
      </c>
      <c r="G156" s="15">
        <v>4</v>
      </c>
      <c r="H156" s="15">
        <v>0</v>
      </c>
      <c r="I156" s="15">
        <v>4</v>
      </c>
      <c r="J156" s="15">
        <v>6</v>
      </c>
      <c r="K156" s="15">
        <v>18</v>
      </c>
      <c r="L156" s="15">
        <v>11</v>
      </c>
      <c r="M156" s="15">
        <v>1</v>
      </c>
      <c r="N156" s="15">
        <v>5</v>
      </c>
      <c r="O156" s="15"/>
      <c r="P156" s="15" t="s">
        <v>125</v>
      </c>
      <c r="Q156" s="15">
        <v>5</v>
      </c>
      <c r="R156" s="15">
        <v>1</v>
      </c>
      <c r="S156" s="15">
        <v>12</v>
      </c>
      <c r="T156" s="15">
        <v>3</v>
      </c>
      <c r="U156" s="15">
        <v>0</v>
      </c>
      <c r="V156" s="15">
        <v>3</v>
      </c>
      <c r="W156" s="15">
        <v>7</v>
      </c>
      <c r="X156" s="15">
        <v>4</v>
      </c>
      <c r="Y156" s="16">
        <f t="shared" si="9"/>
        <v>89</v>
      </c>
    </row>
    <row r="157" spans="2:25" ht="13.5" thickBot="1" x14ac:dyDescent="0.25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6"/>
    </row>
    <row r="158" spans="2:25" ht="13.5" thickBot="1" x14ac:dyDescent="0.25">
      <c r="B158" s="15"/>
      <c r="C158" s="56" t="s">
        <v>139</v>
      </c>
      <c r="D158" s="56" t="s">
        <v>124</v>
      </c>
      <c r="E158" s="56">
        <v>9</v>
      </c>
      <c r="F158" s="56">
        <v>3</v>
      </c>
      <c r="G158" s="56">
        <v>14</v>
      </c>
      <c r="H158" s="56">
        <v>13</v>
      </c>
      <c r="I158" s="56">
        <v>9</v>
      </c>
      <c r="J158" s="56">
        <v>37</v>
      </c>
      <c r="K158" s="56">
        <v>50</v>
      </c>
      <c r="L158" s="56">
        <v>44</v>
      </c>
      <c r="M158" s="56">
        <v>0</v>
      </c>
      <c r="N158" s="56">
        <v>10</v>
      </c>
      <c r="O158" s="56" t="s">
        <v>144</v>
      </c>
      <c r="P158" s="56" t="s">
        <v>124</v>
      </c>
      <c r="Q158" s="56">
        <v>5</v>
      </c>
      <c r="R158" s="56">
        <v>8</v>
      </c>
      <c r="S158" s="56">
        <v>12</v>
      </c>
      <c r="T158" s="56">
        <v>12</v>
      </c>
      <c r="U158" s="56">
        <v>6</v>
      </c>
      <c r="V158" s="56">
        <v>2</v>
      </c>
      <c r="W158" s="56">
        <v>15</v>
      </c>
      <c r="X158" s="56">
        <v>33</v>
      </c>
      <c r="Y158" s="57">
        <f t="shared" ref="Y158:Y159" si="10">E158+F158+G158+H158+I158+J158+K158+L158+M158+N158+Q158+R158+S158+T158+U158+V158+W158+X158</f>
        <v>282</v>
      </c>
    </row>
    <row r="159" spans="2:25" ht="13.5" thickBot="1" x14ac:dyDescent="0.25">
      <c r="B159" s="15"/>
      <c r="C159" s="15"/>
      <c r="D159" s="15" t="s">
        <v>125</v>
      </c>
      <c r="E159" s="15">
        <v>1</v>
      </c>
      <c r="F159" s="15">
        <v>7</v>
      </c>
      <c r="G159" s="15">
        <v>4</v>
      </c>
      <c r="H159" s="15">
        <v>0</v>
      </c>
      <c r="I159" s="15">
        <v>4</v>
      </c>
      <c r="J159" s="15">
        <v>8</v>
      </c>
      <c r="K159" s="15">
        <v>21</v>
      </c>
      <c r="L159" s="15">
        <v>12</v>
      </c>
      <c r="M159" s="15">
        <v>1</v>
      </c>
      <c r="N159" s="15">
        <v>5</v>
      </c>
      <c r="O159" s="15"/>
      <c r="P159" s="15" t="s">
        <v>125</v>
      </c>
      <c r="Q159" s="15">
        <v>4</v>
      </c>
      <c r="R159" s="15">
        <v>1</v>
      </c>
      <c r="S159" s="15">
        <v>14</v>
      </c>
      <c r="T159" s="15">
        <v>4</v>
      </c>
      <c r="U159" s="15">
        <v>0</v>
      </c>
      <c r="V159" s="15">
        <v>3</v>
      </c>
      <c r="W159" s="15">
        <v>6</v>
      </c>
      <c r="X159" s="15">
        <v>7</v>
      </c>
      <c r="Y159" s="16">
        <f t="shared" si="10"/>
        <v>102</v>
      </c>
    </row>
    <row r="160" spans="2:25" ht="13.5" thickBot="1" x14ac:dyDescent="0.25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6"/>
    </row>
    <row r="161" spans="2:84" ht="13.5" thickBot="1" x14ac:dyDescent="0.25">
      <c r="B161" s="15"/>
      <c r="C161" s="56" t="s">
        <v>126</v>
      </c>
      <c r="D161" s="56" t="s">
        <v>124</v>
      </c>
      <c r="E161" s="56">
        <v>8</v>
      </c>
      <c r="F161" s="56">
        <v>4</v>
      </c>
      <c r="G161" s="56">
        <v>14</v>
      </c>
      <c r="H161" s="56">
        <v>11</v>
      </c>
      <c r="I161" s="56">
        <v>9</v>
      </c>
      <c r="J161" s="56">
        <v>37</v>
      </c>
      <c r="K161" s="56">
        <v>50</v>
      </c>
      <c r="L161" s="56">
        <v>44</v>
      </c>
      <c r="M161" s="56">
        <v>1</v>
      </c>
      <c r="N161" s="56">
        <v>9</v>
      </c>
      <c r="O161" s="56" t="s">
        <v>126</v>
      </c>
      <c r="P161" s="56" t="s">
        <v>124</v>
      </c>
      <c r="Q161" s="56">
        <v>5</v>
      </c>
      <c r="R161" s="56">
        <v>3</v>
      </c>
      <c r="S161" s="56">
        <v>12</v>
      </c>
      <c r="T161" s="56">
        <v>11</v>
      </c>
      <c r="U161" s="56">
        <v>6</v>
      </c>
      <c r="V161" s="56">
        <v>2</v>
      </c>
      <c r="W161" s="56">
        <v>12</v>
      </c>
      <c r="X161" s="56">
        <v>31</v>
      </c>
      <c r="Y161" s="57">
        <f t="shared" si="9"/>
        <v>269</v>
      </c>
    </row>
    <row r="162" spans="2:84" ht="13.5" thickBot="1" x14ac:dyDescent="0.25">
      <c r="B162" s="15"/>
      <c r="C162" s="15"/>
      <c r="D162" s="15" t="s">
        <v>125</v>
      </c>
      <c r="E162" s="15">
        <v>2</v>
      </c>
      <c r="F162" s="15">
        <v>6</v>
      </c>
      <c r="G162" s="15">
        <v>4</v>
      </c>
      <c r="H162" s="15">
        <v>2</v>
      </c>
      <c r="I162" s="15">
        <v>4</v>
      </c>
      <c r="J162" s="15">
        <v>8</v>
      </c>
      <c r="K162" s="15">
        <v>19</v>
      </c>
      <c r="L162" s="15">
        <v>13</v>
      </c>
      <c r="M162" s="15">
        <v>0</v>
      </c>
      <c r="N162" s="15">
        <v>6</v>
      </c>
      <c r="O162" s="15"/>
      <c r="P162" s="15" t="s">
        <v>125</v>
      </c>
      <c r="Q162" s="15">
        <v>4</v>
      </c>
      <c r="R162" s="15">
        <v>6</v>
      </c>
      <c r="S162" s="15">
        <v>14</v>
      </c>
      <c r="T162" s="15">
        <v>5</v>
      </c>
      <c r="U162" s="15">
        <v>0</v>
      </c>
      <c r="V162" s="15">
        <v>3</v>
      </c>
      <c r="W162" s="15">
        <v>9</v>
      </c>
      <c r="X162" s="15">
        <v>8</v>
      </c>
      <c r="Y162" s="16">
        <f t="shared" si="9"/>
        <v>113</v>
      </c>
    </row>
    <row r="163" spans="2:84" ht="13.5" thickBot="1" x14ac:dyDescent="0.25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6"/>
    </row>
    <row r="164" spans="2:84" ht="13.5" thickBot="1" x14ac:dyDescent="0.25">
      <c r="B164" s="15"/>
      <c r="C164" s="56" t="s">
        <v>127</v>
      </c>
      <c r="D164" s="56" t="s">
        <v>124</v>
      </c>
      <c r="E164" s="56">
        <v>6</v>
      </c>
      <c r="F164" s="56">
        <v>4</v>
      </c>
      <c r="G164" s="56">
        <v>14</v>
      </c>
      <c r="H164" s="56">
        <v>10</v>
      </c>
      <c r="I164" s="56">
        <v>9</v>
      </c>
      <c r="J164" s="56">
        <v>35</v>
      </c>
      <c r="K164" s="56">
        <v>51</v>
      </c>
      <c r="L164" s="56">
        <v>44</v>
      </c>
      <c r="M164" s="56">
        <v>0</v>
      </c>
      <c r="N164" s="56">
        <v>7</v>
      </c>
      <c r="O164" s="56" t="s">
        <v>127</v>
      </c>
      <c r="P164" s="56" t="s">
        <v>124</v>
      </c>
      <c r="Q164" s="56">
        <v>5</v>
      </c>
      <c r="R164" s="56">
        <v>3</v>
      </c>
      <c r="S164" s="56">
        <v>11</v>
      </c>
      <c r="T164" s="56">
        <v>11</v>
      </c>
      <c r="U164" s="56">
        <v>6</v>
      </c>
      <c r="V164" s="56">
        <v>2</v>
      </c>
      <c r="W164" s="56">
        <v>11</v>
      </c>
      <c r="X164" s="56">
        <v>30</v>
      </c>
      <c r="Y164" s="57">
        <f t="shared" si="9"/>
        <v>259</v>
      </c>
    </row>
    <row r="165" spans="2:84" ht="13.5" thickBot="1" x14ac:dyDescent="0.25">
      <c r="B165" s="15"/>
      <c r="C165" s="15"/>
      <c r="D165" s="15" t="s">
        <v>125</v>
      </c>
      <c r="E165" s="15">
        <v>4</v>
      </c>
      <c r="F165" s="15">
        <v>6</v>
      </c>
      <c r="G165" s="15">
        <v>4</v>
      </c>
      <c r="H165" s="15">
        <v>3</v>
      </c>
      <c r="I165" s="15">
        <v>4</v>
      </c>
      <c r="J165" s="15">
        <v>7</v>
      </c>
      <c r="K165" s="15">
        <v>20</v>
      </c>
      <c r="L165" s="15">
        <v>11</v>
      </c>
      <c r="M165" s="15">
        <v>1</v>
      </c>
      <c r="N165" s="15">
        <v>8</v>
      </c>
      <c r="O165" s="15"/>
      <c r="P165" s="15" t="s">
        <v>125</v>
      </c>
      <c r="Q165" s="15">
        <v>4</v>
      </c>
      <c r="R165" s="15">
        <v>6</v>
      </c>
      <c r="S165" s="15">
        <v>15</v>
      </c>
      <c r="T165" s="15">
        <v>5</v>
      </c>
      <c r="U165" s="15">
        <v>0</v>
      </c>
      <c r="V165" s="15">
        <v>3</v>
      </c>
      <c r="W165" s="15">
        <v>10</v>
      </c>
      <c r="X165" s="15">
        <v>10</v>
      </c>
      <c r="Y165" s="16">
        <f t="shared" si="9"/>
        <v>121</v>
      </c>
    </row>
    <row r="166" spans="2:84" ht="13.5" thickBot="1" x14ac:dyDescent="0.25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6"/>
    </row>
    <row r="167" spans="2:84" ht="13.5" thickBot="1" x14ac:dyDescent="0.25">
      <c r="B167" s="15"/>
      <c r="C167" s="56" t="s">
        <v>136</v>
      </c>
      <c r="D167" s="56" t="s">
        <v>124</v>
      </c>
      <c r="E167" s="56">
        <v>6</v>
      </c>
      <c r="F167" s="56">
        <v>5</v>
      </c>
      <c r="G167" s="56">
        <v>14</v>
      </c>
      <c r="H167" s="56">
        <v>10</v>
      </c>
      <c r="I167" s="56">
        <v>9</v>
      </c>
      <c r="J167" s="56">
        <v>36</v>
      </c>
      <c r="K167" s="56">
        <v>50</v>
      </c>
      <c r="L167" s="56">
        <v>45</v>
      </c>
      <c r="M167" s="56">
        <v>0</v>
      </c>
      <c r="N167" s="56">
        <v>7</v>
      </c>
      <c r="O167" s="56" t="s">
        <v>136</v>
      </c>
      <c r="P167" s="56" t="s">
        <v>124</v>
      </c>
      <c r="Q167" s="56">
        <v>5</v>
      </c>
      <c r="R167" s="56">
        <v>3</v>
      </c>
      <c r="S167" s="56">
        <v>11</v>
      </c>
      <c r="T167" s="56">
        <v>12</v>
      </c>
      <c r="U167" s="56">
        <v>6</v>
      </c>
      <c r="V167" s="56">
        <v>2</v>
      </c>
      <c r="W167" s="56">
        <v>12</v>
      </c>
      <c r="X167" s="56">
        <v>31</v>
      </c>
      <c r="Y167" s="57">
        <f t="shared" si="9"/>
        <v>264</v>
      </c>
    </row>
    <row r="168" spans="2:84" ht="13.5" thickBot="1" x14ac:dyDescent="0.25">
      <c r="B168" s="15"/>
      <c r="C168" s="15"/>
      <c r="D168" s="15" t="s">
        <v>125</v>
      </c>
      <c r="E168" s="15">
        <v>4</v>
      </c>
      <c r="F168" s="15">
        <v>5</v>
      </c>
      <c r="G168" s="15">
        <v>4</v>
      </c>
      <c r="H168" s="15">
        <v>3</v>
      </c>
      <c r="I168" s="15">
        <v>4</v>
      </c>
      <c r="J168" s="15">
        <v>7</v>
      </c>
      <c r="K168" s="15">
        <v>22</v>
      </c>
      <c r="L168" s="15">
        <v>11</v>
      </c>
      <c r="M168" s="15">
        <v>1</v>
      </c>
      <c r="N168" s="15">
        <v>8</v>
      </c>
      <c r="O168" s="15"/>
      <c r="P168" s="15" t="s">
        <v>125</v>
      </c>
      <c r="Q168" s="15">
        <v>4</v>
      </c>
      <c r="R168" s="15">
        <v>6</v>
      </c>
      <c r="S168" s="15">
        <v>15</v>
      </c>
      <c r="T168" s="15">
        <v>4</v>
      </c>
      <c r="U168" s="15">
        <v>0</v>
      </c>
      <c r="V168" s="15">
        <v>3</v>
      </c>
      <c r="W168" s="15">
        <v>9</v>
      </c>
      <c r="X168" s="15">
        <v>9</v>
      </c>
      <c r="Y168" s="16">
        <f t="shared" si="9"/>
        <v>119</v>
      </c>
    </row>
    <row r="169" spans="2:84" ht="13.5" thickBot="1" x14ac:dyDescent="0.25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6"/>
    </row>
    <row r="170" spans="2:84" ht="13.5" thickBot="1" x14ac:dyDescent="0.25">
      <c r="B170" s="15"/>
      <c r="C170" s="56" t="s">
        <v>129</v>
      </c>
      <c r="D170" s="56" t="s">
        <v>124</v>
      </c>
      <c r="E170" s="56">
        <v>7</v>
      </c>
      <c r="F170" s="56">
        <v>6</v>
      </c>
      <c r="G170" s="56">
        <v>14</v>
      </c>
      <c r="H170" s="56">
        <v>12</v>
      </c>
      <c r="I170" s="56">
        <v>9</v>
      </c>
      <c r="J170" s="56">
        <v>37</v>
      </c>
      <c r="K170" s="56">
        <v>56</v>
      </c>
      <c r="L170" s="56">
        <v>46</v>
      </c>
      <c r="M170" s="56">
        <v>1</v>
      </c>
      <c r="N170" s="56">
        <v>9</v>
      </c>
      <c r="O170" s="56" t="s">
        <v>129</v>
      </c>
      <c r="P170" s="56" t="s">
        <v>124</v>
      </c>
      <c r="Q170" s="56">
        <v>5</v>
      </c>
      <c r="R170" s="56">
        <v>5</v>
      </c>
      <c r="S170" s="56">
        <v>13</v>
      </c>
      <c r="T170" s="56">
        <v>11</v>
      </c>
      <c r="U170" s="56">
        <v>6</v>
      </c>
      <c r="V170" s="56">
        <v>2</v>
      </c>
      <c r="W170" s="56">
        <v>11</v>
      </c>
      <c r="X170" s="56">
        <v>30</v>
      </c>
      <c r="Y170" s="57">
        <f t="shared" si="9"/>
        <v>280</v>
      </c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</row>
    <row r="171" spans="2:84" ht="13.5" thickBot="1" x14ac:dyDescent="0.25">
      <c r="B171" s="15"/>
      <c r="C171" s="15"/>
      <c r="D171" s="15" t="s">
        <v>125</v>
      </c>
      <c r="E171" s="15">
        <v>3</v>
      </c>
      <c r="F171" s="15">
        <v>4</v>
      </c>
      <c r="G171" s="15">
        <v>4</v>
      </c>
      <c r="H171" s="15">
        <v>2</v>
      </c>
      <c r="I171" s="15">
        <v>4</v>
      </c>
      <c r="J171" s="15">
        <v>6</v>
      </c>
      <c r="K171" s="15">
        <v>17</v>
      </c>
      <c r="L171" s="15">
        <v>10</v>
      </c>
      <c r="M171" s="15">
        <v>0</v>
      </c>
      <c r="N171" s="15">
        <v>6</v>
      </c>
      <c r="O171" s="15"/>
      <c r="P171" s="15" t="s">
        <v>125</v>
      </c>
      <c r="Q171" s="15">
        <v>4</v>
      </c>
      <c r="R171" s="15">
        <v>4</v>
      </c>
      <c r="S171" s="15">
        <v>13</v>
      </c>
      <c r="T171" s="15">
        <v>5</v>
      </c>
      <c r="U171" s="15">
        <v>0</v>
      </c>
      <c r="V171" s="15">
        <v>3</v>
      </c>
      <c r="W171" s="15">
        <v>10</v>
      </c>
      <c r="X171" s="15">
        <v>9</v>
      </c>
      <c r="Y171" s="16">
        <f t="shared" si="9"/>
        <v>104</v>
      </c>
    </row>
    <row r="172" spans="2:84" ht="13.5" thickBot="1" x14ac:dyDescent="0.25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6"/>
    </row>
    <row r="173" spans="2:84" ht="13.5" thickBot="1" x14ac:dyDescent="0.25">
      <c r="B173" s="15"/>
      <c r="C173" s="56" t="s">
        <v>130</v>
      </c>
      <c r="D173" s="56" t="s">
        <v>124</v>
      </c>
      <c r="E173" s="56">
        <v>9</v>
      </c>
      <c r="F173" s="56">
        <v>5</v>
      </c>
      <c r="G173" s="56">
        <v>13</v>
      </c>
      <c r="H173" s="56">
        <v>13</v>
      </c>
      <c r="I173" s="56">
        <v>9</v>
      </c>
      <c r="J173" s="56">
        <v>35</v>
      </c>
      <c r="K173" s="56">
        <v>50</v>
      </c>
      <c r="L173" s="56">
        <v>45</v>
      </c>
      <c r="M173" s="56">
        <v>0</v>
      </c>
      <c r="N173" s="56">
        <v>9</v>
      </c>
      <c r="O173" s="56" t="s">
        <v>130</v>
      </c>
      <c r="P173" s="56" t="s">
        <v>124</v>
      </c>
      <c r="Q173" s="56">
        <v>5</v>
      </c>
      <c r="R173" s="56">
        <v>6</v>
      </c>
      <c r="S173" s="56">
        <v>13</v>
      </c>
      <c r="T173" s="56">
        <v>13</v>
      </c>
      <c r="U173" s="56">
        <v>6</v>
      </c>
      <c r="V173" s="56">
        <v>2</v>
      </c>
      <c r="W173" s="56">
        <v>15</v>
      </c>
      <c r="X173" s="56">
        <v>31</v>
      </c>
      <c r="Y173" s="57">
        <f t="shared" si="9"/>
        <v>279</v>
      </c>
    </row>
    <row r="174" spans="2:84" ht="13.5" thickBot="1" x14ac:dyDescent="0.25">
      <c r="B174" s="15"/>
      <c r="C174" s="15"/>
      <c r="D174" s="15" t="s">
        <v>125</v>
      </c>
      <c r="E174" s="15">
        <v>1</v>
      </c>
      <c r="F174" s="15">
        <v>5</v>
      </c>
      <c r="G174" s="15">
        <v>4</v>
      </c>
      <c r="H174" s="15">
        <v>1</v>
      </c>
      <c r="I174" s="15">
        <v>4</v>
      </c>
      <c r="J174" s="15">
        <v>8</v>
      </c>
      <c r="K174" s="15">
        <v>21</v>
      </c>
      <c r="L174" s="15">
        <v>11</v>
      </c>
      <c r="M174" s="15">
        <v>1</v>
      </c>
      <c r="N174" s="15">
        <v>6</v>
      </c>
      <c r="O174" s="15"/>
      <c r="P174" s="15" t="s">
        <v>125</v>
      </c>
      <c r="Q174" s="15">
        <v>4</v>
      </c>
      <c r="R174" s="15">
        <v>3</v>
      </c>
      <c r="S174" s="15">
        <v>13</v>
      </c>
      <c r="T174" s="15">
        <v>3</v>
      </c>
      <c r="U174" s="15">
        <v>0</v>
      </c>
      <c r="V174" s="15">
        <v>3</v>
      </c>
      <c r="W174" s="15">
        <v>6</v>
      </c>
      <c r="X174" s="15">
        <v>8</v>
      </c>
      <c r="Y174" s="16">
        <f t="shared" si="9"/>
        <v>102</v>
      </c>
    </row>
    <row r="175" spans="2:84" x14ac:dyDescent="0.2"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</sheetData>
  <phoneticPr fontId="0" type="noConversion"/>
  <pageMargins left="0" right="0" top="0" bottom="0" header="0" footer="0"/>
  <pageSetup paperSize="5" scale="66" orientation="landscape" r:id="rId1"/>
  <headerFooter alignWithMargins="0"/>
  <rowBreaks count="4" manualBreakCount="4">
    <brk id="25" max="16383" man="1"/>
    <brk id="59" min="1" max="24" man="1"/>
    <brk id="98" min="1" max="24" man="1"/>
    <brk id="139" min="1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74"/>
  <sheetViews>
    <sheetView view="pageBreakPreview" topLeftCell="B1" zoomScale="80" zoomScaleNormal="90" zoomScaleSheetLayoutView="80" workbookViewId="0">
      <selection activeCell="B159" sqref="A157:XFD159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customWidth="1"/>
    <col min="5" max="14" width="8.7109375" customWidth="1"/>
    <col min="15" max="15" width="29.5703125" customWidth="1"/>
    <col min="16" max="16" width="7.42578125" style="37" customWidth="1"/>
    <col min="17" max="17" width="7.42578125" customWidth="1"/>
    <col min="18" max="18" width="8.7109375" customWidth="1"/>
    <col min="19" max="19" width="8.7109375" style="37" customWidth="1"/>
    <col min="20" max="25" width="8.7109375" customWidth="1"/>
    <col min="26" max="29" width="9.140625" customWidth="1"/>
  </cols>
  <sheetData>
    <row r="1" spans="2:25" ht="27" x14ac:dyDescent="0.35">
      <c r="B1" s="47" t="s">
        <v>131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134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ht="102" thickBot="1" x14ac:dyDescent="0.25">
      <c r="B3" s="8" t="s">
        <v>0</v>
      </c>
      <c r="C3" s="8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41</v>
      </c>
      <c r="K3" s="9" t="s">
        <v>42</v>
      </c>
      <c r="L3" s="9" t="s">
        <v>43</v>
      </c>
      <c r="M3" s="31" t="s">
        <v>44</v>
      </c>
      <c r="N3" s="9" t="s">
        <v>45</v>
      </c>
      <c r="O3" s="42" t="s">
        <v>1</v>
      </c>
      <c r="P3" s="8" t="s">
        <v>2</v>
      </c>
      <c r="Q3" s="9" t="s">
        <v>46</v>
      </c>
      <c r="R3" s="9" t="s">
        <v>8</v>
      </c>
      <c r="S3" s="9" t="s">
        <v>9</v>
      </c>
      <c r="T3" s="9" t="s">
        <v>10</v>
      </c>
      <c r="U3" s="9" t="s">
        <v>47</v>
      </c>
      <c r="V3" s="9" t="s">
        <v>11</v>
      </c>
      <c r="W3" s="9" t="s">
        <v>12</v>
      </c>
      <c r="X3" s="9" t="s">
        <v>13</v>
      </c>
      <c r="Y3" s="9" t="s">
        <v>14</v>
      </c>
    </row>
    <row r="4" spans="2:25" ht="13.5" thickBot="1" x14ac:dyDescent="0.25">
      <c r="B4" s="10" t="s">
        <v>102</v>
      </c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3"/>
      <c r="O4" s="10" t="s">
        <v>102</v>
      </c>
      <c r="P4" s="43"/>
      <c r="Q4" s="11"/>
      <c r="R4" s="11"/>
      <c r="S4" s="12"/>
      <c r="T4" s="11"/>
      <c r="U4" s="11"/>
      <c r="V4" s="11"/>
      <c r="W4" s="11"/>
      <c r="X4" s="11"/>
      <c r="Y4" s="52"/>
    </row>
    <row r="5" spans="2:25" ht="13.5" thickBot="1" x14ac:dyDescent="0.25">
      <c r="B5" s="8"/>
      <c r="C5" s="15" t="s">
        <v>103</v>
      </c>
      <c r="D5" s="49" t="s">
        <v>15</v>
      </c>
      <c r="E5" s="16">
        <f>SUM('ADVANCE:ELECTION DAY'!E5)</f>
        <v>20</v>
      </c>
      <c r="F5" s="16">
        <f>SUM('ADVANCE:ELECTION DAY'!F5)</f>
        <v>47</v>
      </c>
      <c r="G5" s="16">
        <f>SUM('ADVANCE:ELECTION DAY'!G5)</f>
        <v>37</v>
      </c>
      <c r="H5" s="16">
        <f>SUM('ADVANCE:ELECTION DAY'!H5)</f>
        <v>29</v>
      </c>
      <c r="I5" s="16">
        <f>SUM('ADVANCE:ELECTION DAY'!I5)</f>
        <v>22</v>
      </c>
      <c r="J5" s="16">
        <f>SUM('ADVANCE:ELECTION DAY'!J5)</f>
        <v>70</v>
      </c>
      <c r="K5" s="16">
        <f>SUM('ADVANCE:ELECTION DAY'!K5)</f>
        <v>267</v>
      </c>
      <c r="L5" s="16">
        <f>SUM('ADVANCE:ELECTION DAY'!L5)</f>
        <v>116</v>
      </c>
      <c r="M5" s="16">
        <f>SUM('ADVANCE:ELECTION DAY'!M5)</f>
        <v>6</v>
      </c>
      <c r="N5" s="16">
        <f>SUM('ADVANCE:ELECTION DAY'!N5)</f>
        <v>37</v>
      </c>
      <c r="O5" s="15" t="s">
        <v>103</v>
      </c>
      <c r="P5" s="49" t="s">
        <v>15</v>
      </c>
      <c r="Q5" s="16">
        <f>SUM('ADVANCE:ELECTION DAY'!Q5)</f>
        <v>29</v>
      </c>
      <c r="R5" s="16">
        <f>SUM('ADVANCE:ELECTION DAY'!R5)</f>
        <v>15</v>
      </c>
      <c r="S5" s="16">
        <f>SUM('ADVANCE:ELECTION DAY'!S5)</f>
        <v>62</v>
      </c>
      <c r="T5" s="16">
        <f>SUM('ADVANCE:ELECTION DAY'!T5)</f>
        <v>30</v>
      </c>
      <c r="U5" s="16">
        <f>SUM('ADVANCE:ELECTION DAY'!U5)</f>
        <v>12</v>
      </c>
      <c r="V5" s="16">
        <f>SUM('ADVANCE:ELECTION DAY'!V5)</f>
        <v>16</v>
      </c>
      <c r="W5" s="16">
        <f>SUM('ADVANCE:ELECTION DAY'!W5)</f>
        <v>76</v>
      </c>
      <c r="X5" s="16">
        <f>SUM('ADVANCE:ELECTION DAY'!X5)</f>
        <v>92</v>
      </c>
      <c r="Y5" s="16">
        <f>SUM(E5:X5)</f>
        <v>983</v>
      </c>
    </row>
    <row r="6" spans="2:25" ht="13.5" thickBot="1" x14ac:dyDescent="0.25">
      <c r="B6" s="8"/>
      <c r="C6" s="15" t="s">
        <v>104</v>
      </c>
      <c r="D6" s="49" t="s">
        <v>16</v>
      </c>
      <c r="E6" s="16">
        <f>SUM('ADVANCE:ELECTION DAY'!E6)</f>
        <v>0</v>
      </c>
      <c r="F6" s="16">
        <f>SUM('ADVANCE:ELECTION DAY'!F6)</f>
        <v>5</v>
      </c>
      <c r="G6" s="16">
        <f>SUM('ADVANCE:ELECTION DAY'!G6)</f>
        <v>5</v>
      </c>
      <c r="H6" s="16">
        <f>SUM('ADVANCE:ELECTION DAY'!H6)</f>
        <v>7</v>
      </c>
      <c r="I6" s="16">
        <f>SUM('ADVANCE:ELECTION DAY'!I6)</f>
        <v>8</v>
      </c>
      <c r="J6" s="16">
        <f>SUM('ADVANCE:ELECTION DAY'!J6)</f>
        <v>15</v>
      </c>
      <c r="K6" s="16">
        <f>SUM('ADVANCE:ELECTION DAY'!K6)</f>
        <v>70</v>
      </c>
      <c r="L6" s="16">
        <f>SUM('ADVANCE:ELECTION DAY'!L6)</f>
        <v>28</v>
      </c>
      <c r="M6" s="16">
        <f>SUM('ADVANCE:ELECTION DAY'!M6)</f>
        <v>0</v>
      </c>
      <c r="N6" s="16">
        <f>SUM('ADVANCE:ELECTION DAY'!N6)</f>
        <v>7</v>
      </c>
      <c r="O6" s="15" t="s">
        <v>104</v>
      </c>
      <c r="P6" s="49" t="s">
        <v>16</v>
      </c>
      <c r="Q6" s="16">
        <f>SUM('ADVANCE:ELECTION DAY'!Q6)</f>
        <v>3</v>
      </c>
      <c r="R6" s="16">
        <f>SUM('ADVANCE:ELECTION DAY'!R6)</f>
        <v>1</v>
      </c>
      <c r="S6" s="16">
        <f>SUM('ADVANCE:ELECTION DAY'!S6)</f>
        <v>8</v>
      </c>
      <c r="T6" s="16">
        <f>SUM('ADVANCE:ELECTION DAY'!T6)</f>
        <v>1</v>
      </c>
      <c r="U6" s="16">
        <f>SUM('ADVANCE:ELECTION DAY'!U6)</f>
        <v>9</v>
      </c>
      <c r="V6" s="16">
        <f>SUM('ADVANCE:ELECTION DAY'!V6)</f>
        <v>0</v>
      </c>
      <c r="W6" s="16">
        <f>SUM('ADVANCE:ELECTION DAY'!W6)</f>
        <v>9</v>
      </c>
      <c r="X6" s="16">
        <f>SUM('ADVANCE:ELECTION DAY'!X6)</f>
        <v>16</v>
      </c>
      <c r="Y6" s="16">
        <f t="shared" ref="Y6:Y22" si="0">SUM(E6:X6)</f>
        <v>192</v>
      </c>
    </row>
    <row r="7" spans="2:25" ht="13.5" thickBot="1" x14ac:dyDescent="0.25">
      <c r="B7" s="8"/>
      <c r="C7" s="15" t="s">
        <v>105</v>
      </c>
      <c r="D7" s="49" t="s">
        <v>108</v>
      </c>
      <c r="E7" s="16">
        <f>SUM('ADVANCE:ELECTION DAY'!E7)</f>
        <v>0</v>
      </c>
      <c r="F7" s="16">
        <f>SUM('ADVANCE:ELECTION DAY'!F7)</f>
        <v>0</v>
      </c>
      <c r="G7" s="16">
        <f>SUM('ADVANCE:ELECTION DAY'!G7)</f>
        <v>1</v>
      </c>
      <c r="H7" s="16">
        <f>SUM('ADVANCE:ELECTION DAY'!H7)</f>
        <v>0</v>
      </c>
      <c r="I7" s="16">
        <f>SUM('ADVANCE:ELECTION DAY'!I7)</f>
        <v>0</v>
      </c>
      <c r="J7" s="16">
        <f>SUM('ADVANCE:ELECTION DAY'!J7)</f>
        <v>3</v>
      </c>
      <c r="K7" s="16">
        <f>SUM('ADVANCE:ELECTION DAY'!K7)</f>
        <v>11</v>
      </c>
      <c r="L7" s="16">
        <f>SUM('ADVANCE:ELECTION DAY'!L7)</f>
        <v>1</v>
      </c>
      <c r="M7" s="16">
        <f>SUM('ADVANCE:ELECTION DAY'!M7)</f>
        <v>0</v>
      </c>
      <c r="N7" s="16">
        <f>SUM('ADVANCE:ELECTION DAY'!N7)</f>
        <v>0</v>
      </c>
      <c r="O7" s="15" t="s">
        <v>105</v>
      </c>
      <c r="P7" s="49" t="s">
        <v>108</v>
      </c>
      <c r="Q7" s="16">
        <f>SUM('ADVANCE:ELECTION DAY'!Q7)</f>
        <v>0</v>
      </c>
      <c r="R7" s="16">
        <f>SUM('ADVANCE:ELECTION DAY'!R7)</f>
        <v>1</v>
      </c>
      <c r="S7" s="16">
        <f>SUM('ADVANCE:ELECTION DAY'!S7)</f>
        <v>0</v>
      </c>
      <c r="T7" s="16">
        <f>SUM('ADVANCE:ELECTION DAY'!T7)</f>
        <v>0</v>
      </c>
      <c r="U7" s="16">
        <f>SUM('ADVANCE:ELECTION DAY'!U7)</f>
        <v>0</v>
      </c>
      <c r="V7" s="16">
        <f>SUM('ADVANCE:ELECTION DAY'!V7)</f>
        <v>0</v>
      </c>
      <c r="W7" s="16">
        <f>SUM('ADVANCE:ELECTION DAY'!W7)</f>
        <v>1</v>
      </c>
      <c r="X7" s="16">
        <f>SUM('ADVANCE:ELECTION DAY'!X7)</f>
        <v>0</v>
      </c>
      <c r="Y7" s="16">
        <f t="shared" si="0"/>
        <v>18</v>
      </c>
    </row>
    <row r="8" spans="2:25" ht="13.5" thickBot="1" x14ac:dyDescent="0.25">
      <c r="B8" s="8"/>
      <c r="C8" s="15" t="s">
        <v>106</v>
      </c>
      <c r="D8" s="49" t="s">
        <v>107</v>
      </c>
      <c r="E8" s="16">
        <f>SUM('ADVANCE:ELECTION DAY'!E8)</f>
        <v>0</v>
      </c>
      <c r="F8" s="16">
        <f>SUM('ADVANCE:ELECTION DAY'!F8)</f>
        <v>0</v>
      </c>
      <c r="G8" s="16">
        <f>SUM('ADVANCE:ELECTION DAY'!G8)</f>
        <v>0</v>
      </c>
      <c r="H8" s="16">
        <f>SUM('ADVANCE:ELECTION DAY'!H8)</f>
        <v>0</v>
      </c>
      <c r="I8" s="16">
        <f>SUM('ADVANCE:ELECTION DAY'!I8)</f>
        <v>0</v>
      </c>
      <c r="J8" s="16">
        <f>SUM('ADVANCE:ELECTION DAY'!J8)</f>
        <v>0</v>
      </c>
      <c r="K8" s="16">
        <f>SUM('ADVANCE:ELECTION DAY'!K8)</f>
        <v>1</v>
      </c>
      <c r="L8" s="16">
        <f>SUM('ADVANCE:ELECTION DAY'!L8)</f>
        <v>0</v>
      </c>
      <c r="M8" s="16">
        <f>SUM('ADVANCE:ELECTION DAY'!M8)</f>
        <v>0</v>
      </c>
      <c r="N8" s="16">
        <f>SUM('ADVANCE:ELECTION DAY'!N8)</f>
        <v>0</v>
      </c>
      <c r="O8" s="15" t="s">
        <v>106</v>
      </c>
      <c r="P8" s="49" t="s">
        <v>107</v>
      </c>
      <c r="Q8" s="16">
        <f>SUM('ADVANCE:ELECTION DAY'!Q8)</f>
        <v>0</v>
      </c>
      <c r="R8" s="16">
        <f>SUM('ADVANCE:ELECTION DAY'!R8)</f>
        <v>0</v>
      </c>
      <c r="S8" s="16">
        <f>SUM('ADVANCE:ELECTION DAY'!S8)</f>
        <v>0</v>
      </c>
      <c r="T8" s="16">
        <f>SUM('ADVANCE:ELECTION DAY'!T8)</f>
        <v>0</v>
      </c>
      <c r="U8" s="16">
        <f>SUM('ADVANCE:ELECTION DAY'!U8)</f>
        <v>0</v>
      </c>
      <c r="V8" s="16">
        <f>SUM('ADVANCE:ELECTION DAY'!V8)</f>
        <v>0</v>
      </c>
      <c r="W8" s="16">
        <f>SUM('ADVANCE:ELECTION DAY'!W8)</f>
        <v>0</v>
      </c>
      <c r="X8" s="16">
        <f>SUM('ADVANCE:ELECTION DAY'!X8)</f>
        <v>0</v>
      </c>
      <c r="Y8" s="16">
        <f t="shared" si="0"/>
        <v>1</v>
      </c>
    </row>
    <row r="9" spans="2:25" ht="13.5" thickBot="1" x14ac:dyDescent="0.25">
      <c r="B9" s="10" t="s">
        <v>17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" t="s">
        <v>17</v>
      </c>
      <c r="P9" s="11"/>
      <c r="Q9" s="11"/>
      <c r="R9" s="11"/>
      <c r="S9" s="12"/>
      <c r="T9" s="11"/>
      <c r="U9" s="11"/>
      <c r="V9" s="11"/>
      <c r="W9" s="11"/>
      <c r="X9" s="11"/>
      <c r="Y9" s="52"/>
    </row>
    <row r="10" spans="2:25" ht="13.5" thickBot="1" x14ac:dyDescent="0.25">
      <c r="B10" s="40"/>
      <c r="C10" s="14" t="s">
        <v>48</v>
      </c>
      <c r="D10" s="15" t="s">
        <v>16</v>
      </c>
      <c r="E10" s="16">
        <f>SUM('ADVANCE:ELECTION DAY'!E10)</f>
        <v>0</v>
      </c>
      <c r="F10" s="16">
        <f>SUM('ADVANCE:ELECTION DAY'!F10)</f>
        <v>4</v>
      </c>
      <c r="G10" s="16">
        <f>SUM('ADVANCE:ELECTION DAY'!G10)</f>
        <v>4</v>
      </c>
      <c r="H10" s="16">
        <f>SUM('ADVANCE:ELECTION DAY'!H10)</f>
        <v>7</v>
      </c>
      <c r="I10" s="16">
        <f>SUM('ADVANCE:ELECTION DAY'!I10)</f>
        <v>6</v>
      </c>
      <c r="J10" s="16">
        <f>SUM('ADVANCE:ELECTION DAY'!J10)</f>
        <v>10</v>
      </c>
      <c r="K10" s="16">
        <f>SUM('ADVANCE:ELECTION DAY'!K10)</f>
        <v>53</v>
      </c>
      <c r="L10" s="16">
        <f>SUM('ADVANCE:ELECTION DAY'!L10)</f>
        <v>19</v>
      </c>
      <c r="M10" s="16">
        <f>SUM('ADVANCE:ELECTION DAY'!M10)</f>
        <v>0</v>
      </c>
      <c r="N10" s="16">
        <f>SUM('ADVANCE:ELECTION DAY'!N10)</f>
        <v>4</v>
      </c>
      <c r="O10" s="14" t="s">
        <v>48</v>
      </c>
      <c r="P10" s="15" t="s">
        <v>16</v>
      </c>
      <c r="Q10" s="16">
        <f>SUM('ADVANCE:ELECTION DAY'!Q10)</f>
        <v>0</v>
      </c>
      <c r="R10" s="16">
        <f>SUM('ADVANCE:ELECTION DAY'!R10)</f>
        <v>0</v>
      </c>
      <c r="S10" s="16">
        <f>SUM('ADVANCE:ELECTION DAY'!S10)</f>
        <v>6</v>
      </c>
      <c r="T10" s="16">
        <f>SUM('ADVANCE:ELECTION DAY'!T10)</f>
        <v>0</v>
      </c>
      <c r="U10" s="16">
        <f>SUM('ADVANCE:ELECTION DAY'!U10)</f>
        <v>8</v>
      </c>
      <c r="V10" s="16">
        <f>SUM('ADVANCE:ELECTION DAY'!V10)</f>
        <v>0</v>
      </c>
      <c r="W10" s="16">
        <f>SUM('ADVANCE:ELECTION DAY'!W10)</f>
        <v>6</v>
      </c>
      <c r="X10" s="16">
        <f>SUM('ADVANCE:ELECTION DAY'!X10)</f>
        <v>13</v>
      </c>
      <c r="Y10" s="16">
        <f t="shared" si="0"/>
        <v>140</v>
      </c>
    </row>
    <row r="11" spans="2:25" ht="13.5" thickBot="1" x14ac:dyDescent="0.25">
      <c r="B11" s="40"/>
      <c r="C11" s="14" t="s">
        <v>49</v>
      </c>
      <c r="D11" s="15" t="s">
        <v>15</v>
      </c>
      <c r="E11" s="16">
        <f>SUM('ADVANCE:ELECTION DAY'!E11)</f>
        <v>20</v>
      </c>
      <c r="F11" s="16">
        <f>SUM('ADVANCE:ELECTION DAY'!F11)</f>
        <v>48</v>
      </c>
      <c r="G11" s="16">
        <f>SUM('ADVANCE:ELECTION DAY'!G11)</f>
        <v>39</v>
      </c>
      <c r="H11" s="16">
        <f>SUM('ADVANCE:ELECTION DAY'!H11)</f>
        <v>27</v>
      </c>
      <c r="I11" s="16">
        <f>SUM('ADVANCE:ELECTION DAY'!I11)</f>
        <v>24</v>
      </c>
      <c r="J11" s="16">
        <f>SUM('ADVANCE:ELECTION DAY'!J11)</f>
        <v>75</v>
      </c>
      <c r="K11" s="16">
        <f>SUM('ADVANCE:ELECTION DAY'!K11)</f>
        <v>265</v>
      </c>
      <c r="L11" s="16">
        <f>SUM('ADVANCE:ELECTION DAY'!L11)</f>
        <v>117</v>
      </c>
      <c r="M11" s="16">
        <f>SUM('ADVANCE:ELECTION DAY'!M11)</f>
        <v>6</v>
      </c>
      <c r="N11" s="16">
        <f>SUM('ADVANCE:ELECTION DAY'!N11)</f>
        <v>41</v>
      </c>
      <c r="O11" s="14" t="s">
        <v>49</v>
      </c>
      <c r="P11" s="15" t="s">
        <v>15</v>
      </c>
      <c r="Q11" s="16">
        <f>SUM('ADVANCE:ELECTION DAY'!Q11)</f>
        <v>32</v>
      </c>
      <c r="R11" s="16">
        <f>SUM('ADVANCE:ELECTION DAY'!R11)</f>
        <v>17</v>
      </c>
      <c r="S11" s="16">
        <f>SUM('ADVANCE:ELECTION DAY'!S11)</f>
        <v>63</v>
      </c>
      <c r="T11" s="16">
        <f>SUM('ADVANCE:ELECTION DAY'!T11)</f>
        <v>30</v>
      </c>
      <c r="U11" s="16">
        <f>SUM('ADVANCE:ELECTION DAY'!U11)</f>
        <v>13</v>
      </c>
      <c r="V11" s="16">
        <f>SUM('ADVANCE:ELECTION DAY'!V11)</f>
        <v>14</v>
      </c>
      <c r="W11" s="16">
        <f>SUM('ADVANCE:ELECTION DAY'!W11)</f>
        <v>79</v>
      </c>
      <c r="X11" s="16">
        <f>SUM('ADVANCE:ELECTION DAY'!X11)</f>
        <v>94</v>
      </c>
      <c r="Y11" s="16">
        <f t="shared" si="0"/>
        <v>1004</v>
      </c>
    </row>
    <row r="12" spans="2:25" ht="13.5" thickBot="1" x14ac:dyDescent="0.25">
      <c r="B12" s="14"/>
      <c r="C12" s="14"/>
      <c r="D12" s="15"/>
      <c r="E12" s="16">
        <f>SUM('ADVANCE:ELECTION DAY'!E12)</f>
        <v>0</v>
      </c>
      <c r="F12" s="16">
        <f>SUM('ADVANCE:ELECTION DAY'!F12)</f>
        <v>0</v>
      </c>
      <c r="G12" s="16">
        <f>SUM('ADVANCE:ELECTION DAY'!G12)</f>
        <v>0</v>
      </c>
      <c r="H12" s="16">
        <f>SUM('ADVANCE:ELECTION DAY'!H12)</f>
        <v>0</v>
      </c>
      <c r="I12" s="16">
        <f>SUM('ADVANCE:ELECTION DAY'!I12)</f>
        <v>0</v>
      </c>
      <c r="J12" s="16">
        <f>SUM('ADVANCE:ELECTION DAY'!J12)</f>
        <v>0</v>
      </c>
      <c r="K12" s="16">
        <f>SUM('ADVANCE:ELECTION DAY'!K12)</f>
        <v>0</v>
      </c>
      <c r="L12" s="16">
        <f>SUM('ADVANCE:ELECTION DAY'!L12)</f>
        <v>0</v>
      </c>
      <c r="M12" s="16">
        <f>SUM('ADVANCE:ELECTION DAY'!M12)</f>
        <v>0</v>
      </c>
      <c r="N12" s="16">
        <f>SUM('ADVANCE:ELECTION DAY'!N12)</f>
        <v>0</v>
      </c>
      <c r="O12" s="14"/>
      <c r="P12" s="15"/>
      <c r="Q12" s="16">
        <f>SUM('ADVANCE:ELECTION DAY'!Q12)</f>
        <v>0</v>
      </c>
      <c r="R12" s="16">
        <f>SUM('ADVANCE:ELECTION DAY'!R12)</f>
        <v>0</v>
      </c>
      <c r="S12" s="16">
        <f>SUM('ADVANCE:ELECTION DAY'!S12)</f>
        <v>0</v>
      </c>
      <c r="T12" s="16">
        <f>SUM('ADVANCE:ELECTION DAY'!T12)</f>
        <v>0</v>
      </c>
      <c r="U12" s="16">
        <f>SUM('ADVANCE:ELECTION DAY'!U12)</f>
        <v>0</v>
      </c>
      <c r="V12" s="16">
        <f>SUM('ADVANCE:ELECTION DAY'!V12)</f>
        <v>0</v>
      </c>
      <c r="W12" s="16">
        <f>SUM('ADVANCE:ELECTION DAY'!W12)</f>
        <v>0</v>
      </c>
      <c r="X12" s="16">
        <f>SUM('ADVANCE:ELECTION DAY'!X12)</f>
        <v>0</v>
      </c>
      <c r="Y12" s="16"/>
    </row>
    <row r="13" spans="2:25" ht="13.5" thickBot="1" x14ac:dyDescent="0.25">
      <c r="B13" s="17" t="s">
        <v>56</v>
      </c>
      <c r="C13" s="18"/>
      <c r="D13" s="18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7" t="s">
        <v>56</v>
      </c>
      <c r="P13" s="18"/>
      <c r="Q13" s="19"/>
      <c r="R13" s="18"/>
      <c r="S13" s="19"/>
      <c r="T13" s="18"/>
      <c r="U13" s="18"/>
      <c r="V13" s="18"/>
      <c r="W13" s="18"/>
      <c r="X13" s="18"/>
      <c r="Y13" s="52"/>
    </row>
    <row r="14" spans="2:25" ht="13.5" thickBot="1" x14ac:dyDescent="0.25">
      <c r="B14" s="40"/>
      <c r="C14" s="15" t="s">
        <v>55</v>
      </c>
      <c r="D14" s="15" t="s">
        <v>15</v>
      </c>
      <c r="E14" s="16">
        <f>SUM('ADVANCE:ELECTION DAY'!E14)</f>
        <v>20</v>
      </c>
      <c r="F14" s="16">
        <f>SUM('ADVANCE:ELECTION DAY'!F14)</f>
        <v>48</v>
      </c>
      <c r="G14" s="16">
        <f>SUM('ADVANCE:ELECTION DAY'!G14)</f>
        <v>41</v>
      </c>
      <c r="H14" s="16">
        <f>SUM('ADVANCE:ELECTION DAY'!H14)</f>
        <v>31</v>
      </c>
      <c r="I14" s="16">
        <f>SUM('ADVANCE:ELECTION DAY'!I14)</f>
        <v>28</v>
      </c>
      <c r="J14" s="16">
        <f>SUM('ADVANCE:ELECTION DAY'!J14)</f>
        <v>72</v>
      </c>
      <c r="K14" s="16">
        <f>SUM('ADVANCE:ELECTION DAY'!K14)</f>
        <v>285</v>
      </c>
      <c r="L14" s="16">
        <f>SUM('ADVANCE:ELECTION DAY'!L14)</f>
        <v>119</v>
      </c>
      <c r="M14" s="16">
        <f>SUM('ADVANCE:ELECTION DAY'!M14)</f>
        <v>5</v>
      </c>
      <c r="N14" s="16">
        <f>SUM('ADVANCE:ELECTION DAY'!N14)</f>
        <v>44</v>
      </c>
      <c r="O14" s="15" t="s">
        <v>55</v>
      </c>
      <c r="P14" s="15" t="s">
        <v>15</v>
      </c>
      <c r="Q14" s="16">
        <f>SUM('ADVANCE:ELECTION DAY'!Q14)</f>
        <v>32</v>
      </c>
      <c r="R14" s="16">
        <f>SUM('ADVANCE:ELECTION DAY'!R14)</f>
        <v>16</v>
      </c>
      <c r="S14" s="16">
        <f>SUM('ADVANCE:ELECTION DAY'!S14)</f>
        <v>66</v>
      </c>
      <c r="T14" s="16">
        <f>SUM('ADVANCE:ELECTION DAY'!T14)</f>
        <v>31</v>
      </c>
      <c r="U14" s="16">
        <f>SUM('ADVANCE:ELECTION DAY'!U14)</f>
        <v>18</v>
      </c>
      <c r="V14" s="16">
        <f>SUM('ADVANCE:ELECTION DAY'!V14)</f>
        <v>15</v>
      </c>
      <c r="W14" s="16">
        <f>SUM('ADVANCE:ELECTION DAY'!W14)</f>
        <v>76</v>
      </c>
      <c r="X14" s="16">
        <f>SUM('ADVANCE:ELECTION DAY'!X14)</f>
        <v>98</v>
      </c>
      <c r="Y14" s="16">
        <f t="shared" si="0"/>
        <v>1045</v>
      </c>
    </row>
    <row r="15" spans="2:25" ht="13.5" thickBot="1" x14ac:dyDescent="0.25">
      <c r="B15" s="17" t="s">
        <v>57</v>
      </c>
      <c r="C15" s="18"/>
      <c r="D15" s="18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7" t="s">
        <v>57</v>
      </c>
      <c r="P15" s="18"/>
      <c r="Q15" s="19"/>
      <c r="R15" s="18"/>
      <c r="S15" s="19"/>
      <c r="T15" s="18"/>
      <c r="U15" s="18"/>
      <c r="V15" s="18"/>
      <c r="W15" s="18"/>
      <c r="X15" s="18"/>
      <c r="Y15" s="52"/>
    </row>
    <row r="16" spans="2:25" ht="13.5" thickBot="1" x14ac:dyDescent="0.25">
      <c r="B16" s="40"/>
      <c r="C16" s="15" t="s">
        <v>58</v>
      </c>
      <c r="D16" s="15" t="s">
        <v>16</v>
      </c>
      <c r="E16" s="16">
        <f>SUM('ADVANCE:ELECTION DAY'!E16)</f>
        <v>0</v>
      </c>
      <c r="F16" s="16">
        <f>SUM('ADVANCE:ELECTION DAY'!F16)</f>
        <v>7</v>
      </c>
      <c r="G16" s="16">
        <f>SUM('ADVANCE:ELECTION DAY'!G16)</f>
        <v>5</v>
      </c>
      <c r="H16" s="16">
        <f>SUM('ADVANCE:ELECTION DAY'!H16)</f>
        <v>6</v>
      </c>
      <c r="I16" s="16">
        <f>SUM('ADVANCE:ELECTION DAY'!I16)</f>
        <v>7</v>
      </c>
      <c r="J16" s="16">
        <f>SUM('ADVANCE:ELECTION DAY'!J16)</f>
        <v>16</v>
      </c>
      <c r="K16" s="16">
        <f>SUM('ADVANCE:ELECTION DAY'!K16)</f>
        <v>58</v>
      </c>
      <c r="L16" s="16">
        <f>SUM('ADVANCE:ELECTION DAY'!L16)</f>
        <v>24</v>
      </c>
      <c r="M16" s="16">
        <f>SUM('ADVANCE:ELECTION DAY'!M16)</f>
        <v>0</v>
      </c>
      <c r="N16" s="16">
        <f>SUM('ADVANCE:ELECTION DAY'!N16)</f>
        <v>5</v>
      </c>
      <c r="O16" s="15" t="s">
        <v>58</v>
      </c>
      <c r="P16" s="15" t="s">
        <v>16</v>
      </c>
      <c r="Q16" s="16">
        <f>SUM('ADVANCE:ELECTION DAY'!Q16)</f>
        <v>1</v>
      </c>
      <c r="R16" s="16">
        <f>SUM('ADVANCE:ELECTION DAY'!R16)</f>
        <v>2</v>
      </c>
      <c r="S16" s="16">
        <f>SUM('ADVANCE:ELECTION DAY'!S16)</f>
        <v>9</v>
      </c>
      <c r="T16" s="16">
        <f>SUM('ADVANCE:ELECTION DAY'!T16)</f>
        <v>0</v>
      </c>
      <c r="U16" s="16">
        <f>SUM('ADVANCE:ELECTION DAY'!U16)</f>
        <v>9</v>
      </c>
      <c r="V16" s="16">
        <f>SUM('ADVANCE:ELECTION DAY'!V16)</f>
        <v>1</v>
      </c>
      <c r="W16" s="16">
        <f>SUM('ADVANCE:ELECTION DAY'!W16)</f>
        <v>8</v>
      </c>
      <c r="X16" s="16">
        <f>SUM('ADVANCE:ELECTION DAY'!X16)</f>
        <v>13</v>
      </c>
      <c r="Y16" s="16">
        <f t="shared" si="0"/>
        <v>171</v>
      </c>
    </row>
    <row r="17" spans="1:25" ht="13.5" thickBot="1" x14ac:dyDescent="0.25">
      <c r="B17" s="40"/>
      <c r="C17" s="15" t="s">
        <v>40</v>
      </c>
      <c r="D17" s="15" t="s">
        <v>15</v>
      </c>
      <c r="E17" s="16">
        <f>SUM('ADVANCE:ELECTION DAY'!E17)</f>
        <v>20</v>
      </c>
      <c r="F17" s="16">
        <f>SUM('ADVANCE:ELECTION DAY'!F17)</f>
        <v>38</v>
      </c>
      <c r="G17" s="16">
        <f>SUM('ADVANCE:ELECTION DAY'!G17)</f>
        <v>39</v>
      </c>
      <c r="H17" s="16">
        <f>SUM('ADVANCE:ELECTION DAY'!H17)</f>
        <v>28</v>
      </c>
      <c r="I17" s="16">
        <f>SUM('ADVANCE:ELECTION DAY'!I17)</f>
        <v>23</v>
      </c>
      <c r="J17" s="16">
        <f>SUM('ADVANCE:ELECTION DAY'!J17)</f>
        <v>67</v>
      </c>
      <c r="K17" s="16">
        <f>SUM('ADVANCE:ELECTION DAY'!K17)</f>
        <v>244</v>
      </c>
      <c r="L17" s="16">
        <f>SUM('ADVANCE:ELECTION DAY'!L17)</f>
        <v>105</v>
      </c>
      <c r="M17" s="16">
        <f>SUM('ADVANCE:ELECTION DAY'!M17)</f>
        <v>5</v>
      </c>
      <c r="N17" s="16">
        <f>SUM('ADVANCE:ELECTION DAY'!N17)</f>
        <v>39</v>
      </c>
      <c r="O17" s="15" t="s">
        <v>40</v>
      </c>
      <c r="P17" s="15" t="s">
        <v>15</v>
      </c>
      <c r="Q17" s="16">
        <f>SUM('ADVANCE:ELECTION DAY'!Q17)</f>
        <v>30</v>
      </c>
      <c r="R17" s="16">
        <f>SUM('ADVANCE:ELECTION DAY'!R17)</f>
        <v>15</v>
      </c>
      <c r="S17" s="16">
        <f>SUM('ADVANCE:ELECTION DAY'!S17)</f>
        <v>58</v>
      </c>
      <c r="T17" s="16">
        <f>SUM('ADVANCE:ELECTION DAY'!T17)</f>
        <v>31</v>
      </c>
      <c r="U17" s="16">
        <f>SUM('ADVANCE:ELECTION DAY'!U17)</f>
        <v>12</v>
      </c>
      <c r="V17" s="16">
        <f>SUM('ADVANCE:ELECTION DAY'!V17)</f>
        <v>13</v>
      </c>
      <c r="W17" s="16">
        <f>SUM('ADVANCE:ELECTION DAY'!W17)</f>
        <v>76</v>
      </c>
      <c r="X17" s="16">
        <f>SUM('ADVANCE:ELECTION DAY'!X17)</f>
        <v>92</v>
      </c>
      <c r="Y17" s="16">
        <f t="shared" si="0"/>
        <v>935</v>
      </c>
    </row>
    <row r="18" spans="1:25" ht="13.5" thickBot="1" x14ac:dyDescent="0.25">
      <c r="B18" s="17" t="s">
        <v>59</v>
      </c>
      <c r="C18" s="18"/>
      <c r="D18" s="18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33" t="s">
        <v>59</v>
      </c>
      <c r="P18" s="18"/>
      <c r="Q18" s="19"/>
      <c r="R18" s="18"/>
      <c r="S18" s="19"/>
      <c r="T18" s="18"/>
      <c r="U18" s="18"/>
      <c r="V18" s="18"/>
      <c r="W18" s="18"/>
      <c r="X18" s="18"/>
      <c r="Y18" s="52"/>
    </row>
    <row r="19" spans="1:25" ht="13.5" thickBot="1" x14ac:dyDescent="0.25">
      <c r="B19" s="40"/>
      <c r="C19" s="15" t="s">
        <v>60</v>
      </c>
      <c r="D19" s="15" t="s">
        <v>15</v>
      </c>
      <c r="E19" s="16">
        <f>SUM('ADVANCE:ELECTION DAY'!E19)</f>
        <v>19</v>
      </c>
      <c r="F19" s="16">
        <f>SUM('ADVANCE:ELECTION DAY'!F19)</f>
        <v>43</v>
      </c>
      <c r="G19" s="16">
        <f>SUM('ADVANCE:ELECTION DAY'!G19)</f>
        <v>42</v>
      </c>
      <c r="H19" s="16">
        <f>SUM('ADVANCE:ELECTION DAY'!H19)</f>
        <v>31</v>
      </c>
      <c r="I19" s="16">
        <f>SUM('ADVANCE:ELECTION DAY'!I19)</f>
        <v>27</v>
      </c>
      <c r="J19" s="16">
        <f>SUM('ADVANCE:ELECTION DAY'!J19)</f>
        <v>72</v>
      </c>
      <c r="K19" s="16">
        <f>SUM('ADVANCE:ELECTION DAY'!K19)</f>
        <v>281</v>
      </c>
      <c r="L19" s="16">
        <f>SUM('ADVANCE:ELECTION DAY'!L19)</f>
        <v>127</v>
      </c>
      <c r="M19" s="16">
        <f>SUM('ADVANCE:ELECTION DAY'!M19)</f>
        <v>3</v>
      </c>
      <c r="N19" s="16">
        <f>SUM('ADVANCE:ELECTION DAY'!N19)</f>
        <v>42</v>
      </c>
      <c r="O19" s="15" t="s">
        <v>60</v>
      </c>
      <c r="P19" s="15" t="s">
        <v>15</v>
      </c>
      <c r="Q19" s="16">
        <f>SUM('ADVANCE:ELECTION DAY'!Q19)</f>
        <v>30</v>
      </c>
      <c r="R19" s="16">
        <f>SUM('ADVANCE:ELECTION DAY'!R19)</f>
        <v>16</v>
      </c>
      <c r="S19" s="16">
        <f>SUM('ADVANCE:ELECTION DAY'!S19)</f>
        <v>66</v>
      </c>
      <c r="T19" s="16">
        <f>SUM('ADVANCE:ELECTION DAY'!T19)</f>
        <v>26</v>
      </c>
      <c r="U19" s="16">
        <f>SUM('ADVANCE:ELECTION DAY'!U19)</f>
        <v>18</v>
      </c>
      <c r="V19" s="16">
        <f>SUM('ADVANCE:ELECTION DAY'!V19)</f>
        <v>15</v>
      </c>
      <c r="W19" s="16">
        <f>SUM('ADVANCE:ELECTION DAY'!W19)</f>
        <v>75</v>
      </c>
      <c r="X19" s="16">
        <f>SUM('ADVANCE:ELECTION DAY'!X19)</f>
        <v>99</v>
      </c>
      <c r="Y19" s="16">
        <f t="shared" si="0"/>
        <v>1032</v>
      </c>
    </row>
    <row r="20" spans="1:25" ht="13.5" thickBot="1" x14ac:dyDescent="0.25">
      <c r="B20" s="40"/>
      <c r="C20" s="15"/>
      <c r="D20" s="15"/>
      <c r="E20" s="16">
        <f>SUM('ADVANCE:ELECTION DAY'!E20)</f>
        <v>0</v>
      </c>
      <c r="F20" s="16">
        <f>SUM('ADVANCE:ELECTION DAY'!F20)</f>
        <v>0</v>
      </c>
      <c r="G20" s="16">
        <f>SUM('ADVANCE:ELECTION DAY'!G20)</f>
        <v>0</v>
      </c>
      <c r="H20" s="16">
        <f>SUM('ADVANCE:ELECTION DAY'!H20)</f>
        <v>0</v>
      </c>
      <c r="I20" s="16">
        <f>SUM('ADVANCE:ELECTION DAY'!I20)</f>
        <v>0</v>
      </c>
      <c r="J20" s="16">
        <f>SUM('ADVANCE:ELECTION DAY'!J20)</f>
        <v>0</v>
      </c>
      <c r="K20" s="16">
        <f>SUM('ADVANCE:ELECTION DAY'!K20)</f>
        <v>0</v>
      </c>
      <c r="L20" s="16">
        <f>SUM('ADVANCE:ELECTION DAY'!L20)</f>
        <v>0</v>
      </c>
      <c r="M20" s="16">
        <f>SUM('ADVANCE:ELECTION DAY'!M20)</f>
        <v>0</v>
      </c>
      <c r="N20" s="16">
        <f>SUM('ADVANCE:ELECTION DAY'!N20)</f>
        <v>0</v>
      </c>
      <c r="O20" s="15"/>
      <c r="P20" s="15"/>
      <c r="Q20" s="16">
        <f>SUM('ADVANCE:ELECTION DAY'!Q20)</f>
        <v>0</v>
      </c>
      <c r="R20" s="16">
        <f>SUM('ADVANCE:ELECTION DAY'!R20)</f>
        <v>0</v>
      </c>
      <c r="S20" s="16">
        <f>SUM('ADVANCE:ELECTION DAY'!S20)</f>
        <v>0</v>
      </c>
      <c r="T20" s="16">
        <f>SUM('ADVANCE:ELECTION DAY'!T20)</f>
        <v>0</v>
      </c>
      <c r="U20" s="16">
        <f>SUM('ADVANCE:ELECTION DAY'!U20)</f>
        <v>0</v>
      </c>
      <c r="V20" s="16">
        <f>SUM('ADVANCE:ELECTION DAY'!V20)</f>
        <v>0</v>
      </c>
      <c r="W20" s="16">
        <f>SUM('ADVANCE:ELECTION DAY'!W20)</f>
        <v>0</v>
      </c>
      <c r="X20" s="16">
        <f>SUM('ADVANCE:ELECTION DAY'!X20)</f>
        <v>0</v>
      </c>
      <c r="Y20" s="16"/>
    </row>
    <row r="21" spans="1:25" ht="13.5" thickBot="1" x14ac:dyDescent="0.25">
      <c r="B21" s="22" t="s">
        <v>61</v>
      </c>
      <c r="C21" s="23"/>
      <c r="D21" s="2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22" t="s">
        <v>61</v>
      </c>
      <c r="P21" s="23"/>
      <c r="Q21" s="23"/>
      <c r="R21" s="23"/>
      <c r="S21" s="24"/>
      <c r="T21" s="23"/>
      <c r="U21" s="23"/>
      <c r="V21" s="23"/>
      <c r="W21" s="23"/>
      <c r="X21" s="23"/>
      <c r="Y21" s="52"/>
    </row>
    <row r="22" spans="1:25" ht="13.5" thickBot="1" x14ac:dyDescent="0.25">
      <c r="B22" s="41"/>
      <c r="C22" s="15" t="s">
        <v>62</v>
      </c>
      <c r="D22" s="15" t="s">
        <v>15</v>
      </c>
      <c r="E22" s="16">
        <f>SUM('ADVANCE:ELECTION DAY'!E22)</f>
        <v>20</v>
      </c>
      <c r="F22" s="16">
        <f>SUM('ADVANCE:ELECTION DAY'!F22)</f>
        <v>42</v>
      </c>
      <c r="G22" s="16">
        <f>SUM('ADVANCE:ELECTION DAY'!G22)</f>
        <v>40</v>
      </c>
      <c r="H22" s="16">
        <f>SUM('ADVANCE:ELECTION DAY'!H22)</f>
        <v>30</v>
      </c>
      <c r="I22" s="16">
        <f>SUM('ADVANCE:ELECTION DAY'!I22)</f>
        <v>25</v>
      </c>
      <c r="J22" s="16">
        <f>SUM('ADVANCE:ELECTION DAY'!J22)</f>
        <v>67</v>
      </c>
      <c r="K22" s="16">
        <f>SUM('ADVANCE:ELECTION DAY'!K22)</f>
        <v>268</v>
      </c>
      <c r="L22" s="16">
        <f>SUM('ADVANCE:ELECTION DAY'!L22)</f>
        <v>116</v>
      </c>
      <c r="M22" s="16">
        <f>SUM('ADVANCE:ELECTION DAY'!M22)</f>
        <v>4</v>
      </c>
      <c r="N22" s="16">
        <f>SUM('ADVANCE:ELECTION DAY'!N22)</f>
        <v>43</v>
      </c>
      <c r="O22" s="15" t="s">
        <v>62</v>
      </c>
      <c r="P22" s="15" t="s">
        <v>15</v>
      </c>
      <c r="Q22" s="16">
        <f>SUM('ADVANCE:ELECTION DAY'!Q22)</f>
        <v>29</v>
      </c>
      <c r="R22" s="16">
        <f>SUM('ADVANCE:ELECTION DAY'!R22)</f>
        <v>17</v>
      </c>
      <c r="S22" s="16">
        <f>SUM('ADVANCE:ELECTION DAY'!S22)</f>
        <v>64</v>
      </c>
      <c r="T22" s="16">
        <f>SUM('ADVANCE:ELECTION DAY'!T22)</f>
        <v>29</v>
      </c>
      <c r="U22" s="16">
        <f>SUM('ADVANCE:ELECTION DAY'!U22)</f>
        <v>17</v>
      </c>
      <c r="V22" s="16">
        <f>SUM('ADVANCE:ELECTION DAY'!V22)</f>
        <v>11</v>
      </c>
      <c r="W22" s="16">
        <f>SUM('ADVANCE:ELECTION DAY'!W22)</f>
        <v>74</v>
      </c>
      <c r="X22" s="16">
        <f>SUM('ADVANCE:ELECTION DAY'!X22)</f>
        <v>98</v>
      </c>
      <c r="Y22" s="16">
        <f t="shared" si="0"/>
        <v>994</v>
      </c>
    </row>
    <row r="23" spans="1:25" ht="13.5" thickBot="1" x14ac:dyDescent="0.25">
      <c r="B23" s="22" t="s">
        <v>63</v>
      </c>
      <c r="C23" s="23"/>
      <c r="D23" s="2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 t="s">
        <v>63</v>
      </c>
      <c r="P23" s="23"/>
      <c r="Q23" s="23"/>
      <c r="R23" s="23"/>
      <c r="S23" s="24"/>
      <c r="T23" s="23"/>
      <c r="U23" s="23"/>
      <c r="V23" s="23"/>
      <c r="W23" s="23"/>
      <c r="X23" s="23"/>
      <c r="Y23" s="52"/>
    </row>
    <row r="24" spans="1:25" ht="13.5" thickBot="1" x14ac:dyDescent="0.25">
      <c r="B24" s="41"/>
      <c r="C24" s="15" t="s">
        <v>64</v>
      </c>
      <c r="D24" s="15" t="s">
        <v>15</v>
      </c>
      <c r="E24" s="16">
        <f>SUM('ADVANCE:ELECTION DAY'!E24)</f>
        <v>19</v>
      </c>
      <c r="F24" s="16">
        <f>SUM('ADVANCE:ELECTION DAY'!F24)</f>
        <v>41</v>
      </c>
      <c r="G24" s="16">
        <f>SUM('ADVANCE:ELECTION DAY'!G24)</f>
        <v>41</v>
      </c>
      <c r="H24" s="16">
        <f>SUM('ADVANCE:ELECTION DAY'!H24)</f>
        <v>31</v>
      </c>
      <c r="I24" s="16">
        <f>SUM('ADVANCE:ELECTION DAY'!I24)</f>
        <v>25</v>
      </c>
      <c r="J24" s="16">
        <f>SUM('ADVANCE:ELECTION DAY'!J24)</f>
        <v>74</v>
      </c>
      <c r="K24" s="16">
        <f>SUM('ADVANCE:ELECTION DAY'!K24)</f>
        <v>289</v>
      </c>
      <c r="L24" s="16">
        <f>SUM('ADVANCE:ELECTION DAY'!L24)</f>
        <v>130</v>
      </c>
      <c r="M24" s="16">
        <f>SUM('ADVANCE:ELECTION DAY'!M24)</f>
        <v>5</v>
      </c>
      <c r="N24" s="16">
        <f>SUM('ADVANCE:ELECTION DAY'!N24)</f>
        <v>38</v>
      </c>
      <c r="O24" s="15" t="s">
        <v>64</v>
      </c>
      <c r="P24" s="15" t="s">
        <v>15</v>
      </c>
      <c r="Q24" s="16">
        <f>SUM('ADVANCE:ELECTION DAY'!Q24)</f>
        <v>30</v>
      </c>
      <c r="R24" s="16">
        <f>SUM('ADVANCE:ELECTION DAY'!R24)</f>
        <v>16</v>
      </c>
      <c r="S24" s="16">
        <f>SUM('ADVANCE:ELECTION DAY'!S24)</f>
        <v>58</v>
      </c>
      <c r="T24" s="16">
        <f>SUM('ADVANCE:ELECTION DAY'!T24)</f>
        <v>26</v>
      </c>
      <c r="U24" s="16">
        <f>SUM('ADVANCE:ELECTION DAY'!U24)</f>
        <v>15</v>
      </c>
      <c r="V24" s="16">
        <f>SUM('ADVANCE:ELECTION DAY'!V24)</f>
        <v>15</v>
      </c>
      <c r="W24" s="16">
        <f>SUM('ADVANCE:ELECTION DAY'!W24)</f>
        <v>74</v>
      </c>
      <c r="X24" s="16">
        <f>SUM('ADVANCE:ELECTION DAY'!X24)</f>
        <v>99</v>
      </c>
      <c r="Y24" s="16">
        <f>SUM(E24:X24)</f>
        <v>1026</v>
      </c>
    </row>
    <row r="25" spans="1:25" ht="13.5" thickBot="1" x14ac:dyDescent="0.25">
      <c r="B25" s="40"/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6"/>
      <c r="R25" s="16"/>
      <c r="S25" s="16"/>
      <c r="T25" s="16"/>
      <c r="U25" s="16"/>
      <c r="V25" s="16"/>
      <c r="W25" s="16"/>
      <c r="X25" s="32"/>
      <c r="Y25" s="16"/>
    </row>
    <row r="26" spans="1:25" x14ac:dyDescent="0.2">
      <c r="B26" s="58"/>
      <c r="C26" s="26"/>
      <c r="D26" s="26"/>
      <c r="E26" s="7"/>
      <c r="F26" s="7"/>
      <c r="G26" s="7"/>
      <c r="H26" s="7"/>
      <c r="I26" s="7"/>
      <c r="J26" s="7"/>
      <c r="K26" s="7"/>
      <c r="L26" s="7"/>
      <c r="M26" s="7"/>
      <c r="N26" s="7"/>
      <c r="O26" s="26"/>
      <c r="P26" s="26"/>
      <c r="Q26" s="7"/>
      <c r="R26" s="7"/>
      <c r="S26" s="7"/>
      <c r="T26" s="7"/>
      <c r="U26" s="7"/>
      <c r="V26" s="7"/>
      <c r="W26" s="7"/>
      <c r="X26" s="7"/>
      <c r="Y26" s="7"/>
    </row>
    <row r="27" spans="1:25" ht="27.75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</row>
    <row r="28" spans="1:25" ht="27.75" x14ac:dyDescent="0.4"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  <c r="S28" s="1"/>
      <c r="T28" s="1"/>
      <c r="U28" s="1"/>
      <c r="V28" s="1"/>
      <c r="W28" s="1"/>
      <c r="X28" s="1"/>
      <c r="Y28" s="1"/>
    </row>
    <row r="29" spans="1:25" ht="20.100000000000001" customHeight="1" x14ac:dyDescent="0.4"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35"/>
      <c r="Q29" s="1"/>
      <c r="R29" s="1"/>
      <c r="S29" s="35"/>
      <c r="T29" s="1"/>
      <c r="U29" s="1"/>
      <c r="V29" s="1"/>
      <c r="W29" s="1"/>
      <c r="X29" s="1"/>
      <c r="Y29" s="1"/>
    </row>
    <row r="30" spans="1:25" ht="27" x14ac:dyDescent="0.35">
      <c r="B30" s="47" t="s">
        <v>131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7.75" x14ac:dyDescent="0.4">
      <c r="B31" s="1" t="s">
        <v>134</v>
      </c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1"/>
      <c r="T31" s="1"/>
      <c r="U31" s="1"/>
      <c r="V31" s="1"/>
      <c r="W31" s="1"/>
      <c r="X31" s="1"/>
      <c r="Y31" s="1"/>
    </row>
    <row r="32" spans="1:25" ht="15" customHeight="1" thickBot="1" x14ac:dyDescent="0.3">
      <c r="A32" s="6"/>
      <c r="Y32" s="7"/>
    </row>
    <row r="33" spans="2:25" ht="102" thickBot="1" x14ac:dyDescent="0.25">
      <c r="B33" s="8" t="s">
        <v>0</v>
      </c>
      <c r="C33" s="8" t="s">
        <v>1</v>
      </c>
      <c r="D33" s="8" t="s">
        <v>2</v>
      </c>
      <c r="E33" s="9" t="s">
        <v>3</v>
      </c>
      <c r="F33" s="9" t="s">
        <v>4</v>
      </c>
      <c r="G33" s="9" t="s">
        <v>5</v>
      </c>
      <c r="H33" s="9" t="s">
        <v>6</v>
      </c>
      <c r="I33" s="9" t="s">
        <v>7</v>
      </c>
      <c r="J33" s="9" t="s">
        <v>41</v>
      </c>
      <c r="K33" s="9" t="s">
        <v>42</v>
      </c>
      <c r="L33" s="9" t="s">
        <v>43</v>
      </c>
      <c r="M33" s="31" t="s">
        <v>44</v>
      </c>
      <c r="N33" s="9" t="s">
        <v>45</v>
      </c>
      <c r="O33" s="42" t="s">
        <v>1</v>
      </c>
      <c r="P33" s="8" t="s">
        <v>2</v>
      </c>
      <c r="Q33" s="9" t="s">
        <v>46</v>
      </c>
      <c r="R33" s="9" t="s">
        <v>8</v>
      </c>
      <c r="S33" s="9" t="s">
        <v>9</v>
      </c>
      <c r="T33" s="9" t="s">
        <v>10</v>
      </c>
      <c r="U33" s="9" t="s">
        <v>47</v>
      </c>
      <c r="V33" s="9" t="s">
        <v>11</v>
      </c>
      <c r="W33" s="9" t="s">
        <v>12</v>
      </c>
      <c r="X33" s="9" t="s">
        <v>13</v>
      </c>
      <c r="Y33" s="9" t="s">
        <v>14</v>
      </c>
    </row>
    <row r="34" spans="2:25" ht="13.5" thickBot="1" x14ac:dyDescent="0.25">
      <c r="B34" s="17" t="s">
        <v>75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17" t="s">
        <v>75</v>
      </c>
      <c r="P34" s="44"/>
      <c r="Q34" s="11"/>
      <c r="R34" s="34"/>
      <c r="S34" s="19"/>
      <c r="T34" s="18"/>
      <c r="U34" s="18"/>
      <c r="V34" s="18"/>
      <c r="W34" s="18"/>
      <c r="X34" s="18"/>
      <c r="Y34" s="18"/>
    </row>
    <row r="35" spans="2:25" ht="13.5" thickBot="1" x14ac:dyDescent="0.25">
      <c r="B35" s="40"/>
      <c r="C35" s="15" t="s">
        <v>76</v>
      </c>
      <c r="D35" s="15" t="s">
        <v>51</v>
      </c>
      <c r="E35" s="16">
        <f>SUM('ADVANCE:ELECTION DAY'!E35)</f>
        <v>0</v>
      </c>
      <c r="F35" s="16">
        <f>SUM('ADVANCE:ELECTION DAY'!F35)</f>
        <v>0</v>
      </c>
      <c r="G35" s="16">
        <f>SUM('ADVANCE:ELECTION DAY'!G35)</f>
        <v>0</v>
      </c>
      <c r="H35" s="16">
        <f>SUM('ADVANCE:ELECTION DAY'!H35)</f>
        <v>32</v>
      </c>
      <c r="I35" s="16">
        <f>SUM('ADVANCE:ELECTION DAY'!I35)</f>
        <v>0</v>
      </c>
      <c r="J35" s="16">
        <f>SUM('ADVANCE:ELECTION DAY'!J35)</f>
        <v>0</v>
      </c>
      <c r="K35" s="16">
        <f>SUM('ADVANCE:ELECTION DAY'!K35)</f>
        <v>252</v>
      </c>
      <c r="L35" s="16">
        <f>SUM('ADVANCE:ELECTION DAY'!L35)</f>
        <v>0</v>
      </c>
      <c r="M35" s="16">
        <f>SUM('ADVANCE:ELECTION DAY'!M35)</f>
        <v>0</v>
      </c>
      <c r="N35" s="16">
        <f>SUM('ADVANCE:ELECTION DAY'!N35)</f>
        <v>35</v>
      </c>
      <c r="O35" s="15" t="s">
        <v>76</v>
      </c>
      <c r="P35" s="15" t="s">
        <v>51</v>
      </c>
      <c r="Q35" s="16">
        <f>SUM('ADVANCE:ELECTION DAY'!Q35)</f>
        <v>0</v>
      </c>
      <c r="R35" s="16">
        <f>SUM('ADVANCE:ELECTION DAY'!R35)</f>
        <v>0</v>
      </c>
      <c r="S35" s="16">
        <f>SUM('ADVANCE:ELECTION DAY'!S35)</f>
        <v>0</v>
      </c>
      <c r="T35" s="16">
        <f>SUM('ADVANCE:ELECTION DAY'!T35)</f>
        <v>0</v>
      </c>
      <c r="U35" s="16">
        <f>SUM('ADVANCE:ELECTION DAY'!U35)</f>
        <v>16</v>
      </c>
      <c r="V35" s="16">
        <f>SUM('ADVANCE:ELECTION DAY'!V35)</f>
        <v>17</v>
      </c>
      <c r="W35" s="16">
        <f>SUM('ADVANCE:ELECTION DAY'!W35)</f>
        <v>0</v>
      </c>
      <c r="X35" s="16">
        <f>SUM('ADVANCE:ELECTION DAY'!X35)</f>
        <v>0</v>
      </c>
      <c r="Y35" s="16">
        <f t="shared" ref="Y35:Y36" si="1">E35+F35+G35+H35+I35+J35+K35+L35+M35+N35+Q35+R35+S35+T35+U35+V35+W35+X35</f>
        <v>352</v>
      </c>
    </row>
    <row r="36" spans="2:25" ht="13.5" thickBot="1" x14ac:dyDescent="0.25">
      <c r="B36" s="40"/>
      <c r="C36" s="15"/>
      <c r="D36" s="15"/>
      <c r="E36" s="16">
        <f>SUM('ADVANCE:ELECTION DAY'!E36)</f>
        <v>0</v>
      </c>
      <c r="F36" s="16">
        <f>SUM('ADVANCE:ELECTION DAY'!F36)</f>
        <v>0</v>
      </c>
      <c r="G36" s="16">
        <f>SUM('ADVANCE:ELECTION DAY'!G36)</f>
        <v>0</v>
      </c>
      <c r="H36" s="16">
        <f>SUM('ADVANCE:ELECTION DAY'!H36)</f>
        <v>0</v>
      </c>
      <c r="I36" s="16">
        <f>SUM('ADVANCE:ELECTION DAY'!I36)</f>
        <v>0</v>
      </c>
      <c r="J36" s="16">
        <f>SUM('ADVANCE:ELECTION DAY'!J36)</f>
        <v>0</v>
      </c>
      <c r="K36" s="16">
        <f>SUM('ADVANCE:ELECTION DAY'!K36)</f>
        <v>0</v>
      </c>
      <c r="L36" s="16">
        <f>SUM('ADVANCE:ELECTION DAY'!L36)</f>
        <v>0</v>
      </c>
      <c r="M36" s="16">
        <f>SUM('ADVANCE:ELECTION DAY'!M36)</f>
        <v>0</v>
      </c>
      <c r="N36" s="16">
        <f>SUM('ADVANCE:ELECTION DAY'!N36)</f>
        <v>0</v>
      </c>
      <c r="O36" s="15"/>
      <c r="P36" s="15"/>
      <c r="Q36" s="16">
        <f>SUM('ADVANCE:ELECTION DAY'!Q36)</f>
        <v>0</v>
      </c>
      <c r="R36" s="16">
        <f>SUM('ADVANCE:ELECTION DAY'!R36)</f>
        <v>0</v>
      </c>
      <c r="S36" s="16">
        <f>SUM('ADVANCE:ELECTION DAY'!S36)</f>
        <v>0</v>
      </c>
      <c r="T36" s="16">
        <f>SUM('ADVANCE:ELECTION DAY'!T36)</f>
        <v>0</v>
      </c>
      <c r="U36" s="16">
        <f>SUM('ADVANCE:ELECTION DAY'!U36)</f>
        <v>0</v>
      </c>
      <c r="V36" s="16">
        <f>SUM('ADVANCE:ELECTION DAY'!V36)</f>
        <v>0</v>
      </c>
      <c r="W36" s="16">
        <f>SUM('ADVANCE:ELECTION DAY'!W36)</f>
        <v>0</v>
      </c>
      <c r="X36" s="16">
        <f>SUM('ADVANCE:ELECTION DAY'!X36)</f>
        <v>0</v>
      </c>
      <c r="Y36" s="16">
        <f t="shared" si="1"/>
        <v>0</v>
      </c>
    </row>
    <row r="37" spans="2:25" ht="13.5" thickBot="1" x14ac:dyDescent="0.25">
      <c r="B37" s="17" t="s">
        <v>77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17" t="s">
        <v>77</v>
      </c>
      <c r="P37" s="18"/>
      <c r="Q37" s="11"/>
      <c r="R37" s="34"/>
      <c r="S37" s="19"/>
      <c r="T37" s="18"/>
      <c r="U37" s="18"/>
      <c r="V37" s="18"/>
      <c r="W37" s="18"/>
      <c r="X37" s="18"/>
      <c r="Y37" s="18"/>
    </row>
    <row r="38" spans="2:25" ht="13.5" thickBot="1" x14ac:dyDescent="0.25">
      <c r="B38" s="40"/>
      <c r="C38" s="15" t="s">
        <v>54</v>
      </c>
      <c r="D38" s="15" t="s">
        <v>51</v>
      </c>
      <c r="E38" s="16">
        <f>SUM('ADVANCE:ELECTION DAY'!E38)</f>
        <v>0</v>
      </c>
      <c r="F38" s="16">
        <f>SUM('ADVANCE:ELECTION DAY'!F38)</f>
        <v>0</v>
      </c>
      <c r="G38" s="16">
        <f>SUM('ADVANCE:ELECTION DAY'!G38)</f>
        <v>0</v>
      </c>
      <c r="H38" s="16">
        <f>SUM('ADVANCE:ELECTION DAY'!H38)</f>
        <v>0</v>
      </c>
      <c r="I38" s="16">
        <f>SUM('ADVANCE:ELECTION DAY'!I38)</f>
        <v>30</v>
      </c>
      <c r="J38" s="16">
        <f>SUM('ADVANCE:ELECTION DAY'!J38)</f>
        <v>0</v>
      </c>
      <c r="K38" s="16">
        <f>SUM('ADVANCE:ELECTION DAY'!K38)</f>
        <v>0</v>
      </c>
      <c r="L38" s="16">
        <f>SUM('ADVANCE:ELECTION DAY'!L38)</f>
        <v>122</v>
      </c>
      <c r="M38" s="16">
        <f>SUM('ADVANCE:ELECTION DAY'!M38)</f>
        <v>0</v>
      </c>
      <c r="N38" s="16">
        <f>SUM('ADVANCE:ELECTION DAY'!N38)</f>
        <v>0</v>
      </c>
      <c r="O38" s="15" t="s">
        <v>54</v>
      </c>
      <c r="P38" s="15" t="s">
        <v>51</v>
      </c>
      <c r="Q38" s="16">
        <f>SUM('ADVANCE:ELECTION DAY'!Q38)</f>
        <v>29</v>
      </c>
      <c r="R38" s="16">
        <f>SUM('ADVANCE:ELECTION DAY'!R38)</f>
        <v>0</v>
      </c>
      <c r="S38" s="16">
        <f>SUM('ADVANCE:ELECTION DAY'!S38)</f>
        <v>60</v>
      </c>
      <c r="T38" s="16">
        <f>SUM('ADVANCE:ELECTION DAY'!T38)</f>
        <v>30</v>
      </c>
      <c r="U38" s="16">
        <f>SUM('ADVANCE:ELECTION DAY'!U38)</f>
        <v>0</v>
      </c>
      <c r="V38" s="16">
        <f>SUM('ADVANCE:ELECTION DAY'!V38)</f>
        <v>0</v>
      </c>
      <c r="W38" s="16">
        <f>SUM('ADVANCE:ELECTION DAY'!W38)</f>
        <v>0</v>
      </c>
      <c r="X38" s="16">
        <f>SUM('ADVANCE:ELECTION DAY'!X38)</f>
        <v>96</v>
      </c>
      <c r="Y38" s="16">
        <f t="shared" ref="Y38:Y39" si="2">E38+F38+G38+H38+I38+J38+K38+L38+M38+N38+Q38+R38+S38+T38+U38+V38+W38+X38</f>
        <v>367</v>
      </c>
    </row>
    <row r="39" spans="2:25" ht="13.5" thickBot="1" x14ac:dyDescent="0.25">
      <c r="B39" s="40"/>
      <c r="C39" s="15"/>
      <c r="D39" s="15"/>
      <c r="E39" s="16">
        <f>SUM('ADVANCE:ELECTION DAY'!E39)</f>
        <v>0</v>
      </c>
      <c r="F39" s="16">
        <f>SUM('ADVANCE:ELECTION DAY'!F39)</f>
        <v>0</v>
      </c>
      <c r="G39" s="16">
        <f>SUM('ADVANCE:ELECTION DAY'!G39)</f>
        <v>0</v>
      </c>
      <c r="H39" s="16">
        <f>SUM('ADVANCE:ELECTION DAY'!H39)</f>
        <v>0</v>
      </c>
      <c r="I39" s="16">
        <f>SUM('ADVANCE:ELECTION DAY'!I39)</f>
        <v>0</v>
      </c>
      <c r="J39" s="16">
        <f>SUM('ADVANCE:ELECTION DAY'!J39)</f>
        <v>0</v>
      </c>
      <c r="K39" s="16">
        <f>SUM('ADVANCE:ELECTION DAY'!K39)</f>
        <v>0</v>
      </c>
      <c r="L39" s="16">
        <f>SUM('ADVANCE:ELECTION DAY'!L39)</f>
        <v>0</v>
      </c>
      <c r="M39" s="16">
        <f>SUM('ADVANCE:ELECTION DAY'!M39)</f>
        <v>0</v>
      </c>
      <c r="N39" s="16">
        <f>SUM('ADVANCE:ELECTION DAY'!N39)</f>
        <v>0</v>
      </c>
      <c r="O39" s="15"/>
      <c r="P39" s="15"/>
      <c r="Q39" s="16">
        <f>SUM('ADVANCE:ELECTION DAY'!Q39)</f>
        <v>0</v>
      </c>
      <c r="R39" s="16">
        <f>SUM('ADVANCE:ELECTION DAY'!R39)</f>
        <v>0</v>
      </c>
      <c r="S39" s="16">
        <f>SUM('ADVANCE:ELECTION DAY'!S39)</f>
        <v>0</v>
      </c>
      <c r="T39" s="16">
        <f>SUM('ADVANCE:ELECTION DAY'!T39)</f>
        <v>0</v>
      </c>
      <c r="U39" s="16">
        <f>SUM('ADVANCE:ELECTION DAY'!U39)</f>
        <v>0</v>
      </c>
      <c r="V39" s="16">
        <f>SUM('ADVANCE:ELECTION DAY'!V39)</f>
        <v>0</v>
      </c>
      <c r="W39" s="16">
        <f>SUM('ADVANCE:ELECTION DAY'!W39)</f>
        <v>0</v>
      </c>
      <c r="X39" s="16">
        <f>SUM('ADVANCE:ELECTION DAY'!X39)</f>
        <v>0</v>
      </c>
      <c r="Y39" s="16">
        <f t="shared" si="2"/>
        <v>0</v>
      </c>
    </row>
    <row r="40" spans="2:25" ht="13.5" thickBot="1" x14ac:dyDescent="0.25">
      <c r="B40" s="17" t="s">
        <v>65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17" t="s">
        <v>65</v>
      </c>
      <c r="P40" s="18"/>
      <c r="Q40" s="11"/>
      <c r="R40" s="34"/>
      <c r="S40" s="19"/>
      <c r="T40" s="18"/>
      <c r="U40" s="18"/>
      <c r="V40" s="18"/>
      <c r="W40" s="18"/>
      <c r="X40" s="18"/>
      <c r="Y40" s="18"/>
    </row>
    <row r="41" spans="2:25" ht="13.5" thickBot="1" x14ac:dyDescent="0.25">
      <c r="B41" s="40"/>
      <c r="C41" s="15" t="s">
        <v>66</v>
      </c>
      <c r="D41" s="15" t="s">
        <v>15</v>
      </c>
      <c r="E41" s="16">
        <f>SUM('ADVANCE:ELECTION DAY'!E41)</f>
        <v>20</v>
      </c>
      <c r="F41" s="16">
        <f>SUM('ADVANCE:ELECTION DAY'!F41)</f>
        <v>46</v>
      </c>
      <c r="G41" s="16">
        <f>SUM('ADVANCE:ELECTION DAY'!G41)</f>
        <v>40</v>
      </c>
      <c r="H41" s="16">
        <f>SUM('ADVANCE:ELECTION DAY'!H41)</f>
        <v>28</v>
      </c>
      <c r="I41" s="16">
        <f>SUM('ADVANCE:ELECTION DAY'!I41)</f>
        <v>29</v>
      </c>
      <c r="J41" s="16">
        <f>SUM('ADVANCE:ELECTION DAY'!J41)</f>
        <v>74</v>
      </c>
      <c r="K41" s="16">
        <f>SUM('ADVANCE:ELECTION DAY'!K41)</f>
        <v>286</v>
      </c>
      <c r="L41" s="16">
        <f>SUM('ADVANCE:ELECTION DAY'!L41)</f>
        <v>117</v>
      </c>
      <c r="M41" s="16">
        <f>SUM('ADVANCE:ELECTION DAY'!M41)</f>
        <v>4</v>
      </c>
      <c r="N41" s="16">
        <f>SUM('ADVANCE:ELECTION DAY'!N41)</f>
        <v>43</v>
      </c>
      <c r="O41" s="15" t="s">
        <v>66</v>
      </c>
      <c r="P41" s="15" t="s">
        <v>15</v>
      </c>
      <c r="Q41" s="16">
        <f>SUM('ADVANCE:ELECTION DAY'!Q41)</f>
        <v>30</v>
      </c>
      <c r="R41" s="16">
        <f>SUM('ADVANCE:ELECTION DAY'!R41)</f>
        <v>16</v>
      </c>
      <c r="S41" s="16">
        <f>SUM('ADVANCE:ELECTION DAY'!S41)</f>
        <v>62</v>
      </c>
      <c r="T41" s="16">
        <f>SUM('ADVANCE:ELECTION DAY'!T41)</f>
        <v>30</v>
      </c>
      <c r="U41" s="16">
        <f>SUM('ADVANCE:ELECTION DAY'!U41)</f>
        <v>18</v>
      </c>
      <c r="V41" s="16">
        <f>SUM('ADVANCE:ELECTION DAY'!V41)</f>
        <v>15</v>
      </c>
      <c r="W41" s="16">
        <f>SUM('ADVANCE:ELECTION DAY'!W41)</f>
        <v>80</v>
      </c>
      <c r="X41" s="16">
        <f>SUM('ADVANCE:ELECTION DAY'!X41)</f>
        <v>99</v>
      </c>
      <c r="Y41" s="16">
        <f>E41+F41+G41+H41+I41+J41+K41+L41+M41+N41+Q41+R41+S41+T41+U41+V41+W41+X41</f>
        <v>1037</v>
      </c>
    </row>
    <row r="42" spans="2:25" ht="13.5" thickBot="1" x14ac:dyDescent="0.25">
      <c r="B42" s="17" t="s">
        <v>67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0"/>
      <c r="O42" s="17" t="s">
        <v>67</v>
      </c>
      <c r="P42" s="18"/>
      <c r="Q42" s="11"/>
      <c r="R42" s="34"/>
      <c r="S42" s="19"/>
      <c r="T42" s="18"/>
      <c r="U42" s="18"/>
      <c r="V42" s="18"/>
      <c r="W42" s="18"/>
      <c r="X42" s="18"/>
      <c r="Y42" s="18"/>
    </row>
    <row r="43" spans="2:25" ht="13.5" thickBot="1" x14ac:dyDescent="0.25">
      <c r="B43" s="40"/>
      <c r="C43" s="15" t="s">
        <v>68</v>
      </c>
      <c r="D43" s="15" t="s">
        <v>51</v>
      </c>
      <c r="E43" s="16">
        <f>SUM('ADVANCE:ELECTION DAY'!E43)</f>
        <v>20</v>
      </c>
      <c r="F43" s="16">
        <f>SUM('ADVANCE:ELECTION DAY'!F43)</f>
        <v>46</v>
      </c>
      <c r="G43" s="16">
        <f>SUM('ADVANCE:ELECTION DAY'!G43)</f>
        <v>42</v>
      </c>
      <c r="H43" s="16">
        <f>SUM('ADVANCE:ELECTION DAY'!H43)</f>
        <v>32</v>
      </c>
      <c r="I43" s="16">
        <f>SUM('ADVANCE:ELECTION DAY'!I43)</f>
        <v>29</v>
      </c>
      <c r="J43" s="16">
        <f>SUM('ADVANCE:ELECTION DAY'!J43)</f>
        <v>76</v>
      </c>
      <c r="K43" s="16">
        <f>SUM('ADVANCE:ELECTION DAY'!K43)</f>
        <v>295</v>
      </c>
      <c r="L43" s="16">
        <f>SUM('ADVANCE:ELECTION DAY'!L43)</f>
        <v>125</v>
      </c>
      <c r="M43" s="16">
        <f>SUM('ADVANCE:ELECTION DAY'!M43)</f>
        <v>5</v>
      </c>
      <c r="N43" s="16">
        <f>SUM('ADVANCE:ELECTION DAY'!N43)</f>
        <v>44</v>
      </c>
      <c r="O43" s="15" t="s">
        <v>68</v>
      </c>
      <c r="P43" s="15" t="s">
        <v>51</v>
      </c>
      <c r="Q43" s="16">
        <f>SUM('ADVANCE:ELECTION DAY'!Q43)</f>
        <v>29</v>
      </c>
      <c r="R43" s="16">
        <f>SUM('ADVANCE:ELECTION DAY'!R43)</f>
        <v>17</v>
      </c>
      <c r="S43" s="16">
        <f>SUM('ADVANCE:ELECTION DAY'!S43)</f>
        <v>65</v>
      </c>
      <c r="T43" s="16">
        <f>SUM('ADVANCE:ELECTION DAY'!T43)</f>
        <v>30</v>
      </c>
      <c r="U43" s="16">
        <f>SUM('ADVANCE:ELECTION DAY'!U43)</f>
        <v>18</v>
      </c>
      <c r="V43" s="16">
        <f>SUM('ADVANCE:ELECTION DAY'!V43)</f>
        <v>16</v>
      </c>
      <c r="W43" s="16">
        <f>SUM('ADVANCE:ELECTION DAY'!W43)</f>
        <v>77</v>
      </c>
      <c r="X43" s="16">
        <f>SUM('ADVANCE:ELECTION DAY'!X43)</f>
        <v>100</v>
      </c>
      <c r="Y43" s="16">
        <f t="shared" ref="Y43:Y52" si="3">E43+F43+G43+H43+I43+J43+K43+L43+M43+N43+Q43+R43+S43+T43+U43+V43+W43+X43</f>
        <v>1066</v>
      </c>
    </row>
    <row r="44" spans="2:25" ht="13.5" thickBot="1" x14ac:dyDescent="0.25">
      <c r="B44" s="40"/>
      <c r="C44" s="15"/>
      <c r="D44" s="15"/>
      <c r="E44" s="16">
        <f>SUM('ADVANCE:ELECTION DAY'!E44)</f>
        <v>0</v>
      </c>
      <c r="F44" s="16">
        <f>SUM('ADVANCE:ELECTION DAY'!F44)</f>
        <v>0</v>
      </c>
      <c r="G44" s="16">
        <f>SUM('ADVANCE:ELECTION DAY'!G44)</f>
        <v>0</v>
      </c>
      <c r="H44" s="16">
        <f>SUM('ADVANCE:ELECTION DAY'!H44)</f>
        <v>0</v>
      </c>
      <c r="I44" s="16">
        <f>SUM('ADVANCE:ELECTION DAY'!I44)</f>
        <v>0</v>
      </c>
      <c r="J44" s="16">
        <f>SUM('ADVANCE:ELECTION DAY'!J44)</f>
        <v>0</v>
      </c>
      <c r="K44" s="16">
        <f>SUM('ADVANCE:ELECTION DAY'!K44)</f>
        <v>0</v>
      </c>
      <c r="L44" s="16">
        <f>SUM('ADVANCE:ELECTION DAY'!L44)</f>
        <v>0</v>
      </c>
      <c r="M44" s="16">
        <f>SUM('ADVANCE:ELECTION DAY'!M44)</f>
        <v>0</v>
      </c>
      <c r="N44" s="16">
        <f>SUM('ADVANCE:ELECTION DAY'!N44)</f>
        <v>0</v>
      </c>
      <c r="O44" s="15"/>
      <c r="P44" s="15"/>
      <c r="Q44" s="16">
        <f>SUM('ADVANCE:ELECTION DAY'!Q44)</f>
        <v>0</v>
      </c>
      <c r="R44" s="16">
        <f>SUM('ADVANCE:ELECTION DAY'!R44)</f>
        <v>0</v>
      </c>
      <c r="S44" s="16">
        <f>SUM('ADVANCE:ELECTION DAY'!S44)</f>
        <v>0</v>
      </c>
      <c r="T44" s="16">
        <f>SUM('ADVANCE:ELECTION DAY'!T44)</f>
        <v>0</v>
      </c>
      <c r="U44" s="16">
        <f>SUM('ADVANCE:ELECTION DAY'!U44)</f>
        <v>0</v>
      </c>
      <c r="V44" s="16">
        <f>SUM('ADVANCE:ELECTION DAY'!V44)</f>
        <v>0</v>
      </c>
      <c r="W44" s="16">
        <f>SUM('ADVANCE:ELECTION DAY'!W44)</f>
        <v>0</v>
      </c>
      <c r="X44" s="16">
        <f>SUM('ADVANCE:ELECTION DAY'!X44)</f>
        <v>0</v>
      </c>
      <c r="Y44" s="16">
        <f t="shared" si="3"/>
        <v>0</v>
      </c>
    </row>
    <row r="45" spans="2:25" ht="13.5" thickBot="1" x14ac:dyDescent="0.25">
      <c r="B45" s="17" t="s">
        <v>69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0"/>
      <c r="O45" s="17" t="s">
        <v>69</v>
      </c>
      <c r="P45" s="18"/>
      <c r="Q45" s="11"/>
      <c r="R45" s="34"/>
      <c r="S45" s="19"/>
      <c r="T45" s="18"/>
      <c r="U45" s="18"/>
      <c r="V45" s="18"/>
      <c r="W45" s="18"/>
      <c r="X45" s="18"/>
      <c r="Y45" s="18"/>
    </row>
    <row r="46" spans="2:25" ht="13.5" thickBot="1" x14ac:dyDescent="0.25">
      <c r="B46" s="40"/>
      <c r="C46" s="15" t="s">
        <v>70</v>
      </c>
      <c r="D46" s="15" t="s">
        <v>51</v>
      </c>
      <c r="E46" s="16">
        <f>SUM('ADVANCE:ELECTION DAY'!E46)</f>
        <v>15</v>
      </c>
      <c r="F46" s="16">
        <f>SUM('ADVANCE:ELECTION DAY'!F46)</f>
        <v>38</v>
      </c>
      <c r="G46" s="16">
        <f>SUM('ADVANCE:ELECTION DAY'!G46)</f>
        <v>29</v>
      </c>
      <c r="H46" s="16">
        <f>SUM('ADVANCE:ELECTION DAY'!H46)</f>
        <v>23</v>
      </c>
      <c r="I46" s="16">
        <f>SUM('ADVANCE:ELECTION DAY'!I46)</f>
        <v>24</v>
      </c>
      <c r="J46" s="16">
        <f>SUM('ADVANCE:ELECTION DAY'!J46)</f>
        <v>46</v>
      </c>
      <c r="K46" s="16">
        <f>SUM('ADVANCE:ELECTION DAY'!K46)</f>
        <v>240</v>
      </c>
      <c r="L46" s="16">
        <f>SUM('ADVANCE:ELECTION DAY'!L46)</f>
        <v>89</v>
      </c>
      <c r="M46" s="16">
        <f>SUM('ADVANCE:ELECTION DAY'!M46)</f>
        <v>0</v>
      </c>
      <c r="N46" s="16">
        <f>SUM('ADVANCE:ELECTION DAY'!N46)</f>
        <v>16</v>
      </c>
      <c r="O46" s="15" t="s">
        <v>70</v>
      </c>
      <c r="P46" s="15" t="s">
        <v>51</v>
      </c>
      <c r="Q46" s="16">
        <f>SUM('ADVANCE:ELECTION DAY'!Q46)</f>
        <v>25</v>
      </c>
      <c r="R46" s="16">
        <f>SUM('ADVANCE:ELECTION DAY'!R46)</f>
        <v>12</v>
      </c>
      <c r="S46" s="16">
        <f>SUM('ADVANCE:ELECTION DAY'!S46)</f>
        <v>41</v>
      </c>
      <c r="T46" s="16">
        <f>SUM('ADVANCE:ELECTION DAY'!T46)</f>
        <v>29</v>
      </c>
      <c r="U46" s="16">
        <f>SUM('ADVANCE:ELECTION DAY'!U46)</f>
        <v>17</v>
      </c>
      <c r="V46" s="16">
        <f>SUM('ADVANCE:ELECTION DAY'!V46)</f>
        <v>4</v>
      </c>
      <c r="W46" s="16">
        <f>SUM('ADVANCE:ELECTION DAY'!W46)</f>
        <v>54</v>
      </c>
      <c r="X46" s="16">
        <f>SUM('ADVANCE:ELECTION DAY'!X46)</f>
        <v>87</v>
      </c>
      <c r="Y46" s="16">
        <f t="shared" si="3"/>
        <v>789</v>
      </c>
    </row>
    <row r="47" spans="2:25" ht="13.5" thickBot="1" x14ac:dyDescent="0.25">
      <c r="B47" s="40"/>
      <c r="C47" s="15" t="s">
        <v>137</v>
      </c>
      <c r="D47" s="15" t="s">
        <v>51</v>
      </c>
      <c r="E47" s="16">
        <f>SUM('ADVANCE:ELECTION DAY'!E47)</f>
        <v>5</v>
      </c>
      <c r="F47" s="16">
        <f>SUM('ADVANCE:ELECTION DAY'!F47)</f>
        <v>3</v>
      </c>
      <c r="G47" s="16">
        <f>SUM('ADVANCE:ELECTION DAY'!G47)</f>
        <v>13</v>
      </c>
      <c r="H47" s="16">
        <f>SUM('ADVANCE:ELECTION DAY'!H47)</f>
        <v>11</v>
      </c>
      <c r="I47" s="16">
        <f>SUM('ADVANCE:ELECTION DAY'!I47)</f>
        <v>4</v>
      </c>
      <c r="J47" s="16">
        <f>SUM('ADVANCE:ELECTION DAY'!J47)</f>
        <v>33</v>
      </c>
      <c r="K47" s="16">
        <f>SUM('ADVANCE:ELECTION DAY'!K47)</f>
        <v>86</v>
      </c>
      <c r="L47" s="16">
        <f>SUM('ADVANCE:ELECTION DAY'!L47)</f>
        <v>39</v>
      </c>
      <c r="M47" s="16">
        <f>SUM('ADVANCE:ELECTION DAY'!M47)</f>
        <v>6</v>
      </c>
      <c r="N47" s="16">
        <f>SUM('ADVANCE:ELECTION DAY'!N47)</f>
        <v>22</v>
      </c>
      <c r="O47" s="15" t="s">
        <v>137</v>
      </c>
      <c r="P47" s="15" t="s">
        <v>51</v>
      </c>
      <c r="Q47" s="16">
        <f>SUM('ADVANCE:ELECTION DAY'!Q47)</f>
        <v>4</v>
      </c>
      <c r="R47" s="16">
        <f>SUM('ADVANCE:ELECTION DAY'!R47)</f>
        <v>4</v>
      </c>
      <c r="S47" s="16">
        <f>SUM('ADVANCE:ELECTION DAY'!S47)</f>
        <v>26</v>
      </c>
      <c r="T47" s="16">
        <f>SUM('ADVANCE:ELECTION DAY'!T47)</f>
        <v>2</v>
      </c>
      <c r="U47" s="16">
        <f>SUM('ADVANCE:ELECTION DAY'!U47)</f>
        <v>2</v>
      </c>
      <c r="V47" s="16">
        <f>SUM('ADVANCE:ELECTION DAY'!V47)</f>
        <v>9</v>
      </c>
      <c r="W47" s="16">
        <f>SUM('ADVANCE:ELECTION DAY'!W47)</f>
        <v>22</v>
      </c>
      <c r="X47" s="16">
        <f>SUM('ADVANCE:ELECTION DAY'!X47)</f>
        <v>18</v>
      </c>
      <c r="Y47" s="16">
        <f>E47+F47+G47+H47+I47+J47+K47+L47+M47+N47+Q47+R47+S47+T47+U47+V47+W47+X47</f>
        <v>309</v>
      </c>
    </row>
    <row r="48" spans="2:25" ht="13.5" thickBot="1" x14ac:dyDescent="0.25">
      <c r="B48" s="17" t="s">
        <v>71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0"/>
      <c r="O48" s="17" t="s">
        <v>71</v>
      </c>
      <c r="P48" s="18"/>
      <c r="Q48" s="11"/>
      <c r="R48" s="34"/>
      <c r="S48" s="19"/>
      <c r="T48" s="18"/>
      <c r="U48" s="18"/>
      <c r="V48" s="18"/>
      <c r="W48" s="18"/>
      <c r="X48" s="18"/>
      <c r="Y48" s="18"/>
    </row>
    <row r="49" spans="2:25" ht="13.5" thickBot="1" x14ac:dyDescent="0.25">
      <c r="B49" s="40"/>
      <c r="C49" s="15" t="s">
        <v>72</v>
      </c>
      <c r="D49" s="15" t="s">
        <v>51</v>
      </c>
      <c r="E49" s="16">
        <f>SUM('ADVANCE:ELECTION DAY'!E49)</f>
        <v>20</v>
      </c>
      <c r="F49" s="16">
        <f>SUM('ADVANCE:ELECTION DAY'!F49)</f>
        <v>42</v>
      </c>
      <c r="G49" s="16">
        <f>SUM('ADVANCE:ELECTION DAY'!G49)</f>
        <v>40</v>
      </c>
      <c r="H49" s="16">
        <f>SUM('ADVANCE:ELECTION DAY'!H49)</f>
        <v>31</v>
      </c>
      <c r="I49" s="16">
        <f>SUM('ADVANCE:ELECTION DAY'!I49)</f>
        <v>23</v>
      </c>
      <c r="J49" s="16">
        <f>SUM('ADVANCE:ELECTION DAY'!J49)</f>
        <v>71</v>
      </c>
      <c r="K49" s="16">
        <f>SUM('ADVANCE:ELECTION DAY'!K49)</f>
        <v>269</v>
      </c>
      <c r="L49" s="16">
        <f>SUM('ADVANCE:ELECTION DAY'!L49)</f>
        <v>114</v>
      </c>
      <c r="M49" s="16">
        <f>SUM('ADVANCE:ELECTION DAY'!M49)</f>
        <v>3</v>
      </c>
      <c r="N49" s="16">
        <f>SUM('ADVANCE:ELECTION DAY'!N49)</f>
        <v>42</v>
      </c>
      <c r="O49" s="15" t="s">
        <v>72</v>
      </c>
      <c r="P49" s="15" t="s">
        <v>51</v>
      </c>
      <c r="Q49" s="16">
        <f>SUM('ADVANCE:ELECTION DAY'!Q49)</f>
        <v>30</v>
      </c>
      <c r="R49" s="16">
        <f>SUM('ADVANCE:ELECTION DAY'!R49)</f>
        <v>16</v>
      </c>
      <c r="S49" s="16">
        <f>SUM('ADVANCE:ELECTION DAY'!S49)</f>
        <v>62</v>
      </c>
      <c r="T49" s="16">
        <f>SUM('ADVANCE:ELECTION DAY'!T49)</f>
        <v>28</v>
      </c>
      <c r="U49" s="16">
        <f>SUM('ADVANCE:ELECTION DAY'!U49)</f>
        <v>18</v>
      </c>
      <c r="V49" s="16">
        <f>SUM('ADVANCE:ELECTION DAY'!V49)</f>
        <v>11</v>
      </c>
      <c r="W49" s="16">
        <f>SUM('ADVANCE:ELECTION DAY'!W49)</f>
        <v>76</v>
      </c>
      <c r="X49" s="16">
        <f>SUM('ADVANCE:ELECTION DAY'!X49)</f>
        <v>96</v>
      </c>
      <c r="Y49" s="16">
        <f t="shared" si="3"/>
        <v>992</v>
      </c>
    </row>
    <row r="50" spans="2:25" ht="13.5" thickBot="1" x14ac:dyDescent="0.25">
      <c r="B50" s="17" t="s">
        <v>73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0"/>
      <c r="O50" s="17" t="s">
        <v>73</v>
      </c>
      <c r="P50" s="18"/>
      <c r="Q50" s="11"/>
      <c r="R50" s="34"/>
      <c r="S50" s="19"/>
      <c r="T50" s="18"/>
      <c r="U50" s="18"/>
      <c r="V50" s="18"/>
      <c r="W50" s="18"/>
      <c r="X50" s="18"/>
      <c r="Y50" s="18"/>
    </row>
    <row r="51" spans="2:25" ht="13.5" thickBot="1" x14ac:dyDescent="0.25">
      <c r="B51" s="40"/>
      <c r="C51" s="15" t="s">
        <v>74</v>
      </c>
      <c r="D51" s="15" t="s">
        <v>51</v>
      </c>
      <c r="E51" s="16">
        <f>SUM('ADVANCE:ELECTION DAY'!E51)</f>
        <v>19</v>
      </c>
      <c r="F51" s="16">
        <f>SUM('ADVANCE:ELECTION DAY'!F51)</f>
        <v>45</v>
      </c>
      <c r="G51" s="16">
        <f>SUM('ADVANCE:ELECTION DAY'!G51)</f>
        <v>36</v>
      </c>
      <c r="H51" s="16">
        <f>SUM('ADVANCE:ELECTION DAY'!H51)</f>
        <v>31</v>
      </c>
      <c r="I51" s="16">
        <f>SUM('ADVANCE:ELECTION DAY'!I51)</f>
        <v>27</v>
      </c>
      <c r="J51" s="16">
        <f>SUM('ADVANCE:ELECTION DAY'!J51)</f>
        <v>72</v>
      </c>
      <c r="K51" s="16">
        <f>SUM('ADVANCE:ELECTION DAY'!K51)</f>
        <v>243</v>
      </c>
      <c r="L51" s="16">
        <f>SUM('ADVANCE:ELECTION DAY'!L51)</f>
        <v>113</v>
      </c>
      <c r="M51" s="16">
        <f>SUM('ADVANCE:ELECTION DAY'!M51)</f>
        <v>4</v>
      </c>
      <c r="N51" s="16">
        <f>SUM('ADVANCE:ELECTION DAY'!N51)</f>
        <v>43</v>
      </c>
      <c r="O51" s="15" t="s">
        <v>74</v>
      </c>
      <c r="P51" s="15" t="s">
        <v>51</v>
      </c>
      <c r="Q51" s="16">
        <f>SUM('ADVANCE:ELECTION DAY'!Q51)</f>
        <v>28</v>
      </c>
      <c r="R51" s="16">
        <f>SUM('ADVANCE:ELECTION DAY'!R51)</f>
        <v>16</v>
      </c>
      <c r="S51" s="16">
        <f>SUM('ADVANCE:ELECTION DAY'!S51)</f>
        <v>56</v>
      </c>
      <c r="T51" s="16">
        <f>SUM('ADVANCE:ELECTION DAY'!T51)</f>
        <v>25</v>
      </c>
      <c r="U51" s="16">
        <f>SUM('ADVANCE:ELECTION DAY'!U51)</f>
        <v>18</v>
      </c>
      <c r="V51" s="16">
        <f>SUM('ADVANCE:ELECTION DAY'!V51)</f>
        <v>16</v>
      </c>
      <c r="W51" s="16">
        <f>SUM('ADVANCE:ELECTION DAY'!W51)</f>
        <v>75</v>
      </c>
      <c r="X51" s="16">
        <f>SUM('ADVANCE:ELECTION DAY'!X51)</f>
        <v>87</v>
      </c>
      <c r="Y51" s="16">
        <f t="shared" si="3"/>
        <v>954</v>
      </c>
    </row>
    <row r="52" spans="2:25" ht="13.5" thickBot="1" x14ac:dyDescent="0.25">
      <c r="B52" s="40"/>
      <c r="C52" s="15"/>
      <c r="D52" s="15"/>
      <c r="E52" s="16">
        <f>SUM('ADVANCE:ELECTION DAY'!E52)</f>
        <v>0</v>
      </c>
      <c r="F52" s="16"/>
      <c r="G52" s="16"/>
      <c r="H52" s="16"/>
      <c r="I52" s="16"/>
      <c r="J52" s="16"/>
      <c r="K52" s="16"/>
      <c r="L52" s="16"/>
      <c r="M52" s="16"/>
      <c r="N52" s="16"/>
      <c r="O52" s="15"/>
      <c r="P52" s="14"/>
      <c r="Q52" s="16"/>
      <c r="R52" s="16"/>
      <c r="S52" s="16"/>
      <c r="T52" s="16"/>
      <c r="U52" s="16"/>
      <c r="V52" s="16"/>
      <c r="W52" s="16"/>
      <c r="X52" s="16"/>
      <c r="Y52" s="16">
        <f t="shared" si="3"/>
        <v>0</v>
      </c>
    </row>
    <row r="53" spans="2:25" ht="2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7.75" x14ac:dyDescent="0.4"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1"/>
      <c r="V54" s="1"/>
      <c r="W54" s="1"/>
      <c r="X54" s="1"/>
      <c r="Y54" s="1"/>
    </row>
    <row r="55" spans="2:25" ht="27.75" x14ac:dyDescent="0.4"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35"/>
      <c r="Q55" s="1"/>
      <c r="R55" s="1"/>
      <c r="S55" s="35"/>
      <c r="T55" s="1"/>
      <c r="U55" s="1"/>
      <c r="V55" s="1"/>
      <c r="W55" s="1"/>
      <c r="X55" s="1"/>
      <c r="Y55" s="1"/>
    </row>
    <row r="56" spans="2:25" ht="15.75" x14ac:dyDescent="0.25">
      <c r="B56" s="3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6"/>
      <c r="Q56" s="4"/>
      <c r="R56" s="4"/>
      <c r="S56" s="36"/>
      <c r="T56" s="4"/>
      <c r="U56" s="4"/>
      <c r="V56" s="4"/>
      <c r="W56" s="4"/>
      <c r="X56" s="4"/>
      <c r="Y56" s="5"/>
    </row>
    <row r="57" spans="2:25" ht="27" x14ac:dyDescent="0.35">
      <c r="B57" s="47" t="s">
        <v>131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7.75" x14ac:dyDescent="0.4">
      <c r="B58" s="1" t="s">
        <v>134</v>
      </c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  <c r="S58" s="1"/>
      <c r="T58" s="1"/>
      <c r="U58" s="1"/>
      <c r="V58" s="1"/>
      <c r="W58" s="1"/>
      <c r="X58" s="1"/>
      <c r="Y58" s="1"/>
    </row>
    <row r="59" spans="2:25" ht="13.5" thickBot="1" x14ac:dyDescent="0.25">
      <c r="Y59" s="7"/>
    </row>
    <row r="60" spans="2:25" ht="101.25" thickBot="1" x14ac:dyDescent="0.25">
      <c r="B60" s="8" t="s">
        <v>0</v>
      </c>
      <c r="C60" s="8" t="s">
        <v>1</v>
      </c>
      <c r="D60" s="8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9" t="s">
        <v>41</v>
      </c>
      <c r="K60" s="9" t="s">
        <v>42</v>
      </c>
      <c r="L60" s="9" t="s">
        <v>43</v>
      </c>
      <c r="M60" s="31" t="s">
        <v>44</v>
      </c>
      <c r="N60" s="9" t="s">
        <v>45</v>
      </c>
      <c r="O60" s="42" t="s">
        <v>1</v>
      </c>
      <c r="P60" s="8" t="s">
        <v>2</v>
      </c>
      <c r="Q60" s="9" t="s">
        <v>46</v>
      </c>
      <c r="R60" s="9" t="s">
        <v>8</v>
      </c>
      <c r="S60" s="9" t="s">
        <v>9</v>
      </c>
      <c r="T60" s="9" t="s">
        <v>10</v>
      </c>
      <c r="U60" s="9" t="s">
        <v>47</v>
      </c>
      <c r="V60" s="9" t="s">
        <v>11</v>
      </c>
      <c r="W60" s="9" t="s">
        <v>12</v>
      </c>
      <c r="X60" s="9" t="s">
        <v>13</v>
      </c>
      <c r="Y60" s="9" t="s">
        <v>14</v>
      </c>
    </row>
    <row r="61" spans="2:25" x14ac:dyDescent="0.2">
      <c r="B61" s="22" t="s">
        <v>78</v>
      </c>
      <c r="C61" s="23"/>
      <c r="D61" s="23"/>
      <c r="E61" s="24"/>
      <c r="F61" s="23"/>
      <c r="G61" s="23"/>
      <c r="H61" s="23"/>
      <c r="I61" s="23"/>
      <c r="J61" s="23"/>
      <c r="K61" s="23"/>
      <c r="L61" s="23"/>
      <c r="M61" s="23"/>
      <c r="N61" s="25"/>
      <c r="O61" s="22" t="s">
        <v>78</v>
      </c>
      <c r="P61" s="24"/>
      <c r="Q61" s="23"/>
      <c r="R61" s="23"/>
      <c r="S61" s="24"/>
      <c r="T61" s="23"/>
      <c r="U61" s="23"/>
      <c r="V61" s="23"/>
      <c r="W61" s="23"/>
      <c r="X61" s="23"/>
      <c r="Y61" s="23"/>
    </row>
    <row r="62" spans="2:25" ht="13.5" thickBot="1" x14ac:dyDescent="0.25">
      <c r="B62" s="17" t="s">
        <v>26</v>
      </c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8"/>
      <c r="N62" s="20"/>
      <c r="O62" s="17" t="s">
        <v>26</v>
      </c>
      <c r="P62" s="19"/>
      <c r="Q62" s="18"/>
      <c r="R62" s="34"/>
      <c r="S62" s="19"/>
      <c r="T62" s="18"/>
      <c r="U62" s="18"/>
      <c r="V62" s="18"/>
      <c r="W62" s="18"/>
      <c r="X62" s="18"/>
      <c r="Y62" s="18"/>
    </row>
    <row r="63" spans="2:25" ht="13.5" thickBot="1" x14ac:dyDescent="0.25">
      <c r="B63" s="15"/>
      <c r="C63" s="15" t="s">
        <v>84</v>
      </c>
      <c r="D63" s="15" t="s">
        <v>15</v>
      </c>
      <c r="E63" s="32">
        <f>SUM('ADVANCE:ELECTION DAY'!E62)</f>
        <v>9</v>
      </c>
      <c r="F63" s="16">
        <f>SUM('ADVANCE:ELECTION DAY'!F62)</f>
        <v>0</v>
      </c>
      <c r="G63" s="16">
        <f>SUM('ADVANCE:ELECTION DAY'!G62)</f>
        <v>0</v>
      </c>
      <c r="H63" s="16">
        <f>SUM('ADVANCE:ELECTION DAY'!H62)</f>
        <v>0</v>
      </c>
      <c r="I63" s="16">
        <f>SUM('ADVANCE:ELECTION DAY'!I62)</f>
        <v>0</v>
      </c>
      <c r="J63" s="16">
        <f>SUM('ADVANCE:ELECTION DAY'!J62)</f>
        <v>0</v>
      </c>
      <c r="K63" s="16">
        <f>SUM('ADVANCE:ELECTION DAY'!K62)</f>
        <v>0</v>
      </c>
      <c r="L63" s="16">
        <f>SUM('ADVANCE:ELECTION DAY'!L62)</f>
        <v>0</v>
      </c>
      <c r="M63" s="16">
        <f>SUM('ADVANCE:ELECTION DAY'!M62)</f>
        <v>0</v>
      </c>
      <c r="N63" s="16">
        <f>SUM('ADVANCE:ELECTION DAY'!N62)</f>
        <v>0</v>
      </c>
      <c r="O63" s="15" t="s">
        <v>84</v>
      </c>
      <c r="P63" s="15" t="s">
        <v>15</v>
      </c>
      <c r="Q63" s="16">
        <f>SUM('ADVANCE:ELECTION DAY'!Q62)</f>
        <v>0</v>
      </c>
      <c r="R63" s="16">
        <f>SUM('ADVANCE:ELECTION DAY'!R62)</f>
        <v>0</v>
      </c>
      <c r="S63" s="16">
        <f>SUM('ADVANCE:ELECTION DAY'!S62)</f>
        <v>0</v>
      </c>
      <c r="T63" s="16">
        <f>SUM('ADVANCE:ELECTION DAY'!T62)</f>
        <v>0</v>
      </c>
      <c r="U63" s="16">
        <f>SUM('ADVANCE:ELECTION DAY'!U62)</f>
        <v>0</v>
      </c>
      <c r="V63" s="16">
        <f>SUM('ADVANCE:ELECTION DAY'!V62)</f>
        <v>0</v>
      </c>
      <c r="W63" s="16">
        <f>SUM('ADVANCE:ELECTION DAY'!W62)</f>
        <v>0</v>
      </c>
      <c r="X63" s="16">
        <f>SUM('ADVANCE:ELECTION DAY'!X62)</f>
        <v>0</v>
      </c>
      <c r="Y63" s="16">
        <f t="shared" ref="Y63:Y95" si="4">E63+F63+G63+H63+I63+J63+K63+L63+M63+N63+Q63+R63+S63+T63+U63+V63+W63+X63</f>
        <v>9</v>
      </c>
    </row>
    <row r="64" spans="2:25" ht="13.5" thickBot="1" x14ac:dyDescent="0.25">
      <c r="B64" s="48"/>
      <c r="C64" s="15"/>
      <c r="D64" s="15"/>
      <c r="E64" s="32">
        <f>SUM('ADVANCE:ELECTION DAY'!E64)</f>
        <v>0</v>
      </c>
      <c r="F64" s="16">
        <f>SUM('ADVANCE:ELECTION DAY'!F64)</f>
        <v>0</v>
      </c>
      <c r="G64" s="16">
        <f>SUM('ADVANCE:ELECTION DAY'!G64)</f>
        <v>0</v>
      </c>
      <c r="H64" s="16">
        <f>SUM('ADVANCE:ELECTION DAY'!H64)</f>
        <v>0</v>
      </c>
      <c r="I64" s="16">
        <f>SUM('ADVANCE:ELECTION DAY'!I64)</f>
        <v>0</v>
      </c>
      <c r="J64" s="16">
        <f>SUM('ADVANCE:ELECTION DAY'!J64)</f>
        <v>0</v>
      </c>
      <c r="K64" s="16">
        <f>SUM('ADVANCE:ELECTION DAY'!K64)</f>
        <v>0</v>
      </c>
      <c r="L64" s="16">
        <f>SUM('ADVANCE:ELECTION DAY'!L64)</f>
        <v>0</v>
      </c>
      <c r="M64" s="16">
        <f>SUM('ADVANCE:ELECTION DAY'!M64)</f>
        <v>0</v>
      </c>
      <c r="N64" s="16">
        <f>SUM('ADVANCE:ELECTION DAY'!N64)</f>
        <v>0</v>
      </c>
      <c r="O64" s="16">
        <f>SUM('ADVANCE:ELECTION DAY'!O64)</f>
        <v>0</v>
      </c>
      <c r="P64" s="15"/>
      <c r="Q64" s="16">
        <f>SUM('ADVANCE:ELECTION DAY'!Q64)</f>
        <v>0</v>
      </c>
      <c r="R64" s="16">
        <f>SUM('ADVANCE:ELECTION DAY'!R64)</f>
        <v>0</v>
      </c>
      <c r="S64" s="16">
        <f>SUM('ADVANCE:ELECTION DAY'!S64)</f>
        <v>0</v>
      </c>
      <c r="T64" s="16">
        <f>SUM('ADVANCE:ELECTION DAY'!T64)</f>
        <v>0</v>
      </c>
      <c r="U64" s="16">
        <f>SUM('ADVANCE:ELECTION DAY'!U64)</f>
        <v>0</v>
      </c>
      <c r="V64" s="16">
        <f>SUM('ADVANCE:ELECTION DAY'!V64)</f>
        <v>0</v>
      </c>
      <c r="W64" s="16">
        <f>SUM('ADVANCE:ELECTION DAY'!W64)</f>
        <v>0</v>
      </c>
      <c r="X64" s="16">
        <f>SUM('ADVANCE:ELECTION DAY'!X64)</f>
        <v>0</v>
      </c>
      <c r="Y64" s="16">
        <f t="shared" si="4"/>
        <v>0</v>
      </c>
    </row>
    <row r="65" spans="1:25" ht="13.5" thickBot="1" x14ac:dyDescent="0.25">
      <c r="B65" s="10" t="s">
        <v>27</v>
      </c>
      <c r="C65" s="11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27"/>
      <c r="O65" s="10" t="s">
        <v>27</v>
      </c>
      <c r="P65" s="11"/>
      <c r="Q65" s="12"/>
      <c r="R65" s="33"/>
      <c r="S65" s="12"/>
      <c r="T65" s="12"/>
      <c r="U65" s="12"/>
      <c r="V65" s="12"/>
      <c r="W65" s="12"/>
      <c r="X65" s="12"/>
      <c r="Y65" s="12"/>
    </row>
    <row r="66" spans="1:25" ht="13.5" thickBot="1" x14ac:dyDescent="0.25">
      <c r="B66" s="15"/>
      <c r="C66" s="15" t="s">
        <v>83</v>
      </c>
      <c r="D66" s="15" t="s">
        <v>15</v>
      </c>
      <c r="E66" s="32">
        <f>SUM('ADVANCE:ELECTION DAY'!E65)</f>
        <v>0</v>
      </c>
      <c r="F66" s="16">
        <f>SUM('ADVANCE:ELECTION DAY'!F65)</f>
        <v>27</v>
      </c>
      <c r="G66" s="16">
        <f>SUM('ADVANCE:ELECTION DAY'!G65)</f>
        <v>0</v>
      </c>
      <c r="H66" s="16">
        <f>SUM('ADVANCE:ELECTION DAY'!H65)</f>
        <v>0</v>
      </c>
      <c r="I66" s="16">
        <f>SUM('ADVANCE:ELECTION DAY'!I65)</f>
        <v>0</v>
      </c>
      <c r="J66" s="16">
        <f>SUM('ADVANCE:ELECTION DAY'!J65)</f>
        <v>0</v>
      </c>
      <c r="K66" s="16">
        <f>SUM('ADVANCE:ELECTION DAY'!K65)</f>
        <v>0</v>
      </c>
      <c r="L66" s="16">
        <f>SUM('ADVANCE:ELECTION DAY'!L65)</f>
        <v>0</v>
      </c>
      <c r="M66" s="16">
        <f>SUM('ADVANCE:ELECTION DAY'!M65)</f>
        <v>0</v>
      </c>
      <c r="N66" s="16">
        <f>SUM('ADVANCE:ELECTION DAY'!N65)</f>
        <v>0</v>
      </c>
      <c r="O66" s="15" t="s">
        <v>83</v>
      </c>
      <c r="P66" s="15" t="s">
        <v>15</v>
      </c>
      <c r="Q66" s="16">
        <f>SUM('ADVANCE:ELECTION DAY'!Q65)</f>
        <v>0</v>
      </c>
      <c r="R66" s="16">
        <f>SUM('ADVANCE:ELECTION DAY'!R65)</f>
        <v>0</v>
      </c>
      <c r="S66" s="16">
        <f>SUM('ADVANCE:ELECTION DAY'!S65)</f>
        <v>0</v>
      </c>
      <c r="T66" s="16">
        <f>SUM('ADVANCE:ELECTION DAY'!T65)</f>
        <v>0</v>
      </c>
      <c r="U66" s="16">
        <f>SUM('ADVANCE:ELECTION DAY'!U65)</f>
        <v>0</v>
      </c>
      <c r="V66" s="16">
        <f>SUM('ADVANCE:ELECTION DAY'!V65)</f>
        <v>0</v>
      </c>
      <c r="W66" s="16">
        <f>SUM('ADVANCE:ELECTION DAY'!W65)</f>
        <v>0</v>
      </c>
      <c r="X66" s="16">
        <f>SUM('ADVANCE:ELECTION DAY'!X65)</f>
        <v>0</v>
      </c>
      <c r="Y66" s="16">
        <f t="shared" ref="Y66" si="5">E66+F66+G66+H66+I66+J66+K66+L66+M66+N66+Q66+R66+S66+T66+U66+V66+W66+X66</f>
        <v>27</v>
      </c>
    </row>
    <row r="67" spans="1:25" ht="13.5" thickBot="1" x14ac:dyDescent="0.25">
      <c r="B67" s="21"/>
      <c r="C67" s="15"/>
      <c r="D67" s="15"/>
      <c r="E67" s="32">
        <f>SUM('ADVANCE:ELECTION DAY'!E67)</f>
        <v>0</v>
      </c>
      <c r="F67" s="16">
        <f>SUM('ADVANCE:ELECTION DAY'!F67)</f>
        <v>0</v>
      </c>
      <c r="G67" s="16">
        <f>SUM('ADVANCE:ELECTION DAY'!G67)</f>
        <v>0</v>
      </c>
      <c r="H67" s="16">
        <f>SUM('ADVANCE:ELECTION DAY'!H67)</f>
        <v>0</v>
      </c>
      <c r="I67" s="16">
        <f>SUM('ADVANCE:ELECTION DAY'!I67)</f>
        <v>0</v>
      </c>
      <c r="J67" s="16">
        <f>SUM('ADVANCE:ELECTION DAY'!J67)</f>
        <v>0</v>
      </c>
      <c r="K67" s="16">
        <f>SUM('ADVANCE:ELECTION DAY'!K67)</f>
        <v>0</v>
      </c>
      <c r="L67" s="16">
        <f>SUM('ADVANCE:ELECTION DAY'!L67)</f>
        <v>0</v>
      </c>
      <c r="M67" s="16">
        <f>SUM('ADVANCE:ELECTION DAY'!M67)</f>
        <v>0</v>
      </c>
      <c r="N67" s="16">
        <f>SUM('ADVANCE:ELECTION DAY'!N67)</f>
        <v>0</v>
      </c>
      <c r="O67" s="16">
        <f>SUM('ADVANCE:ELECTION DAY'!O67)</f>
        <v>0</v>
      </c>
      <c r="P67" s="15"/>
      <c r="Q67" s="16">
        <f>SUM('ADVANCE:ELECTION DAY'!Q67)</f>
        <v>0</v>
      </c>
      <c r="R67" s="16">
        <f>SUM('ADVANCE:ELECTION DAY'!R67)</f>
        <v>0</v>
      </c>
      <c r="S67" s="16">
        <f>SUM('ADVANCE:ELECTION DAY'!S67)</f>
        <v>0</v>
      </c>
      <c r="T67" s="16">
        <f>SUM('ADVANCE:ELECTION DAY'!T67)</f>
        <v>0</v>
      </c>
      <c r="U67" s="16">
        <f>SUM('ADVANCE:ELECTION DAY'!U67)</f>
        <v>0</v>
      </c>
      <c r="V67" s="16">
        <f>SUM('ADVANCE:ELECTION DAY'!V67)</f>
        <v>0</v>
      </c>
      <c r="W67" s="16">
        <f>SUM('ADVANCE:ELECTION DAY'!W67)</f>
        <v>0</v>
      </c>
      <c r="X67" s="16">
        <f>SUM('ADVANCE:ELECTION DAY'!X67)</f>
        <v>0</v>
      </c>
      <c r="Y67" s="16">
        <f t="shared" si="4"/>
        <v>0</v>
      </c>
    </row>
    <row r="68" spans="1:25" ht="13.5" thickBot="1" x14ac:dyDescent="0.25">
      <c r="B68" s="10" t="s">
        <v>28</v>
      </c>
      <c r="C68" s="11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27"/>
      <c r="O68" s="10" t="s">
        <v>28</v>
      </c>
      <c r="P68" s="11"/>
      <c r="Q68" s="12"/>
      <c r="R68" s="33"/>
      <c r="S68" s="12"/>
      <c r="T68" s="12"/>
      <c r="U68" s="12"/>
      <c r="V68" s="12"/>
      <c r="W68" s="12"/>
      <c r="X68" s="12"/>
      <c r="Y68" s="12"/>
    </row>
    <row r="69" spans="1:25" ht="13.5" thickBot="1" x14ac:dyDescent="0.25">
      <c r="B69" s="21"/>
      <c r="C69" s="15" t="s">
        <v>53</v>
      </c>
      <c r="D69" s="15" t="s">
        <v>15</v>
      </c>
      <c r="E69" s="32">
        <f>SUM('ADVANCE:ELECTION DAY'!E68)</f>
        <v>0</v>
      </c>
      <c r="F69" s="16">
        <f>SUM('ADVANCE:ELECTION DAY'!F68)</f>
        <v>0</v>
      </c>
      <c r="G69" s="16">
        <f>SUM('ADVANCE:ELECTION DAY'!G68)</f>
        <v>24</v>
      </c>
      <c r="H69" s="16">
        <f>SUM('ADVANCE:ELECTION DAY'!H68)</f>
        <v>0</v>
      </c>
      <c r="I69" s="16">
        <f>SUM('ADVANCE:ELECTION DAY'!I68)</f>
        <v>0</v>
      </c>
      <c r="J69" s="16">
        <f>SUM('ADVANCE:ELECTION DAY'!J68)</f>
        <v>0</v>
      </c>
      <c r="K69" s="16">
        <f>SUM('ADVANCE:ELECTION DAY'!K68)</f>
        <v>0</v>
      </c>
      <c r="L69" s="16">
        <f>SUM('ADVANCE:ELECTION DAY'!L68)</f>
        <v>0</v>
      </c>
      <c r="M69" s="16">
        <f>SUM('ADVANCE:ELECTION DAY'!M68)</f>
        <v>0</v>
      </c>
      <c r="N69" s="16">
        <f>SUM('ADVANCE:ELECTION DAY'!N68)</f>
        <v>0</v>
      </c>
      <c r="O69" s="15" t="s">
        <v>53</v>
      </c>
      <c r="P69" s="15" t="s">
        <v>15</v>
      </c>
      <c r="Q69" s="16">
        <f>SUM('ADVANCE:ELECTION DAY'!Q68)</f>
        <v>0</v>
      </c>
      <c r="R69" s="16">
        <f>SUM('ADVANCE:ELECTION DAY'!R68)</f>
        <v>0</v>
      </c>
      <c r="S69" s="16">
        <f>SUM('ADVANCE:ELECTION DAY'!S68)</f>
        <v>0</v>
      </c>
      <c r="T69" s="16">
        <f>SUM('ADVANCE:ELECTION DAY'!T68)</f>
        <v>0</v>
      </c>
      <c r="U69" s="16">
        <f>SUM('ADVANCE:ELECTION DAY'!U68)</f>
        <v>0</v>
      </c>
      <c r="V69" s="16">
        <f>SUM('ADVANCE:ELECTION DAY'!V68)</f>
        <v>0</v>
      </c>
      <c r="W69" s="16">
        <f>SUM('ADVANCE:ELECTION DAY'!W68)</f>
        <v>0</v>
      </c>
      <c r="X69" s="16">
        <f>SUM('ADVANCE:ELECTION DAY'!X68)</f>
        <v>0</v>
      </c>
      <c r="Y69" s="16">
        <f t="shared" si="4"/>
        <v>24</v>
      </c>
    </row>
    <row r="70" spans="1:25" ht="13.5" thickBot="1" x14ac:dyDescent="0.25">
      <c r="B70" s="21"/>
      <c r="C70" s="15"/>
      <c r="D70" s="15"/>
      <c r="E70" s="32">
        <f>SUM('ADVANCE:ELECTION DAY'!E70)</f>
        <v>0</v>
      </c>
      <c r="F70" s="16">
        <f>SUM('ADVANCE:ELECTION DAY'!F70)</f>
        <v>0</v>
      </c>
      <c r="G70" s="16">
        <f>SUM('ADVANCE:ELECTION DAY'!G70)</f>
        <v>0</v>
      </c>
      <c r="H70" s="16">
        <f>SUM('ADVANCE:ELECTION DAY'!H70)</f>
        <v>0</v>
      </c>
      <c r="I70" s="16">
        <f>SUM('ADVANCE:ELECTION DAY'!I70)</f>
        <v>0</v>
      </c>
      <c r="J70" s="16">
        <f>SUM('ADVANCE:ELECTION DAY'!J70)</f>
        <v>0</v>
      </c>
      <c r="K70" s="16">
        <f>SUM('ADVANCE:ELECTION DAY'!K70)</f>
        <v>0</v>
      </c>
      <c r="L70" s="16">
        <f>SUM('ADVANCE:ELECTION DAY'!L70)</f>
        <v>0</v>
      </c>
      <c r="M70" s="16">
        <f>SUM('ADVANCE:ELECTION DAY'!M70)</f>
        <v>0</v>
      </c>
      <c r="N70" s="16">
        <f>SUM('ADVANCE:ELECTION DAY'!N70)</f>
        <v>0</v>
      </c>
      <c r="O70" s="16"/>
      <c r="P70" s="15"/>
      <c r="Q70" s="16">
        <f>SUM('ADVANCE:ELECTION DAY'!Q70)</f>
        <v>0</v>
      </c>
      <c r="R70" s="16">
        <f>SUM('ADVANCE:ELECTION DAY'!R70)</f>
        <v>0</v>
      </c>
      <c r="S70" s="16">
        <f>SUM('ADVANCE:ELECTION DAY'!S70)</f>
        <v>0</v>
      </c>
      <c r="T70" s="16">
        <f>SUM('ADVANCE:ELECTION DAY'!T70)</f>
        <v>0</v>
      </c>
      <c r="U70" s="16">
        <f>SUM('ADVANCE:ELECTION DAY'!U70)</f>
        <v>0</v>
      </c>
      <c r="V70" s="16">
        <f>SUM('ADVANCE:ELECTION DAY'!V70)</f>
        <v>0</v>
      </c>
      <c r="W70" s="16">
        <f>SUM('ADVANCE:ELECTION DAY'!W70)</f>
        <v>0</v>
      </c>
      <c r="X70" s="16">
        <f>SUM('ADVANCE:ELECTION DAY'!X70)</f>
        <v>0</v>
      </c>
      <c r="Y70" s="16">
        <f t="shared" si="4"/>
        <v>0</v>
      </c>
    </row>
    <row r="71" spans="1:25" ht="13.5" thickBot="1" x14ac:dyDescent="0.25">
      <c r="B71" s="10" t="s">
        <v>29</v>
      </c>
      <c r="C71" s="11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27"/>
      <c r="O71" s="10" t="s">
        <v>29</v>
      </c>
      <c r="P71" s="11"/>
      <c r="Q71" s="12"/>
      <c r="R71" s="33"/>
      <c r="S71" s="12"/>
      <c r="T71" s="12"/>
      <c r="U71" s="12"/>
      <c r="V71" s="12"/>
      <c r="W71" s="12"/>
      <c r="X71" s="12"/>
      <c r="Y71" s="12"/>
    </row>
    <row r="72" spans="1:25" ht="13.5" thickBot="1" x14ac:dyDescent="0.25">
      <c r="B72" s="21"/>
      <c r="C72" s="15"/>
      <c r="D72" s="15"/>
      <c r="E72" s="32">
        <f>SUM('ADVANCE:ELECTION DAY'!E71)</f>
        <v>0</v>
      </c>
      <c r="F72" s="16">
        <f>SUM('ADVANCE:ELECTION DAY'!F71)</f>
        <v>0</v>
      </c>
      <c r="G72" s="16">
        <f>SUM('ADVANCE:ELECTION DAY'!G71)</f>
        <v>0</v>
      </c>
      <c r="H72" s="16">
        <f>SUM('ADVANCE:ELECTION DAY'!H71)</f>
        <v>0</v>
      </c>
      <c r="I72" s="16">
        <f>SUM('ADVANCE:ELECTION DAY'!I71)</f>
        <v>0</v>
      </c>
      <c r="J72" s="16">
        <f>SUM('ADVANCE:ELECTION DAY'!J71)</f>
        <v>0</v>
      </c>
      <c r="K72" s="16">
        <f>SUM('ADVANCE:ELECTION DAY'!K71)</f>
        <v>0</v>
      </c>
      <c r="L72" s="16">
        <f>SUM('ADVANCE:ELECTION DAY'!L71)</f>
        <v>0</v>
      </c>
      <c r="M72" s="16">
        <f>SUM('ADVANCE:ELECTION DAY'!M71)</f>
        <v>0</v>
      </c>
      <c r="N72" s="16">
        <f>SUM('ADVANCE:ELECTION DAY'!N71)</f>
        <v>0</v>
      </c>
      <c r="O72" s="16"/>
      <c r="P72" s="15"/>
      <c r="Q72" s="16">
        <f>SUM('ADVANCE:ELECTION DAY'!Q71)</f>
        <v>0</v>
      </c>
      <c r="R72" s="16">
        <f>SUM('ADVANCE:ELECTION DAY'!R71)</f>
        <v>0</v>
      </c>
      <c r="S72" s="16">
        <f>SUM('ADVANCE:ELECTION DAY'!S71)</f>
        <v>0</v>
      </c>
      <c r="T72" s="16">
        <f>SUM('ADVANCE:ELECTION DAY'!T71)</f>
        <v>0</v>
      </c>
      <c r="U72" s="16">
        <f>SUM('ADVANCE:ELECTION DAY'!U71)</f>
        <v>0</v>
      </c>
      <c r="V72" s="16">
        <f>SUM('ADVANCE:ELECTION DAY'!V71)</f>
        <v>0</v>
      </c>
      <c r="W72" s="16">
        <f>SUM('ADVANCE:ELECTION DAY'!W71)</f>
        <v>0</v>
      </c>
      <c r="X72" s="16">
        <f>SUM('ADVANCE:ELECTION DAY'!X71)</f>
        <v>0</v>
      </c>
      <c r="Y72" s="16">
        <f t="shared" si="4"/>
        <v>0</v>
      </c>
    </row>
    <row r="73" spans="1:25" ht="20.100000000000001" customHeight="1" thickBot="1" x14ac:dyDescent="0.25">
      <c r="B73" s="10" t="s">
        <v>30</v>
      </c>
      <c r="C73" s="11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27"/>
      <c r="O73" s="10" t="s">
        <v>30</v>
      </c>
      <c r="P73" s="11"/>
      <c r="Q73" s="12"/>
      <c r="R73" s="33"/>
      <c r="S73" s="12"/>
      <c r="T73" s="12"/>
      <c r="U73" s="12"/>
      <c r="V73" s="12"/>
      <c r="W73" s="12"/>
      <c r="X73" s="12"/>
      <c r="Y73" s="12"/>
    </row>
    <row r="74" spans="1:25" ht="13.5" thickBot="1" x14ac:dyDescent="0.25">
      <c r="B74" s="15"/>
      <c r="C74" s="15" t="s">
        <v>98</v>
      </c>
      <c r="D74" s="15" t="s">
        <v>15</v>
      </c>
      <c r="E74" s="32">
        <f>SUM('ADVANCE:ELECTION DAY'!E73)</f>
        <v>0</v>
      </c>
      <c r="F74" s="16">
        <f>SUM('ADVANCE:ELECTION DAY'!F73)</f>
        <v>0</v>
      </c>
      <c r="G74" s="16">
        <f>SUM('ADVANCE:ELECTION DAY'!G73)</f>
        <v>0</v>
      </c>
      <c r="H74" s="16">
        <f>SUM('ADVANCE:ELECTION DAY'!H73)</f>
        <v>0</v>
      </c>
      <c r="I74" s="16">
        <f>SUM('ADVANCE:ELECTION DAY'!I73)</f>
        <v>15</v>
      </c>
      <c r="J74" s="16">
        <f>SUM('ADVANCE:ELECTION DAY'!J73)</f>
        <v>0</v>
      </c>
      <c r="K74" s="16">
        <f>SUM('ADVANCE:ELECTION DAY'!K73)</f>
        <v>0</v>
      </c>
      <c r="L74" s="16">
        <f>SUM('ADVANCE:ELECTION DAY'!L73)</f>
        <v>0</v>
      </c>
      <c r="M74" s="16">
        <f>SUM('ADVANCE:ELECTION DAY'!M73)</f>
        <v>0</v>
      </c>
      <c r="N74" s="16">
        <f>SUM('ADVANCE:ELECTION DAY'!N73)</f>
        <v>0</v>
      </c>
      <c r="O74" s="15" t="s">
        <v>98</v>
      </c>
      <c r="P74" s="15" t="s">
        <v>15</v>
      </c>
      <c r="Q74" s="16">
        <f>SUM('ADVANCE:ELECTION DAY'!Q73)</f>
        <v>0</v>
      </c>
      <c r="R74" s="16">
        <f>SUM('ADVANCE:ELECTION DAY'!R73)</f>
        <v>0</v>
      </c>
      <c r="S74" s="16">
        <f>SUM('ADVANCE:ELECTION DAY'!S73)</f>
        <v>0</v>
      </c>
      <c r="T74" s="16">
        <f>SUM('ADVANCE:ELECTION DAY'!T73)</f>
        <v>0</v>
      </c>
      <c r="U74" s="16">
        <f>SUM('ADVANCE:ELECTION DAY'!U73)</f>
        <v>0</v>
      </c>
      <c r="V74" s="16">
        <f>SUM('ADVANCE:ELECTION DAY'!V73)</f>
        <v>0</v>
      </c>
      <c r="W74" s="16">
        <f>SUM('ADVANCE:ELECTION DAY'!W73)</f>
        <v>0</v>
      </c>
      <c r="X74" s="16">
        <f>SUM('ADVANCE:ELECTION DAY'!X73)</f>
        <v>0</v>
      </c>
      <c r="Y74" s="16">
        <f t="shared" si="4"/>
        <v>15</v>
      </c>
    </row>
    <row r="75" spans="1:25" ht="13.5" thickBot="1" x14ac:dyDescent="0.25">
      <c r="B75" s="10" t="s">
        <v>31</v>
      </c>
      <c r="C75" s="11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27"/>
      <c r="O75" s="10" t="s">
        <v>31</v>
      </c>
      <c r="P75" s="11"/>
      <c r="Q75" s="12"/>
      <c r="R75" s="33"/>
      <c r="S75" s="12"/>
      <c r="T75" s="12"/>
      <c r="U75" s="12"/>
      <c r="V75" s="12"/>
      <c r="W75" s="12"/>
      <c r="X75" s="12"/>
      <c r="Y75" s="12"/>
    </row>
    <row r="76" spans="1:25" ht="13.5" thickBot="1" x14ac:dyDescent="0.25">
      <c r="B76" s="39"/>
      <c r="C76" s="15" t="s">
        <v>82</v>
      </c>
      <c r="D76" s="15" t="s">
        <v>15</v>
      </c>
      <c r="E76" s="32">
        <f>SUM('ADVANCE:ELECTION DAY'!E75)</f>
        <v>0</v>
      </c>
      <c r="F76" s="16">
        <f>SUM('ADVANCE:ELECTION DAY'!F75)</f>
        <v>0</v>
      </c>
      <c r="G76" s="16">
        <f>SUM('ADVANCE:ELECTION DAY'!G75)</f>
        <v>0</v>
      </c>
      <c r="H76" s="16">
        <f>SUM('ADVANCE:ELECTION DAY'!H75)</f>
        <v>0</v>
      </c>
      <c r="I76" s="16">
        <f>SUM('ADVANCE:ELECTION DAY'!I75)</f>
        <v>0</v>
      </c>
      <c r="J76" s="16">
        <f>SUM('ADVANCE:ELECTION DAY'!J75)</f>
        <v>27</v>
      </c>
      <c r="K76" s="16">
        <f>SUM('ADVANCE:ELECTION DAY'!K75)</f>
        <v>209</v>
      </c>
      <c r="L76" s="16">
        <f>SUM('ADVANCE:ELECTION DAY'!L75)</f>
        <v>60</v>
      </c>
      <c r="M76" s="16">
        <f>SUM('ADVANCE:ELECTION DAY'!M75)</f>
        <v>4</v>
      </c>
      <c r="N76" s="16">
        <f>SUM('ADVANCE:ELECTION DAY'!N75)</f>
        <v>25</v>
      </c>
      <c r="O76" s="15" t="s">
        <v>82</v>
      </c>
      <c r="P76" s="15" t="s">
        <v>15</v>
      </c>
      <c r="Q76" s="16">
        <f>SUM('ADVANCE:ELECTION DAY'!Q75)</f>
        <v>22</v>
      </c>
      <c r="R76" s="16">
        <f>SUM('ADVANCE:ELECTION DAY'!R75)</f>
        <v>0</v>
      </c>
      <c r="S76" s="16">
        <f>SUM('ADVANCE:ELECTION DAY'!S75)</f>
        <v>0</v>
      </c>
      <c r="T76" s="16">
        <f>SUM('ADVANCE:ELECTION DAY'!T75)</f>
        <v>0</v>
      </c>
      <c r="U76" s="16">
        <f>SUM('ADVANCE:ELECTION DAY'!U75)</f>
        <v>0</v>
      </c>
      <c r="V76" s="16">
        <f>SUM('ADVANCE:ELECTION DAY'!V75)</f>
        <v>0</v>
      </c>
      <c r="W76" s="16">
        <f>SUM('ADVANCE:ELECTION DAY'!W75)</f>
        <v>0</v>
      </c>
      <c r="X76" s="16">
        <f>SUM('ADVANCE:ELECTION DAY'!X75)</f>
        <v>0</v>
      </c>
      <c r="Y76" s="16">
        <f t="shared" si="4"/>
        <v>347</v>
      </c>
    </row>
    <row r="77" spans="1:25" ht="15" customHeight="1" thickBot="1" x14ac:dyDescent="0.3">
      <c r="A77" s="6"/>
      <c r="B77" s="39"/>
      <c r="C77" s="15"/>
      <c r="D77" s="15"/>
      <c r="E77" s="32">
        <f>SUM('ADVANCE:ELECTION DAY'!E77)</f>
        <v>0</v>
      </c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6"/>
      <c r="R77" s="16"/>
      <c r="S77" s="16"/>
      <c r="T77" s="16"/>
      <c r="U77" s="16"/>
      <c r="V77" s="16"/>
      <c r="W77" s="16"/>
      <c r="X77" s="16"/>
      <c r="Y77" s="16">
        <f t="shared" si="4"/>
        <v>0</v>
      </c>
    </row>
    <row r="78" spans="1:25" ht="13.5" thickBot="1" x14ac:dyDescent="0.25">
      <c r="B78" s="10" t="s">
        <v>32</v>
      </c>
      <c r="C78" s="11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27"/>
      <c r="O78" s="10" t="s">
        <v>32</v>
      </c>
      <c r="P78" s="11"/>
      <c r="Q78" s="12"/>
      <c r="R78" s="33"/>
      <c r="S78" s="12"/>
      <c r="T78" s="12"/>
      <c r="U78" s="12"/>
      <c r="V78" s="12"/>
      <c r="W78" s="12"/>
      <c r="X78" s="12"/>
      <c r="Y78" s="12"/>
    </row>
    <row r="79" spans="1:25" ht="13.5" thickBot="1" x14ac:dyDescent="0.25">
      <c r="B79" s="39"/>
      <c r="C79" s="15" t="s">
        <v>81</v>
      </c>
      <c r="D79" s="15" t="s">
        <v>15</v>
      </c>
      <c r="E79" s="32">
        <f>SUM('ADVANCE:ELECTION DAY'!E78)</f>
        <v>0</v>
      </c>
      <c r="F79" s="16">
        <f>SUM('ADVANCE:ELECTION DAY'!F78)</f>
        <v>0</v>
      </c>
      <c r="G79" s="16">
        <f>SUM('ADVANCE:ELECTION DAY'!G78)</f>
        <v>0</v>
      </c>
      <c r="H79" s="16">
        <f>SUM('ADVANCE:ELECTION DAY'!H78)</f>
        <v>0</v>
      </c>
      <c r="I79" s="16">
        <f>SUM('ADVANCE:ELECTION DAY'!I78)</f>
        <v>0</v>
      </c>
      <c r="J79" s="16">
        <f>SUM('ADVANCE:ELECTION DAY'!J78)</f>
        <v>0</v>
      </c>
      <c r="K79" s="16">
        <f>SUM('ADVANCE:ELECTION DAY'!K78)</f>
        <v>0</v>
      </c>
      <c r="L79" s="16">
        <f>SUM('ADVANCE:ELECTION DAY'!L78)</f>
        <v>0</v>
      </c>
      <c r="M79" s="16">
        <f>SUM('ADVANCE:ELECTION DAY'!M78)</f>
        <v>0</v>
      </c>
      <c r="N79" s="16">
        <f>SUM('ADVANCE:ELECTION DAY'!N78)</f>
        <v>0</v>
      </c>
      <c r="O79" s="15" t="s">
        <v>81</v>
      </c>
      <c r="P79" s="15" t="s">
        <v>15</v>
      </c>
      <c r="Q79" s="16">
        <f>SUM('ADVANCE:ELECTION DAY'!Q78)</f>
        <v>0</v>
      </c>
      <c r="R79" s="16">
        <f>SUM('ADVANCE:ELECTION DAY'!R78)</f>
        <v>4</v>
      </c>
      <c r="S79" s="16">
        <f>SUM('ADVANCE:ELECTION DAY'!S78)</f>
        <v>0</v>
      </c>
      <c r="T79" s="16">
        <f>SUM('ADVANCE:ELECTION DAY'!T78)</f>
        <v>0</v>
      </c>
      <c r="U79" s="16">
        <f>SUM('ADVANCE:ELECTION DAY'!U78)</f>
        <v>0</v>
      </c>
      <c r="V79" s="16">
        <f>SUM('ADVANCE:ELECTION DAY'!V78)</f>
        <v>0</v>
      </c>
      <c r="W79" s="16">
        <f>SUM('ADVANCE:ELECTION DAY'!W78)</f>
        <v>0</v>
      </c>
      <c r="X79" s="16">
        <f>SUM('ADVANCE:ELECTION DAY'!X78)</f>
        <v>0</v>
      </c>
      <c r="Y79" s="16">
        <f t="shared" si="4"/>
        <v>4</v>
      </c>
    </row>
    <row r="80" spans="1:25" ht="13.5" thickBot="1" x14ac:dyDescent="0.25">
      <c r="B80" s="10" t="s">
        <v>33</v>
      </c>
      <c r="C80" s="11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27"/>
      <c r="O80" s="10" t="s">
        <v>33</v>
      </c>
      <c r="P80" s="11"/>
      <c r="Q80" s="12"/>
      <c r="R80" s="46"/>
      <c r="S80" s="12"/>
      <c r="T80" s="12"/>
      <c r="U80" s="12"/>
      <c r="V80" s="12"/>
      <c r="W80" s="12"/>
      <c r="X80" s="12"/>
      <c r="Y80" s="12"/>
    </row>
    <row r="81" spans="2:84" ht="13.5" thickBot="1" x14ac:dyDescent="0.25">
      <c r="B81" s="39"/>
      <c r="C81" s="15" t="s">
        <v>109</v>
      </c>
      <c r="D81" s="15" t="s">
        <v>15</v>
      </c>
      <c r="E81" s="32">
        <f>SUM('ADVANCE:ELECTION DAY'!E80)</f>
        <v>0</v>
      </c>
      <c r="F81" s="16">
        <f>SUM('ADVANCE:ELECTION DAY'!F80)</f>
        <v>0</v>
      </c>
      <c r="G81" s="16">
        <f>SUM('ADVANCE:ELECTION DAY'!G80)</f>
        <v>0</v>
      </c>
      <c r="H81" s="16">
        <f>SUM('ADVANCE:ELECTION DAY'!H80)</f>
        <v>0</v>
      </c>
      <c r="I81" s="16">
        <f>SUM('ADVANCE:ELECTION DAY'!I80)</f>
        <v>0</v>
      </c>
      <c r="J81" s="16">
        <f>SUM('ADVANCE:ELECTION DAY'!J80)</f>
        <v>0</v>
      </c>
      <c r="K81" s="16">
        <f>SUM('ADVANCE:ELECTION DAY'!K80)</f>
        <v>0</v>
      </c>
      <c r="L81" s="16">
        <f>SUM('ADVANCE:ELECTION DAY'!L80)</f>
        <v>0</v>
      </c>
      <c r="M81" s="16">
        <f>SUM('ADVANCE:ELECTION DAY'!M80)</f>
        <v>0</v>
      </c>
      <c r="N81" s="16">
        <f>SUM('ADVANCE:ELECTION DAY'!N80)</f>
        <v>0</v>
      </c>
      <c r="O81" s="15" t="s">
        <v>109</v>
      </c>
      <c r="P81" s="15" t="s">
        <v>15</v>
      </c>
      <c r="Q81" s="16">
        <f>SUM('ADVANCE:ELECTION DAY'!Q80)</f>
        <v>0</v>
      </c>
      <c r="R81" s="16">
        <f>SUM('ADVANCE:ELECTION DAY'!R80)</f>
        <v>0</v>
      </c>
      <c r="S81" s="16">
        <f>SUM('ADVANCE:ELECTION DAY'!S80)</f>
        <v>36</v>
      </c>
      <c r="T81" s="16">
        <f>SUM('ADVANCE:ELECTION DAY'!T80)</f>
        <v>0</v>
      </c>
      <c r="U81" s="16">
        <f>SUM('ADVANCE:ELECTION DAY'!U80)</f>
        <v>0</v>
      </c>
      <c r="V81" s="16">
        <f>SUM('ADVANCE:ELECTION DAY'!V80)</f>
        <v>0</v>
      </c>
      <c r="W81" s="16">
        <f>SUM('ADVANCE:ELECTION DAY'!W80)</f>
        <v>0</v>
      </c>
      <c r="X81" s="16">
        <f>SUM('ADVANCE:ELECTION DAY'!X80)</f>
        <v>0</v>
      </c>
      <c r="Y81" s="16">
        <f t="shared" si="4"/>
        <v>36</v>
      </c>
    </row>
    <row r="82" spans="2:84" ht="13.5" thickBot="1" x14ac:dyDescent="0.25">
      <c r="B82" s="39"/>
      <c r="C82" s="15"/>
      <c r="D82" s="15"/>
      <c r="E82" s="32">
        <f>SUM('ADVANCE:ELECTION DAY'!E82)</f>
        <v>0</v>
      </c>
      <c r="F82" s="16"/>
      <c r="G82" s="16"/>
      <c r="H82" s="16"/>
      <c r="I82" s="16"/>
      <c r="J82" s="16"/>
      <c r="K82" s="16"/>
      <c r="L82" s="16"/>
      <c r="M82" s="16"/>
      <c r="N82" s="16"/>
      <c r="O82" s="15"/>
      <c r="P82" s="15"/>
      <c r="Q82" s="16"/>
      <c r="R82" s="16"/>
      <c r="S82" s="16"/>
      <c r="T82" s="16"/>
      <c r="U82" s="16"/>
      <c r="V82" s="16"/>
      <c r="W82" s="16"/>
      <c r="X82" s="16"/>
      <c r="Y82" s="16">
        <f t="shared" si="4"/>
        <v>0</v>
      </c>
    </row>
    <row r="83" spans="2:84" ht="13.5" thickBot="1" x14ac:dyDescent="0.25">
      <c r="B83" s="39"/>
      <c r="C83" s="15"/>
      <c r="D83" s="15"/>
      <c r="E83" s="32">
        <f>SUM('ADVANCE:ELECTION DAY'!E83)</f>
        <v>0</v>
      </c>
      <c r="F83" s="16"/>
      <c r="G83" s="16"/>
      <c r="H83" s="16"/>
      <c r="I83" s="16"/>
      <c r="J83" s="16"/>
      <c r="K83" s="16"/>
      <c r="L83" s="16"/>
      <c r="M83" s="16"/>
      <c r="N83" s="16"/>
      <c r="O83" s="15"/>
      <c r="P83" s="15"/>
      <c r="Q83" s="16"/>
      <c r="R83" s="16"/>
      <c r="S83" s="16"/>
      <c r="T83" s="16"/>
      <c r="U83" s="16"/>
      <c r="V83" s="16"/>
      <c r="W83" s="16"/>
      <c r="X83" s="16"/>
      <c r="Y83" s="16">
        <f t="shared" si="4"/>
        <v>0</v>
      </c>
    </row>
    <row r="84" spans="2:84" ht="13.5" thickBot="1" x14ac:dyDescent="0.25">
      <c r="B84" s="10" t="s">
        <v>34</v>
      </c>
      <c r="C84" s="11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27"/>
      <c r="O84" s="10" t="s">
        <v>34</v>
      </c>
      <c r="P84" s="11"/>
      <c r="Q84" s="12"/>
      <c r="R84" s="46"/>
      <c r="S84" s="12"/>
      <c r="T84" s="12"/>
      <c r="U84" s="12"/>
      <c r="V84" s="12"/>
      <c r="W84" s="12"/>
      <c r="X84" s="12"/>
      <c r="Y84" s="12"/>
    </row>
    <row r="85" spans="2:84" ht="13.5" thickBot="1" x14ac:dyDescent="0.25">
      <c r="B85" s="39"/>
      <c r="C85" s="15" t="s">
        <v>110</v>
      </c>
      <c r="D85" s="15" t="s">
        <v>15</v>
      </c>
      <c r="E85" s="32">
        <f>SUM('ADVANCE:ELECTION DAY'!E84)</f>
        <v>0</v>
      </c>
      <c r="F85" s="16">
        <f>SUM('ADVANCE:ELECTION DAY'!F84)</f>
        <v>0</v>
      </c>
      <c r="G85" s="16">
        <f>SUM('ADVANCE:ELECTION DAY'!G84)</f>
        <v>0</v>
      </c>
      <c r="H85" s="16">
        <f>SUM('ADVANCE:ELECTION DAY'!H84)</f>
        <v>0</v>
      </c>
      <c r="I85" s="16">
        <f>SUM('ADVANCE:ELECTION DAY'!I84)</f>
        <v>0</v>
      </c>
      <c r="J85" s="16">
        <f>SUM('ADVANCE:ELECTION DAY'!J84)</f>
        <v>0</v>
      </c>
      <c r="K85" s="16">
        <f>SUM('ADVANCE:ELECTION DAY'!K84)</f>
        <v>0</v>
      </c>
      <c r="L85" s="16">
        <f>SUM('ADVANCE:ELECTION DAY'!L84)</f>
        <v>0</v>
      </c>
      <c r="M85" s="16">
        <f>SUM('ADVANCE:ELECTION DAY'!M84)</f>
        <v>0</v>
      </c>
      <c r="N85" s="16">
        <f>SUM('ADVANCE:ELECTION DAY'!N84)</f>
        <v>0</v>
      </c>
      <c r="O85" s="15" t="s">
        <v>110</v>
      </c>
      <c r="P85" s="15" t="s">
        <v>15</v>
      </c>
      <c r="Q85" s="16">
        <f>SUM('ADVANCE:ELECTION DAY'!Q84)</f>
        <v>0</v>
      </c>
      <c r="R85" s="16">
        <f>SUM('ADVANCE:ELECTION DAY'!R84)</f>
        <v>0</v>
      </c>
      <c r="S85" s="16">
        <f>SUM('ADVANCE:ELECTION DAY'!S84)</f>
        <v>0</v>
      </c>
      <c r="T85" s="16">
        <f>SUM('ADVANCE:ELECTION DAY'!T84)</f>
        <v>14</v>
      </c>
      <c r="U85" s="16">
        <f>SUM('ADVANCE:ELECTION DAY'!U84)</f>
        <v>0</v>
      </c>
      <c r="V85" s="16">
        <f>SUM('ADVANCE:ELECTION DAY'!V84)</f>
        <v>0</v>
      </c>
      <c r="W85" s="16">
        <f>SUM('ADVANCE:ELECTION DAY'!W84)</f>
        <v>0</v>
      </c>
      <c r="X85" s="16">
        <f>SUM('ADVANCE:ELECTION DAY'!X84)</f>
        <v>0</v>
      </c>
      <c r="Y85" s="16">
        <f t="shared" si="4"/>
        <v>14</v>
      </c>
    </row>
    <row r="86" spans="2:84" ht="13.5" thickBot="1" x14ac:dyDescent="0.25">
      <c r="B86" s="10" t="s">
        <v>35</v>
      </c>
      <c r="C86" s="11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27"/>
      <c r="O86" s="10" t="s">
        <v>35</v>
      </c>
      <c r="P86" s="11"/>
      <c r="Q86" s="12"/>
      <c r="R86" s="46"/>
      <c r="S86" s="12"/>
      <c r="T86" s="12"/>
      <c r="U86" s="12"/>
      <c r="V86" s="12"/>
      <c r="W86" s="12"/>
      <c r="X86" s="12"/>
      <c r="Y86" s="12"/>
    </row>
    <row r="87" spans="2:84" ht="13.5" thickBot="1" x14ac:dyDescent="0.25">
      <c r="B87" s="39"/>
      <c r="C87" s="15"/>
      <c r="D87" s="15"/>
      <c r="E87" s="32">
        <f>SUM('ADVANCE:ELECTION DAY'!E86)</f>
        <v>0</v>
      </c>
      <c r="F87" s="32">
        <f>SUM('ADVANCE:ELECTION DAY'!F86)</f>
        <v>0</v>
      </c>
      <c r="G87" s="32">
        <f>SUM('ADVANCE:ELECTION DAY'!G86)</f>
        <v>0</v>
      </c>
      <c r="H87" s="32">
        <f>SUM('ADVANCE:ELECTION DAY'!H86)</f>
        <v>0</v>
      </c>
      <c r="I87" s="32">
        <f>SUM('ADVANCE:ELECTION DAY'!I86)</f>
        <v>0</v>
      </c>
      <c r="J87" s="32">
        <f>SUM('ADVANCE:ELECTION DAY'!J86)</f>
        <v>0</v>
      </c>
      <c r="K87" s="32">
        <f>SUM('ADVANCE:ELECTION DAY'!K86)</f>
        <v>0</v>
      </c>
      <c r="L87" s="32">
        <f>SUM('ADVANCE:ELECTION DAY'!L86)</f>
        <v>0</v>
      </c>
      <c r="M87" s="32">
        <f>SUM('ADVANCE:ELECTION DAY'!M86)</f>
        <v>0</v>
      </c>
      <c r="N87" s="32">
        <f>SUM('ADVANCE:ELECTION DAY'!N86)</f>
        <v>0</v>
      </c>
      <c r="O87" s="15"/>
      <c r="P87" s="15"/>
      <c r="Q87" s="32">
        <f>SUM('ADVANCE:ELECTION DAY'!Q86)</f>
        <v>0</v>
      </c>
      <c r="R87" s="32">
        <f>SUM('ADVANCE:ELECTION DAY'!R86)</f>
        <v>0</v>
      </c>
      <c r="S87" s="32">
        <f>SUM('ADVANCE:ELECTION DAY'!S86)</f>
        <v>0</v>
      </c>
      <c r="T87" s="32">
        <f>SUM('ADVANCE:ELECTION DAY'!T86)</f>
        <v>0</v>
      </c>
      <c r="U87" s="32">
        <f>SUM('ADVANCE:ELECTION DAY'!U86)</f>
        <v>0</v>
      </c>
      <c r="V87" s="32">
        <f>SUM('ADVANCE:ELECTION DAY'!V86)</f>
        <v>0</v>
      </c>
      <c r="W87" s="32">
        <f>SUM('ADVANCE:ELECTION DAY'!W86)</f>
        <v>0</v>
      </c>
      <c r="X87" s="32">
        <f>SUM('ADVANCE:ELECTION DAY'!X86)</f>
        <v>0</v>
      </c>
      <c r="Y87" s="16">
        <f t="shared" si="4"/>
        <v>0</v>
      </c>
    </row>
    <row r="88" spans="2:84" ht="13.5" thickBot="1" x14ac:dyDescent="0.25">
      <c r="B88" s="39"/>
      <c r="C88" s="15"/>
      <c r="D88" s="15"/>
      <c r="E88" s="32">
        <f>SUM('ADVANCE:ELECTION DAY'!E88)</f>
        <v>0</v>
      </c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6"/>
      <c r="R88" s="16"/>
      <c r="S88" s="16"/>
      <c r="T88" s="16"/>
      <c r="U88" s="16"/>
      <c r="V88" s="16"/>
      <c r="W88" s="16"/>
      <c r="X88" s="16"/>
      <c r="Y88" s="16">
        <f>E88+F88+G88+H88+I88+J88+K88+L88+M88+N88+Q88+R88+S88+T88+U88+V88+W88+X88</f>
        <v>0</v>
      </c>
    </row>
    <row r="89" spans="2:84" ht="13.5" thickBot="1" x14ac:dyDescent="0.25">
      <c r="B89" s="10" t="s">
        <v>36</v>
      </c>
      <c r="C89" s="11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27"/>
      <c r="O89" s="10" t="s">
        <v>36</v>
      </c>
      <c r="P89" s="11"/>
      <c r="Q89" s="12"/>
      <c r="R89" s="46"/>
      <c r="S89" s="12"/>
      <c r="T89" s="12"/>
      <c r="U89" s="12"/>
      <c r="V89" s="12"/>
      <c r="W89" s="12"/>
      <c r="X89" s="12"/>
      <c r="Y89" s="12"/>
    </row>
    <row r="90" spans="2:84" ht="13.5" thickBot="1" x14ac:dyDescent="0.25">
      <c r="B90" s="21"/>
      <c r="C90" s="15"/>
      <c r="D90" s="15"/>
      <c r="E90" s="32">
        <f>SUM('ADVANCE:ELECTION DAY'!E89)</f>
        <v>0</v>
      </c>
      <c r="F90" s="32">
        <f>SUM('ADVANCE:ELECTION DAY'!F89)</f>
        <v>0</v>
      </c>
      <c r="G90" s="32">
        <f>SUM('ADVANCE:ELECTION DAY'!G89)</f>
        <v>0</v>
      </c>
      <c r="H90" s="32">
        <f>SUM('ADVANCE:ELECTION DAY'!H89)</f>
        <v>0</v>
      </c>
      <c r="I90" s="32">
        <f>SUM('ADVANCE:ELECTION DAY'!I89)</f>
        <v>0</v>
      </c>
      <c r="J90" s="32">
        <f>SUM('ADVANCE:ELECTION DAY'!J89)</f>
        <v>0</v>
      </c>
      <c r="K90" s="32">
        <f>SUM('ADVANCE:ELECTION DAY'!K89)</f>
        <v>0</v>
      </c>
      <c r="L90" s="32">
        <f>SUM('ADVANCE:ELECTION DAY'!L89)</f>
        <v>0</v>
      </c>
      <c r="M90" s="32">
        <f>SUM('ADVANCE:ELECTION DAY'!M89)</f>
        <v>0</v>
      </c>
      <c r="N90" s="32">
        <f>SUM('ADVANCE:ELECTION DAY'!N89)</f>
        <v>0</v>
      </c>
      <c r="O90" s="15"/>
      <c r="P90" s="15"/>
      <c r="Q90" s="32">
        <f>SUM('ADVANCE:ELECTION DAY'!Q89)</f>
        <v>0</v>
      </c>
      <c r="R90" s="32">
        <f>SUM('ADVANCE:ELECTION DAY'!R89)</f>
        <v>0</v>
      </c>
      <c r="S90" s="32">
        <f>SUM('ADVANCE:ELECTION DAY'!S89)</f>
        <v>0</v>
      </c>
      <c r="T90" s="32">
        <f>SUM('ADVANCE:ELECTION DAY'!T89)</f>
        <v>0</v>
      </c>
      <c r="U90" s="32">
        <f>SUM('ADVANCE:ELECTION DAY'!U89)</f>
        <v>0</v>
      </c>
      <c r="V90" s="32">
        <f>SUM('ADVANCE:ELECTION DAY'!V89)</f>
        <v>0</v>
      </c>
      <c r="W90" s="32">
        <f>SUM('ADVANCE:ELECTION DAY'!W89)</f>
        <v>0</v>
      </c>
      <c r="X90" s="32">
        <f>SUM('ADVANCE:ELECTION DAY'!X89)</f>
        <v>0</v>
      </c>
      <c r="Y90" s="16">
        <f t="shared" si="4"/>
        <v>0</v>
      </c>
    </row>
    <row r="91" spans="2:84" ht="13.5" thickBot="1" x14ac:dyDescent="0.25">
      <c r="B91" s="10" t="s">
        <v>37</v>
      </c>
      <c r="C91" s="11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27"/>
      <c r="O91" s="10" t="s">
        <v>37</v>
      </c>
      <c r="P91" s="11"/>
      <c r="Q91" s="12"/>
      <c r="R91" s="46"/>
      <c r="S91" s="12"/>
      <c r="T91" s="12"/>
      <c r="U91" s="12"/>
      <c r="V91" s="12"/>
      <c r="W91" s="12"/>
      <c r="X91" s="12"/>
      <c r="Y91" s="12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</row>
    <row r="92" spans="2:84" ht="13.5" thickBot="1" x14ac:dyDescent="0.25">
      <c r="B92" s="21"/>
      <c r="C92" s="38" t="s">
        <v>80</v>
      </c>
      <c r="D92" s="14" t="s">
        <v>15</v>
      </c>
      <c r="E92" s="32">
        <f>SUM('ADVANCE:ELECTION DAY'!E91)</f>
        <v>0</v>
      </c>
      <c r="F92" s="32">
        <f>SUM('ADVANCE:ELECTION DAY'!F91)</f>
        <v>0</v>
      </c>
      <c r="G92" s="32">
        <f>SUM('ADVANCE:ELECTION DAY'!G91)</f>
        <v>0</v>
      </c>
      <c r="H92" s="32">
        <f>SUM('ADVANCE:ELECTION DAY'!H91)</f>
        <v>0</v>
      </c>
      <c r="I92" s="32">
        <f>SUM('ADVANCE:ELECTION DAY'!I91)</f>
        <v>0</v>
      </c>
      <c r="J92" s="32">
        <f>SUM('ADVANCE:ELECTION DAY'!J91)</f>
        <v>0</v>
      </c>
      <c r="K92" s="32">
        <f>SUM('ADVANCE:ELECTION DAY'!K91)</f>
        <v>0</v>
      </c>
      <c r="L92" s="32">
        <f>SUM('ADVANCE:ELECTION DAY'!L91)</f>
        <v>0</v>
      </c>
      <c r="M92" s="32">
        <f>SUM('ADVANCE:ELECTION DAY'!M91)</f>
        <v>0</v>
      </c>
      <c r="N92" s="32">
        <f>SUM('ADVANCE:ELECTION DAY'!N91)</f>
        <v>0</v>
      </c>
      <c r="O92" s="38" t="s">
        <v>80</v>
      </c>
      <c r="P92" s="14" t="s">
        <v>15</v>
      </c>
      <c r="Q92" s="32">
        <f>SUM('ADVANCE:ELECTION DAY'!Q91)</f>
        <v>0</v>
      </c>
      <c r="R92" s="32">
        <f>SUM('ADVANCE:ELECTION DAY'!R91)</f>
        <v>0</v>
      </c>
      <c r="S92" s="32">
        <f>SUM('ADVANCE:ELECTION DAY'!S91)</f>
        <v>0</v>
      </c>
      <c r="T92" s="32">
        <f>SUM('ADVANCE:ELECTION DAY'!T91)</f>
        <v>0</v>
      </c>
      <c r="U92" s="32">
        <f>SUM('ADVANCE:ELECTION DAY'!U91)</f>
        <v>0</v>
      </c>
      <c r="V92" s="32">
        <f>SUM('ADVANCE:ELECTION DAY'!V91)</f>
        <v>0</v>
      </c>
      <c r="W92" s="32">
        <f>SUM('ADVANCE:ELECTION DAY'!W91)</f>
        <v>48</v>
      </c>
      <c r="X92" s="32">
        <f>SUM('ADVANCE:ELECTION DAY'!X91)</f>
        <v>0</v>
      </c>
      <c r="Y92" s="16">
        <f t="shared" si="4"/>
        <v>48</v>
      </c>
    </row>
    <row r="93" spans="2:84" ht="13.5" thickBot="1" x14ac:dyDescent="0.25">
      <c r="B93" s="21"/>
      <c r="C93" s="38"/>
      <c r="D93" s="14"/>
      <c r="E93" s="32">
        <f>SUM('ADVANCE:ELECTION DAY'!E93)</f>
        <v>0</v>
      </c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4"/>
      <c r="Q93" s="16"/>
      <c r="R93" s="16"/>
      <c r="S93" s="16"/>
      <c r="T93" s="16"/>
      <c r="U93" s="16"/>
      <c r="V93" s="16"/>
      <c r="W93" s="16"/>
      <c r="X93" s="16"/>
      <c r="Y93" s="16">
        <f t="shared" si="4"/>
        <v>0</v>
      </c>
    </row>
    <row r="94" spans="2:84" ht="13.5" thickBot="1" x14ac:dyDescent="0.25">
      <c r="B94" s="10" t="s">
        <v>38</v>
      </c>
      <c r="C94" s="11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27"/>
      <c r="O94" s="10" t="s">
        <v>38</v>
      </c>
      <c r="P94" s="11"/>
      <c r="Q94" s="12"/>
      <c r="R94" s="46"/>
      <c r="S94" s="12"/>
      <c r="T94" s="12"/>
      <c r="U94" s="12"/>
      <c r="V94" s="12"/>
      <c r="W94" s="12"/>
      <c r="X94" s="12"/>
      <c r="Y94" s="12"/>
    </row>
    <row r="95" spans="2:84" ht="13.5" thickBot="1" x14ac:dyDescent="0.25">
      <c r="B95" s="21"/>
      <c r="C95" s="38" t="s">
        <v>79</v>
      </c>
      <c r="D95" s="15" t="s">
        <v>15</v>
      </c>
      <c r="E95" s="32">
        <f>SUM('ADVANCE:ELECTION DAY'!E94)</f>
        <v>0</v>
      </c>
      <c r="F95" s="32">
        <f>SUM('ADVANCE:ELECTION DAY'!F94)</f>
        <v>0</v>
      </c>
      <c r="G95" s="32">
        <f>SUM('ADVANCE:ELECTION DAY'!G94)</f>
        <v>0</v>
      </c>
      <c r="H95" s="32">
        <f>SUM('ADVANCE:ELECTION DAY'!H94)</f>
        <v>0</v>
      </c>
      <c r="I95" s="32">
        <f>SUM('ADVANCE:ELECTION DAY'!I94)</f>
        <v>0</v>
      </c>
      <c r="J95" s="32">
        <f>SUM('ADVANCE:ELECTION DAY'!J94)</f>
        <v>0</v>
      </c>
      <c r="K95" s="32">
        <f>SUM('ADVANCE:ELECTION DAY'!K94)</f>
        <v>0</v>
      </c>
      <c r="L95" s="32">
        <f>SUM('ADVANCE:ELECTION DAY'!L94)</f>
        <v>0</v>
      </c>
      <c r="M95" s="32">
        <f>SUM('ADVANCE:ELECTION DAY'!M94)</f>
        <v>0</v>
      </c>
      <c r="N95" s="32">
        <f>SUM('ADVANCE:ELECTION DAY'!N94)</f>
        <v>0</v>
      </c>
      <c r="O95" s="38" t="s">
        <v>79</v>
      </c>
      <c r="P95" s="15" t="s">
        <v>15</v>
      </c>
      <c r="Q95" s="32">
        <f>SUM('ADVANCE:ELECTION DAY'!Q94)</f>
        <v>0</v>
      </c>
      <c r="R95" s="32">
        <f>SUM('ADVANCE:ELECTION DAY'!R94)</f>
        <v>0</v>
      </c>
      <c r="S95" s="32">
        <f>SUM('ADVANCE:ELECTION DAY'!S94)</f>
        <v>0</v>
      </c>
      <c r="T95" s="32">
        <f>SUM('ADVANCE:ELECTION DAY'!T94)</f>
        <v>0</v>
      </c>
      <c r="U95" s="32">
        <f>SUM('ADVANCE:ELECTION DAY'!U94)</f>
        <v>0</v>
      </c>
      <c r="V95" s="32">
        <f>SUM('ADVANCE:ELECTION DAY'!V94)</f>
        <v>0</v>
      </c>
      <c r="W95" s="32">
        <f>SUM('ADVANCE:ELECTION DAY'!W94)</f>
        <v>0</v>
      </c>
      <c r="X95" s="32">
        <f>SUM('ADVANCE:ELECTION DAY'!X94)</f>
        <v>54</v>
      </c>
      <c r="Y95" s="16">
        <f t="shared" si="4"/>
        <v>54</v>
      </c>
    </row>
    <row r="96" spans="2:84" ht="27" x14ac:dyDescent="0.35">
      <c r="B96" s="47" t="s">
        <v>131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8.5" thickBot="1" x14ac:dyDescent="0.45">
      <c r="B97" s="1" t="s">
        <v>134</v>
      </c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</row>
    <row r="98" spans="2:25" ht="101.25" thickBot="1" x14ac:dyDescent="0.25">
      <c r="B98" s="8" t="s">
        <v>0</v>
      </c>
      <c r="C98" s="8" t="s">
        <v>1</v>
      </c>
      <c r="D98" s="8"/>
      <c r="E98" s="9" t="s">
        <v>3</v>
      </c>
      <c r="F98" s="9" t="s">
        <v>4</v>
      </c>
      <c r="G98" s="9" t="s">
        <v>5</v>
      </c>
      <c r="H98" s="9" t="s">
        <v>6</v>
      </c>
      <c r="I98" s="9" t="s">
        <v>7</v>
      </c>
      <c r="J98" s="9" t="s">
        <v>41</v>
      </c>
      <c r="K98" s="9" t="s">
        <v>42</v>
      </c>
      <c r="L98" s="9" t="s">
        <v>43</v>
      </c>
      <c r="M98" s="31" t="s">
        <v>44</v>
      </c>
      <c r="N98" s="9" t="s">
        <v>45</v>
      </c>
      <c r="O98" s="42" t="s">
        <v>1</v>
      </c>
      <c r="P98" s="8" t="s">
        <v>2</v>
      </c>
      <c r="Q98" s="9" t="s">
        <v>46</v>
      </c>
      <c r="R98" s="9" t="s">
        <v>8</v>
      </c>
      <c r="S98" s="9" t="s">
        <v>9</v>
      </c>
      <c r="T98" s="9" t="s">
        <v>10</v>
      </c>
      <c r="U98" s="9" t="s">
        <v>47</v>
      </c>
      <c r="V98" s="9" t="s">
        <v>11</v>
      </c>
      <c r="W98" s="9" t="s">
        <v>12</v>
      </c>
      <c r="X98" s="9" t="s">
        <v>13</v>
      </c>
      <c r="Y98" s="9" t="s">
        <v>14</v>
      </c>
    </row>
    <row r="99" spans="2:25" x14ac:dyDescent="0.2">
      <c r="B99" s="22" t="s">
        <v>85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5"/>
      <c r="O99" s="22" t="s">
        <v>85</v>
      </c>
      <c r="P99" s="24"/>
      <c r="Q99" s="23"/>
      <c r="R99" s="23"/>
      <c r="S99" s="24"/>
      <c r="T99" s="23"/>
      <c r="U99" s="23"/>
      <c r="V99" s="23"/>
      <c r="W99" s="23"/>
      <c r="X99" s="23"/>
      <c r="Y99" s="23"/>
    </row>
    <row r="100" spans="2:25" ht="13.5" thickBot="1" x14ac:dyDescent="0.25">
      <c r="B100" s="17" t="s">
        <v>26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0"/>
      <c r="O100" s="17" t="s">
        <v>26</v>
      </c>
      <c r="P100" s="19"/>
      <c r="Q100" s="18"/>
      <c r="R100" s="34"/>
      <c r="S100" s="19"/>
      <c r="T100" s="18"/>
      <c r="U100" s="18"/>
      <c r="V100" s="18"/>
      <c r="W100" s="18"/>
      <c r="X100" s="18"/>
      <c r="Y100" s="18"/>
    </row>
    <row r="101" spans="2:25" ht="13.5" thickBot="1" x14ac:dyDescent="0.25">
      <c r="B101" s="21"/>
      <c r="C101" s="15" t="s">
        <v>97</v>
      </c>
      <c r="D101" s="15" t="s">
        <v>15</v>
      </c>
      <c r="E101" s="32">
        <f>SUM('ADVANCE:ELECTION DAY'!E101)</f>
        <v>9</v>
      </c>
      <c r="F101" s="32">
        <f>SUM('ADVANCE:ELECTION DAY'!F101)</f>
        <v>0</v>
      </c>
      <c r="G101" s="32">
        <f>SUM('ADVANCE:ELECTION DAY'!G101)</f>
        <v>0</v>
      </c>
      <c r="H101" s="32">
        <f>SUM('ADVANCE:ELECTION DAY'!H101)</f>
        <v>0</v>
      </c>
      <c r="I101" s="32">
        <f>SUM('ADVANCE:ELECTION DAY'!I101)</f>
        <v>0</v>
      </c>
      <c r="J101" s="32">
        <f>SUM('ADVANCE:ELECTION DAY'!J101)</f>
        <v>0</v>
      </c>
      <c r="K101" s="32">
        <f>SUM('ADVANCE:ELECTION DAY'!K101)</f>
        <v>0</v>
      </c>
      <c r="L101" s="32">
        <f>SUM('ADVANCE:ELECTION DAY'!L101)</f>
        <v>0</v>
      </c>
      <c r="M101" s="32">
        <f>SUM('ADVANCE:ELECTION DAY'!M101)</f>
        <v>0</v>
      </c>
      <c r="N101" s="32">
        <f>SUM('ADVANCE:ELECTION DAY'!N101)</f>
        <v>0</v>
      </c>
      <c r="O101" s="15" t="s">
        <v>97</v>
      </c>
      <c r="P101" s="15" t="s">
        <v>15</v>
      </c>
      <c r="Q101" s="32">
        <f>SUM('ADVANCE:ELECTION DAY'!Q101)</f>
        <v>0</v>
      </c>
      <c r="R101" s="16">
        <f>SUM('ADVANCE:ELECTION DAY'!R101)</f>
        <v>0</v>
      </c>
      <c r="S101" s="16">
        <f>SUM('ADVANCE:ELECTION DAY'!S101)</f>
        <v>0</v>
      </c>
      <c r="T101" s="16">
        <f>SUM('ADVANCE:ELECTION DAY'!T101)</f>
        <v>0</v>
      </c>
      <c r="U101" s="16">
        <f>SUM('ADVANCE:ELECTION DAY'!U101)</f>
        <v>0</v>
      </c>
      <c r="V101" s="16">
        <f>SUM('ADVANCE:ELECTION DAY'!V101)</f>
        <v>0</v>
      </c>
      <c r="W101" s="16">
        <f>SUM('ADVANCE:ELECTION DAY'!W101)</f>
        <v>0</v>
      </c>
      <c r="X101" s="16">
        <f>SUM('ADVANCE:ELECTION DAY'!X101)</f>
        <v>0</v>
      </c>
      <c r="Y101" s="16">
        <f t="shared" ref="Y101:Y112" si="6">E101+F101+G101+H101+I101+J101+K101+L101+M101+N101+Q101+R101+S101+T101+U101+V101+W101+X101</f>
        <v>9</v>
      </c>
    </row>
    <row r="102" spans="2:25" ht="13.5" thickBot="1" x14ac:dyDescent="0.25">
      <c r="B102" s="39"/>
      <c r="C102" s="15"/>
      <c r="D102" s="15"/>
      <c r="E102" s="32">
        <f>SUM('ADVANCE:ELECTION DAY'!E102)</f>
        <v>10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5"/>
      <c r="P102" s="15"/>
      <c r="Q102" s="32">
        <f>SUM('ADVANCE:ELECTION DAY'!Q102)</f>
        <v>0</v>
      </c>
      <c r="R102" s="16"/>
      <c r="S102" s="16"/>
      <c r="T102" s="16"/>
      <c r="U102" s="16"/>
      <c r="V102" s="16"/>
      <c r="W102" s="16"/>
      <c r="X102" s="16"/>
      <c r="Y102" s="16">
        <f t="shared" si="6"/>
        <v>10</v>
      </c>
    </row>
    <row r="103" spans="2:25" ht="13.5" thickBot="1" x14ac:dyDescent="0.25">
      <c r="B103" s="10" t="s">
        <v>27</v>
      </c>
      <c r="C103" s="11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27"/>
      <c r="O103" s="10" t="s">
        <v>27</v>
      </c>
      <c r="P103" s="12"/>
      <c r="Q103" s="12"/>
      <c r="R103" s="33"/>
      <c r="S103" s="12"/>
      <c r="T103" s="12"/>
      <c r="U103" s="12"/>
      <c r="V103" s="12"/>
      <c r="W103" s="12"/>
      <c r="X103" s="12"/>
      <c r="Y103" s="12"/>
    </row>
    <row r="104" spans="2:25" ht="13.5" thickBot="1" x14ac:dyDescent="0.25">
      <c r="B104" s="21"/>
      <c r="C104" s="15" t="s">
        <v>86</v>
      </c>
      <c r="D104" s="15" t="s">
        <v>15</v>
      </c>
      <c r="E104" s="32">
        <f>SUM('ADVANCE:ELECTION DAY'!E104)</f>
        <v>0</v>
      </c>
      <c r="F104" s="32">
        <f>SUM('ADVANCE:ELECTION DAY'!F104)</f>
        <v>27</v>
      </c>
      <c r="G104" s="32">
        <f>SUM('ADVANCE:ELECTION DAY'!G104)</f>
        <v>0</v>
      </c>
      <c r="H104" s="32">
        <f>SUM('ADVANCE:ELECTION DAY'!H104)</f>
        <v>0</v>
      </c>
      <c r="I104" s="32">
        <f>SUM('ADVANCE:ELECTION DAY'!I104)</f>
        <v>0</v>
      </c>
      <c r="J104" s="32">
        <f>SUM('ADVANCE:ELECTION DAY'!J104)</f>
        <v>0</v>
      </c>
      <c r="K104" s="32">
        <f>SUM('ADVANCE:ELECTION DAY'!K104)</f>
        <v>0</v>
      </c>
      <c r="L104" s="32">
        <f>SUM('ADVANCE:ELECTION DAY'!L104)</f>
        <v>0</v>
      </c>
      <c r="M104" s="32">
        <f>SUM('ADVANCE:ELECTION DAY'!M104)</f>
        <v>0</v>
      </c>
      <c r="N104" s="32">
        <f>SUM('ADVANCE:ELECTION DAY'!N104)</f>
        <v>0</v>
      </c>
      <c r="O104" s="15" t="s">
        <v>86</v>
      </c>
      <c r="P104" s="15" t="s">
        <v>15</v>
      </c>
      <c r="Q104" s="32">
        <f>SUM('ADVANCE:ELECTION DAY'!Q104)</f>
        <v>0</v>
      </c>
      <c r="R104" s="32">
        <f>SUM('ADVANCE:ELECTION DAY'!R104)</f>
        <v>0</v>
      </c>
      <c r="S104" s="32">
        <f>SUM('ADVANCE:ELECTION DAY'!S104)</f>
        <v>0</v>
      </c>
      <c r="T104" s="32">
        <f>SUM('ADVANCE:ELECTION DAY'!T104)</f>
        <v>0</v>
      </c>
      <c r="U104" s="32">
        <f>SUM('ADVANCE:ELECTION DAY'!U104)</f>
        <v>0</v>
      </c>
      <c r="V104" s="32">
        <f>SUM('ADVANCE:ELECTION DAY'!V104)</f>
        <v>0</v>
      </c>
      <c r="W104" s="32">
        <f>SUM('ADVANCE:ELECTION DAY'!W104)</f>
        <v>0</v>
      </c>
      <c r="X104" s="32">
        <f>SUM('ADVANCE:ELECTION DAY'!X104)</f>
        <v>0</v>
      </c>
      <c r="Y104" s="16">
        <f t="shared" ref="Y104" si="7">E104+F104+G104+H104+I104+J104+K104+L104+M104+N104+Q104+R104+S104+T104+U104+V104+W104+X104</f>
        <v>27</v>
      </c>
    </row>
    <row r="105" spans="2:25" ht="13.5" thickBot="1" x14ac:dyDescent="0.25">
      <c r="B105" s="21"/>
      <c r="C105" s="15"/>
      <c r="D105" s="15"/>
      <c r="E105" s="32">
        <f>SUM('ADVANCE:ELECTION DAY'!E105)</f>
        <v>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5"/>
      <c r="P105" s="15"/>
      <c r="Q105" s="32">
        <f>SUM('ADVANCE:ELECTION DAY'!Q105)</f>
        <v>0</v>
      </c>
      <c r="R105" s="16"/>
      <c r="S105" s="16"/>
      <c r="T105" s="16"/>
      <c r="U105" s="16"/>
      <c r="V105" s="16"/>
      <c r="W105" s="16"/>
      <c r="X105" s="16"/>
      <c r="Y105" s="16">
        <f t="shared" si="6"/>
        <v>0</v>
      </c>
    </row>
    <row r="106" spans="2:25" ht="13.5" thickBot="1" x14ac:dyDescent="0.25">
      <c r="B106" s="10" t="s">
        <v>28</v>
      </c>
      <c r="C106" s="11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27"/>
      <c r="O106" s="10" t="s">
        <v>28</v>
      </c>
      <c r="P106" s="12"/>
      <c r="Q106" s="12"/>
      <c r="R106" s="33"/>
      <c r="S106" s="12"/>
      <c r="T106" s="12"/>
      <c r="U106" s="12"/>
      <c r="V106" s="12"/>
      <c r="W106" s="12"/>
      <c r="X106" s="12"/>
      <c r="Y106" s="12"/>
    </row>
    <row r="107" spans="2:25" ht="13.5" thickBot="1" x14ac:dyDescent="0.25">
      <c r="B107" s="21"/>
      <c r="C107" s="15" t="s">
        <v>87</v>
      </c>
      <c r="D107" s="15" t="s">
        <v>15</v>
      </c>
      <c r="E107" s="32">
        <f>SUM('ADVANCE:ELECTION DAY'!E107)</f>
        <v>0</v>
      </c>
      <c r="F107" s="32">
        <f>SUM('ADVANCE:ELECTION DAY'!F107)</f>
        <v>0</v>
      </c>
      <c r="G107" s="32">
        <f>SUM('ADVANCE:ELECTION DAY'!G107)</f>
        <v>24</v>
      </c>
      <c r="H107" s="32">
        <f>SUM('ADVANCE:ELECTION DAY'!H107)</f>
        <v>0</v>
      </c>
      <c r="I107" s="32">
        <f>SUM('ADVANCE:ELECTION DAY'!I107)</f>
        <v>0</v>
      </c>
      <c r="J107" s="32">
        <f>SUM('ADVANCE:ELECTION DAY'!J107)</f>
        <v>0</v>
      </c>
      <c r="K107" s="32">
        <f>SUM('ADVANCE:ELECTION DAY'!K107)</f>
        <v>0</v>
      </c>
      <c r="L107" s="32">
        <f>SUM('ADVANCE:ELECTION DAY'!L107)</f>
        <v>0</v>
      </c>
      <c r="M107" s="32">
        <f>SUM('ADVANCE:ELECTION DAY'!M107)</f>
        <v>0</v>
      </c>
      <c r="N107" s="32">
        <f>SUM('ADVANCE:ELECTION DAY'!N107)</f>
        <v>0</v>
      </c>
      <c r="O107" s="15" t="s">
        <v>88</v>
      </c>
      <c r="P107" s="15" t="s">
        <v>15</v>
      </c>
      <c r="Q107" s="32">
        <f>SUM('ADVANCE:ELECTION DAY'!Q107)</f>
        <v>0</v>
      </c>
      <c r="R107" s="32">
        <f>SUM('ADVANCE:ELECTION DAY'!R107)</f>
        <v>0</v>
      </c>
      <c r="S107" s="32">
        <f>SUM('ADVANCE:ELECTION DAY'!S107)</f>
        <v>0</v>
      </c>
      <c r="T107" s="32">
        <f>SUM('ADVANCE:ELECTION DAY'!T107)</f>
        <v>0</v>
      </c>
      <c r="U107" s="32">
        <f>SUM('ADVANCE:ELECTION DAY'!U107)</f>
        <v>0</v>
      </c>
      <c r="V107" s="32">
        <f>SUM('ADVANCE:ELECTION DAY'!V107)</f>
        <v>0</v>
      </c>
      <c r="W107" s="32">
        <f>SUM('ADVANCE:ELECTION DAY'!W107)</f>
        <v>0</v>
      </c>
      <c r="X107" s="32">
        <f>SUM('ADVANCE:ELECTION DAY'!X107)</f>
        <v>0</v>
      </c>
      <c r="Y107" s="16">
        <f t="shared" si="6"/>
        <v>24</v>
      </c>
    </row>
    <row r="108" spans="2:25" ht="13.5" thickBot="1" x14ac:dyDescent="0.25">
      <c r="B108" s="21"/>
      <c r="C108" s="15"/>
      <c r="D108" s="15"/>
      <c r="E108" s="32">
        <f>SUM('ADVANCE:ELECTION DAY'!E108)</f>
        <v>0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5"/>
      <c r="P108" s="15"/>
      <c r="Q108" s="32">
        <f>SUM('ADVANCE:ELECTION DAY'!Q108)</f>
        <v>0</v>
      </c>
      <c r="R108" s="16"/>
      <c r="S108" s="16"/>
      <c r="T108" s="16"/>
      <c r="U108" s="16"/>
      <c r="V108" s="16"/>
      <c r="W108" s="16"/>
      <c r="X108" s="16"/>
      <c r="Y108" s="16">
        <f t="shared" si="6"/>
        <v>0</v>
      </c>
    </row>
    <row r="109" spans="2:25" ht="13.5" thickBot="1" x14ac:dyDescent="0.25">
      <c r="B109" s="10" t="s">
        <v>29</v>
      </c>
      <c r="C109" s="11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27"/>
      <c r="O109" s="10" t="s">
        <v>29</v>
      </c>
      <c r="P109" s="12"/>
      <c r="Q109" s="12"/>
      <c r="R109" s="33"/>
      <c r="S109" s="12"/>
      <c r="T109" s="12"/>
      <c r="U109" s="12"/>
      <c r="V109" s="12"/>
      <c r="W109" s="12"/>
      <c r="X109" s="12"/>
      <c r="Y109" s="12"/>
    </row>
    <row r="110" spans="2:25" ht="13.5" thickBot="1" x14ac:dyDescent="0.25">
      <c r="B110" s="21"/>
      <c r="C110" s="15" t="s">
        <v>89</v>
      </c>
      <c r="D110" s="15" t="s">
        <v>15</v>
      </c>
      <c r="E110" s="32">
        <f>SUM('ADVANCE:ELECTION DAY'!E110)</f>
        <v>0</v>
      </c>
      <c r="F110" s="32">
        <f>SUM('ADVANCE:ELECTION DAY'!F110)</f>
        <v>0</v>
      </c>
      <c r="G110" s="32">
        <f>SUM('ADVANCE:ELECTION DAY'!G110)</f>
        <v>0</v>
      </c>
      <c r="H110" s="32">
        <f>SUM('ADVANCE:ELECTION DAY'!H110)</f>
        <v>17</v>
      </c>
      <c r="I110" s="32">
        <f>SUM('ADVANCE:ELECTION DAY'!I110)</f>
        <v>0</v>
      </c>
      <c r="J110" s="32">
        <f>SUM('ADVANCE:ELECTION DAY'!J110)</f>
        <v>0</v>
      </c>
      <c r="K110" s="32">
        <f>SUM('ADVANCE:ELECTION DAY'!K110)</f>
        <v>0</v>
      </c>
      <c r="L110" s="32">
        <f>SUM('ADVANCE:ELECTION DAY'!L110)</f>
        <v>0</v>
      </c>
      <c r="M110" s="32">
        <f>SUM('ADVANCE:ELECTION DAY'!M110)</f>
        <v>0</v>
      </c>
      <c r="N110" s="32">
        <f>SUM('ADVANCE:ELECTION DAY'!N110)</f>
        <v>0</v>
      </c>
      <c r="O110" s="15" t="s">
        <v>89</v>
      </c>
      <c r="P110" s="15" t="s">
        <v>15</v>
      </c>
      <c r="Q110" s="32">
        <f>SUM('ADVANCE:ELECTION DAY'!Q110)</f>
        <v>0</v>
      </c>
      <c r="R110" s="32">
        <f>SUM('ADVANCE:ELECTION DAY'!R110)</f>
        <v>0</v>
      </c>
      <c r="S110" s="32">
        <f>SUM('ADVANCE:ELECTION DAY'!S110)</f>
        <v>0</v>
      </c>
      <c r="T110" s="32">
        <f>SUM('ADVANCE:ELECTION DAY'!T110)</f>
        <v>0</v>
      </c>
      <c r="U110" s="32">
        <f>SUM('ADVANCE:ELECTION DAY'!U110)</f>
        <v>0</v>
      </c>
      <c r="V110" s="32">
        <f>SUM('ADVANCE:ELECTION DAY'!V110)</f>
        <v>0</v>
      </c>
      <c r="W110" s="32">
        <f>SUM('ADVANCE:ELECTION DAY'!W110)</f>
        <v>0</v>
      </c>
      <c r="X110" s="32">
        <f>SUM('ADVANCE:ELECTION DAY'!X110)</f>
        <v>0</v>
      </c>
      <c r="Y110" s="16">
        <f t="shared" si="6"/>
        <v>17</v>
      </c>
    </row>
    <row r="111" spans="2:25" ht="13.5" thickBot="1" x14ac:dyDescent="0.25">
      <c r="B111" s="10" t="s">
        <v>30</v>
      </c>
      <c r="C111" s="11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27"/>
      <c r="O111" s="10" t="s">
        <v>30</v>
      </c>
      <c r="P111" s="12"/>
      <c r="Q111" s="12"/>
      <c r="R111" s="33"/>
      <c r="S111" s="12"/>
      <c r="T111" s="12"/>
      <c r="U111" s="12"/>
      <c r="V111" s="12"/>
      <c r="W111" s="12"/>
      <c r="X111" s="12"/>
      <c r="Y111" s="12"/>
    </row>
    <row r="112" spans="2:25" ht="13.5" thickBot="1" x14ac:dyDescent="0.25">
      <c r="B112" s="39"/>
      <c r="C112" s="15" t="s">
        <v>52</v>
      </c>
      <c r="D112" s="15" t="s">
        <v>15</v>
      </c>
      <c r="E112" s="32">
        <f>SUM('ADVANCE:ELECTION DAY'!E112)</f>
        <v>0</v>
      </c>
      <c r="F112" s="32">
        <f>SUM('ADVANCE:ELECTION DAY'!F112)</f>
        <v>0</v>
      </c>
      <c r="G112" s="32">
        <f>SUM('ADVANCE:ELECTION DAY'!G112)</f>
        <v>0</v>
      </c>
      <c r="H112" s="32">
        <f>SUM('ADVANCE:ELECTION DAY'!H112)</f>
        <v>0</v>
      </c>
      <c r="I112" s="32">
        <f>SUM('ADVANCE:ELECTION DAY'!I112)</f>
        <v>14</v>
      </c>
      <c r="J112" s="32">
        <f>SUM('ADVANCE:ELECTION DAY'!J112)</f>
        <v>0</v>
      </c>
      <c r="K112" s="32">
        <f>SUM('ADVANCE:ELECTION DAY'!K112)</f>
        <v>0</v>
      </c>
      <c r="L112" s="32">
        <f>SUM('ADVANCE:ELECTION DAY'!L112)</f>
        <v>0</v>
      </c>
      <c r="M112" s="32">
        <f>SUM('ADVANCE:ELECTION DAY'!M112)</f>
        <v>0</v>
      </c>
      <c r="N112" s="32">
        <f>SUM('ADVANCE:ELECTION DAY'!N112)</f>
        <v>0</v>
      </c>
      <c r="O112" s="15" t="s">
        <v>52</v>
      </c>
      <c r="P112" s="15" t="s">
        <v>15</v>
      </c>
      <c r="Q112" s="32">
        <f>SUM('ADVANCE:ELECTION DAY'!Q112)</f>
        <v>0</v>
      </c>
      <c r="R112" s="32">
        <f>SUM('ADVANCE:ELECTION DAY'!R112)</f>
        <v>0</v>
      </c>
      <c r="S112" s="32">
        <f>SUM('ADVANCE:ELECTION DAY'!S112)</f>
        <v>0</v>
      </c>
      <c r="T112" s="32">
        <f>SUM('ADVANCE:ELECTION DAY'!T112)</f>
        <v>0</v>
      </c>
      <c r="U112" s="32">
        <f>SUM('ADVANCE:ELECTION DAY'!U112)</f>
        <v>0</v>
      </c>
      <c r="V112" s="32">
        <f>SUM('ADVANCE:ELECTION DAY'!V112)</f>
        <v>0</v>
      </c>
      <c r="W112" s="32">
        <f>SUM('ADVANCE:ELECTION DAY'!W112)</f>
        <v>0</v>
      </c>
      <c r="X112" s="32">
        <f>SUM('ADVANCE:ELECTION DAY'!X112)</f>
        <v>0</v>
      </c>
      <c r="Y112" s="16">
        <f t="shared" si="6"/>
        <v>14</v>
      </c>
    </row>
    <row r="113" spans="2:84" ht="13.5" thickBot="1" x14ac:dyDescent="0.25">
      <c r="B113" s="10" t="s">
        <v>31</v>
      </c>
      <c r="C113" s="11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27"/>
      <c r="O113" s="10" t="s">
        <v>31</v>
      </c>
      <c r="P113" s="12"/>
      <c r="Q113" s="12"/>
      <c r="R113" s="33"/>
      <c r="S113" s="12"/>
      <c r="T113" s="12"/>
      <c r="U113" s="12"/>
      <c r="V113" s="12"/>
      <c r="W113" s="12"/>
      <c r="X113" s="12"/>
      <c r="Y113" s="12"/>
    </row>
    <row r="114" spans="2:84" ht="13.5" thickBot="1" x14ac:dyDescent="0.25">
      <c r="B114" s="39"/>
      <c r="C114" s="15" t="s">
        <v>90</v>
      </c>
      <c r="D114" s="15" t="s">
        <v>15</v>
      </c>
      <c r="E114" s="32">
        <f>SUM('ADVANCE:ELECTION DAY'!E114)</f>
        <v>0</v>
      </c>
      <c r="F114" s="32">
        <f>SUM('ADVANCE:ELECTION DAY'!F114)</f>
        <v>0</v>
      </c>
      <c r="G114" s="32">
        <f>SUM('ADVANCE:ELECTION DAY'!G114)</f>
        <v>0</v>
      </c>
      <c r="H114" s="32">
        <f>SUM('ADVANCE:ELECTION DAY'!H114)</f>
        <v>0</v>
      </c>
      <c r="I114" s="32">
        <f>SUM('ADVANCE:ELECTION DAY'!I114)</f>
        <v>0</v>
      </c>
      <c r="J114" s="32">
        <f>SUM('ADVANCE:ELECTION DAY'!J114)</f>
        <v>27</v>
      </c>
      <c r="K114" s="32">
        <f>SUM('ADVANCE:ELECTION DAY'!K114)</f>
        <v>212</v>
      </c>
      <c r="L114" s="32">
        <f>SUM('ADVANCE:ELECTION DAY'!L114)</f>
        <v>62</v>
      </c>
      <c r="M114" s="32">
        <f>SUM('ADVANCE:ELECTION DAY'!M114)</f>
        <v>4</v>
      </c>
      <c r="N114" s="32">
        <f>SUM('ADVANCE:ELECTION DAY'!N114)</f>
        <v>24</v>
      </c>
      <c r="O114" s="15" t="s">
        <v>90</v>
      </c>
      <c r="P114" s="15" t="s">
        <v>15</v>
      </c>
      <c r="Q114" s="32">
        <f>SUM('ADVANCE:ELECTION DAY'!Q114)</f>
        <v>22</v>
      </c>
      <c r="R114" s="32">
        <f>SUM('ADVANCE:ELECTION DAY'!R114)</f>
        <v>0</v>
      </c>
      <c r="S114" s="32">
        <f>SUM('ADVANCE:ELECTION DAY'!S114)</f>
        <v>0</v>
      </c>
      <c r="T114" s="32">
        <f>SUM('ADVANCE:ELECTION DAY'!T114)</f>
        <v>0</v>
      </c>
      <c r="U114" s="32">
        <f>SUM('ADVANCE:ELECTION DAY'!U114)</f>
        <v>0</v>
      </c>
      <c r="V114" s="32">
        <f>SUM('ADVANCE:ELECTION DAY'!V114)</f>
        <v>0</v>
      </c>
      <c r="W114" s="32">
        <f>SUM('ADVANCE:ELECTION DAY'!W114)</f>
        <v>0</v>
      </c>
      <c r="X114" s="32">
        <f>SUM('ADVANCE:ELECTION DAY'!X114)</f>
        <v>0</v>
      </c>
      <c r="Y114" s="16">
        <f>E114+F114+G114+H114+I114+J114+K114+L114+M114+N114+Q114+R114+S114+T114+U114+V114+W114+X114</f>
        <v>351</v>
      </c>
    </row>
    <row r="115" spans="2:84" ht="13.5" thickBot="1" x14ac:dyDescent="0.25">
      <c r="B115" s="10" t="s">
        <v>32</v>
      </c>
      <c r="C115" s="11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27"/>
      <c r="O115" s="10" t="s">
        <v>32</v>
      </c>
      <c r="P115" s="12"/>
      <c r="Q115" s="12"/>
      <c r="R115" s="33"/>
      <c r="S115" s="12"/>
      <c r="T115" s="12"/>
      <c r="U115" s="12"/>
      <c r="V115" s="12"/>
      <c r="W115" s="12"/>
      <c r="X115" s="12"/>
      <c r="Y115" s="12"/>
    </row>
    <row r="116" spans="2:84" ht="13.5" thickBot="1" x14ac:dyDescent="0.25">
      <c r="B116" s="39"/>
      <c r="C116" s="15"/>
      <c r="D116" s="15"/>
      <c r="E116" s="32">
        <f>SUM('ADVANCE:ELECTION DAY'!E116)</f>
        <v>0</v>
      </c>
      <c r="F116" s="32">
        <f>SUM('ADVANCE:ELECTION DAY'!F116)</f>
        <v>0</v>
      </c>
      <c r="G116" s="32">
        <f>SUM('ADVANCE:ELECTION DAY'!G116)</f>
        <v>0</v>
      </c>
      <c r="H116" s="32">
        <f>SUM('ADVANCE:ELECTION DAY'!H116)</f>
        <v>0</v>
      </c>
      <c r="I116" s="32">
        <f>SUM('ADVANCE:ELECTION DAY'!I116)</f>
        <v>0</v>
      </c>
      <c r="J116" s="32">
        <f>SUM('ADVANCE:ELECTION DAY'!J116)</f>
        <v>0</v>
      </c>
      <c r="K116" s="32">
        <f>SUM('ADVANCE:ELECTION DAY'!K116)</f>
        <v>0</v>
      </c>
      <c r="L116" s="32">
        <f>SUM('ADVANCE:ELECTION DAY'!L116)</f>
        <v>0</v>
      </c>
      <c r="M116" s="32">
        <f>SUM('ADVANCE:ELECTION DAY'!M116)</f>
        <v>0</v>
      </c>
      <c r="N116" s="32">
        <f>SUM('ADVANCE:ELECTION DAY'!N116)</f>
        <v>0</v>
      </c>
      <c r="O116" s="15"/>
      <c r="P116" s="14"/>
      <c r="Q116" s="32">
        <f>SUM('ADVANCE:ELECTION DAY'!Q116)</f>
        <v>0</v>
      </c>
      <c r="R116" s="32">
        <f>SUM('ADVANCE:ELECTION DAY'!R116)</f>
        <v>0</v>
      </c>
      <c r="S116" s="32">
        <f>SUM('ADVANCE:ELECTION DAY'!S116)</f>
        <v>0</v>
      </c>
      <c r="T116" s="32">
        <f>SUM('ADVANCE:ELECTION DAY'!T116)</f>
        <v>0</v>
      </c>
      <c r="U116" s="32">
        <f>SUM('ADVANCE:ELECTION DAY'!U116)</f>
        <v>0</v>
      </c>
      <c r="V116" s="32">
        <f>SUM('ADVANCE:ELECTION DAY'!V116)</f>
        <v>0</v>
      </c>
      <c r="W116" s="32">
        <f>SUM('ADVANCE:ELECTION DAY'!W116)</f>
        <v>0</v>
      </c>
      <c r="X116" s="32">
        <f>SUM('ADVANCE:ELECTION DAY'!X116)</f>
        <v>0</v>
      </c>
      <c r="Y116" s="16">
        <f>E116+F116+G116+H116+I116+J116+K116+L116+M116+N116+Q116+R116+S116+T116+U116+V116+W116+X116</f>
        <v>0</v>
      </c>
    </row>
    <row r="117" spans="2:84" ht="13.5" thickBot="1" x14ac:dyDescent="0.25">
      <c r="B117" s="10" t="s">
        <v>33</v>
      </c>
      <c r="C117" s="11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27"/>
      <c r="O117" s="10" t="s">
        <v>33</v>
      </c>
      <c r="P117" s="43"/>
      <c r="Q117" s="12"/>
      <c r="R117" s="46"/>
      <c r="S117" s="12"/>
      <c r="T117" s="12"/>
      <c r="U117" s="12"/>
      <c r="V117" s="12"/>
      <c r="W117" s="12"/>
      <c r="X117" s="12"/>
      <c r="Y117" s="12"/>
    </row>
    <row r="118" spans="2:84" ht="13.5" thickBot="1" x14ac:dyDescent="0.25">
      <c r="B118" s="39"/>
      <c r="C118" s="15" t="s">
        <v>91</v>
      </c>
      <c r="D118" s="15" t="s">
        <v>15</v>
      </c>
      <c r="E118" s="32">
        <f>SUM('ADVANCE:ELECTION DAY'!E118)</f>
        <v>0</v>
      </c>
      <c r="F118" s="32">
        <f>SUM('ADVANCE:ELECTION DAY'!F118)</f>
        <v>0</v>
      </c>
      <c r="G118" s="32">
        <f>SUM('ADVANCE:ELECTION DAY'!G118)</f>
        <v>0</v>
      </c>
      <c r="H118" s="32">
        <f>SUM('ADVANCE:ELECTION DAY'!H118)</f>
        <v>0</v>
      </c>
      <c r="I118" s="32">
        <f>SUM('ADVANCE:ELECTION DAY'!I118)</f>
        <v>0</v>
      </c>
      <c r="J118" s="32">
        <f>SUM('ADVANCE:ELECTION DAY'!J118)</f>
        <v>0</v>
      </c>
      <c r="K118" s="32">
        <f>SUM('ADVANCE:ELECTION DAY'!K118)</f>
        <v>0</v>
      </c>
      <c r="L118" s="32">
        <f>SUM('ADVANCE:ELECTION DAY'!L118)</f>
        <v>0</v>
      </c>
      <c r="M118" s="32">
        <f>SUM('ADVANCE:ELECTION DAY'!M118)</f>
        <v>0</v>
      </c>
      <c r="N118" s="32">
        <f>SUM('ADVANCE:ELECTION DAY'!N118)</f>
        <v>0</v>
      </c>
      <c r="O118" s="15" t="s">
        <v>91</v>
      </c>
      <c r="P118" s="15" t="s">
        <v>15</v>
      </c>
      <c r="Q118" s="32">
        <f>SUM('ADVANCE:ELECTION DAY'!Q118)</f>
        <v>0</v>
      </c>
      <c r="R118" s="32">
        <f>SUM('ADVANCE:ELECTION DAY'!R118)</f>
        <v>0</v>
      </c>
      <c r="S118" s="32">
        <f>SUM('ADVANCE:ELECTION DAY'!S118)</f>
        <v>36</v>
      </c>
      <c r="T118" s="32">
        <f>SUM('ADVANCE:ELECTION DAY'!T118)</f>
        <v>0</v>
      </c>
      <c r="U118" s="32">
        <f>SUM('ADVANCE:ELECTION DAY'!U118)</f>
        <v>0</v>
      </c>
      <c r="V118" s="32">
        <f>SUM('ADVANCE:ELECTION DAY'!V118)</f>
        <v>0</v>
      </c>
      <c r="W118" s="32">
        <f>SUM('ADVANCE:ELECTION DAY'!W118)</f>
        <v>0</v>
      </c>
      <c r="X118" s="32">
        <f>SUM('ADVANCE:ELECTION DAY'!X118)</f>
        <v>0</v>
      </c>
      <c r="Y118" s="16">
        <f t="shared" ref="Y118:Y132" si="8">E118+F118+G118+H118+I118+J118+K118+L118+M118+N118+Q118+R118+S118+T118+U118+V118+W118+X118</f>
        <v>36</v>
      </c>
    </row>
    <row r="119" spans="2:84" ht="13.5" thickBot="1" x14ac:dyDescent="0.25">
      <c r="B119" s="39"/>
      <c r="C119" s="15"/>
      <c r="D119" s="15"/>
      <c r="E119" s="32">
        <f>SUM('ADVANCE:ELECTION DAY'!E119)</f>
        <v>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5"/>
      <c r="P119" s="15"/>
      <c r="Q119" s="32">
        <f>SUM('ADVANCE:ELECTION DAY'!Q119)</f>
        <v>0</v>
      </c>
      <c r="R119" s="16"/>
      <c r="S119" s="16"/>
      <c r="T119" s="16"/>
      <c r="U119" s="16"/>
      <c r="V119" s="16"/>
      <c r="W119" s="16"/>
      <c r="X119" s="16"/>
      <c r="Y119" s="16">
        <f t="shared" si="8"/>
        <v>0</v>
      </c>
    </row>
    <row r="120" spans="2:84" ht="13.5" thickBot="1" x14ac:dyDescent="0.25">
      <c r="B120" s="39"/>
      <c r="C120" s="15"/>
      <c r="D120" s="15"/>
      <c r="E120" s="32">
        <f>SUM('ADVANCE:ELECTION DAY'!E120)</f>
        <v>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5"/>
      <c r="P120" s="14"/>
      <c r="Q120" s="32">
        <f>SUM('ADVANCE:ELECTION DAY'!Q120)</f>
        <v>0</v>
      </c>
      <c r="R120" s="16"/>
      <c r="S120" s="16"/>
      <c r="T120" s="16"/>
      <c r="U120" s="16"/>
      <c r="V120" s="16"/>
      <c r="W120" s="16"/>
      <c r="X120" s="16"/>
      <c r="Y120" s="16">
        <f t="shared" si="8"/>
        <v>0</v>
      </c>
    </row>
    <row r="121" spans="2:84" ht="13.5" thickBot="1" x14ac:dyDescent="0.25">
      <c r="B121" s="10" t="s">
        <v>34</v>
      </c>
      <c r="C121" s="11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27"/>
      <c r="O121" s="10" t="s">
        <v>34</v>
      </c>
      <c r="P121" s="43"/>
      <c r="Q121" s="12"/>
      <c r="R121" s="46"/>
      <c r="S121" s="12"/>
      <c r="T121" s="12"/>
      <c r="U121" s="12"/>
      <c r="V121" s="12"/>
      <c r="W121" s="12"/>
      <c r="X121" s="12"/>
      <c r="Y121" s="12"/>
    </row>
    <row r="122" spans="2:84" ht="13.5" thickBot="1" x14ac:dyDescent="0.25">
      <c r="B122" s="39"/>
      <c r="C122" s="15" t="s">
        <v>92</v>
      </c>
      <c r="D122" s="15" t="s">
        <v>15</v>
      </c>
      <c r="E122" s="32">
        <f>SUM('ADVANCE:ELECTION DAY'!E122)</f>
        <v>0</v>
      </c>
      <c r="F122" s="32">
        <f>SUM('ADVANCE:ELECTION DAY'!F122)</f>
        <v>0</v>
      </c>
      <c r="G122" s="32">
        <f>SUM('ADVANCE:ELECTION DAY'!G122)</f>
        <v>0</v>
      </c>
      <c r="H122" s="32">
        <f>SUM('ADVANCE:ELECTION DAY'!H122)</f>
        <v>0</v>
      </c>
      <c r="I122" s="32">
        <f>SUM('ADVANCE:ELECTION DAY'!I122)</f>
        <v>0</v>
      </c>
      <c r="J122" s="32">
        <f>SUM('ADVANCE:ELECTION DAY'!J122)</f>
        <v>0</v>
      </c>
      <c r="K122" s="32">
        <f>SUM('ADVANCE:ELECTION DAY'!K122)</f>
        <v>0</v>
      </c>
      <c r="L122" s="32">
        <f>SUM('ADVANCE:ELECTION DAY'!L122)</f>
        <v>0</v>
      </c>
      <c r="M122" s="32">
        <f>SUM('ADVANCE:ELECTION DAY'!M122)</f>
        <v>0</v>
      </c>
      <c r="N122" s="32">
        <f>SUM('ADVANCE:ELECTION DAY'!N122)</f>
        <v>0</v>
      </c>
      <c r="O122" s="15" t="s">
        <v>92</v>
      </c>
      <c r="P122" s="15" t="s">
        <v>15</v>
      </c>
      <c r="Q122" s="32">
        <f>SUM('ADVANCE:ELECTION DAY'!Q122)</f>
        <v>0</v>
      </c>
      <c r="R122" s="32">
        <f>SUM('ADVANCE:ELECTION DAY'!R122)</f>
        <v>0</v>
      </c>
      <c r="S122" s="32">
        <f>SUM('ADVANCE:ELECTION DAY'!S122)</f>
        <v>0</v>
      </c>
      <c r="T122" s="32">
        <f>SUM('ADVANCE:ELECTION DAY'!T122)</f>
        <v>13</v>
      </c>
      <c r="U122" s="32">
        <f>SUM('ADVANCE:ELECTION DAY'!U122)</f>
        <v>0</v>
      </c>
      <c r="V122" s="32">
        <f>SUM('ADVANCE:ELECTION DAY'!V122)</f>
        <v>0</v>
      </c>
      <c r="W122" s="32">
        <f>SUM('ADVANCE:ELECTION DAY'!W122)</f>
        <v>0</v>
      </c>
      <c r="X122" s="32">
        <f>SUM('ADVANCE:ELECTION DAY'!X122)</f>
        <v>0</v>
      </c>
      <c r="Y122" s="16">
        <f t="shared" si="8"/>
        <v>13</v>
      </c>
    </row>
    <row r="123" spans="2:84" ht="13.5" thickBot="1" x14ac:dyDescent="0.25">
      <c r="B123" s="16"/>
      <c r="C123" s="16"/>
      <c r="D123" s="16"/>
      <c r="E123" s="16">
        <f>SUM('ADVANCE:ELECTION DAY'!E123)</f>
        <v>0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>
        <f>SUM('ADVANCE:ELECTION DAY'!Q123)</f>
        <v>0</v>
      </c>
      <c r="R123" s="16"/>
      <c r="S123" s="16"/>
      <c r="T123" s="16"/>
      <c r="U123" s="16"/>
      <c r="V123" s="16"/>
      <c r="W123" s="16"/>
      <c r="X123" s="16"/>
      <c r="Y123" s="16"/>
    </row>
    <row r="124" spans="2:84" ht="13.5" thickBot="1" x14ac:dyDescent="0.25">
      <c r="B124" s="10" t="s">
        <v>35</v>
      </c>
      <c r="C124" s="11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27"/>
      <c r="O124" s="10" t="s">
        <v>35</v>
      </c>
      <c r="P124" s="12"/>
      <c r="Q124" s="12"/>
      <c r="R124" s="46"/>
      <c r="S124" s="12"/>
      <c r="T124" s="12"/>
      <c r="U124" s="12"/>
      <c r="V124" s="12"/>
      <c r="W124" s="12"/>
      <c r="X124" s="12"/>
      <c r="Y124" s="12"/>
    </row>
    <row r="125" spans="2:84" ht="13.5" thickBot="1" x14ac:dyDescent="0.25">
      <c r="B125" s="39"/>
      <c r="C125" s="15" t="s">
        <v>94</v>
      </c>
      <c r="D125" s="15" t="s">
        <v>16</v>
      </c>
      <c r="E125" s="32">
        <f>SUM('ADVANCE:ELECTION DAY'!E125)</f>
        <v>0</v>
      </c>
      <c r="F125" s="32">
        <f>SUM('ADVANCE:ELECTION DAY'!F125)</f>
        <v>0</v>
      </c>
      <c r="G125" s="32">
        <f>SUM('ADVANCE:ELECTION DAY'!G125)</f>
        <v>0</v>
      </c>
      <c r="H125" s="32">
        <f>SUM('ADVANCE:ELECTION DAY'!H125)</f>
        <v>0</v>
      </c>
      <c r="I125" s="32">
        <f>SUM('ADVANCE:ELECTION DAY'!I125)</f>
        <v>0</v>
      </c>
      <c r="J125" s="32">
        <f>SUM('ADVANCE:ELECTION DAY'!J125)</f>
        <v>0</v>
      </c>
      <c r="K125" s="32">
        <f>SUM('ADVANCE:ELECTION DAY'!K125)</f>
        <v>0</v>
      </c>
      <c r="L125" s="32">
        <f>SUM('ADVANCE:ELECTION DAY'!L125)</f>
        <v>0</v>
      </c>
      <c r="M125" s="32">
        <f>SUM('ADVANCE:ELECTION DAY'!M125)</f>
        <v>0</v>
      </c>
      <c r="N125" s="32">
        <f>SUM('ADVANCE:ELECTION DAY'!N125)</f>
        <v>0</v>
      </c>
      <c r="O125" s="15" t="s">
        <v>94</v>
      </c>
      <c r="P125" s="15" t="s">
        <v>16</v>
      </c>
      <c r="Q125" s="32">
        <f>SUM('ADVANCE:ELECTION DAY'!Q125)</f>
        <v>0</v>
      </c>
      <c r="R125" s="32">
        <f>SUM('ADVANCE:ELECTION DAY'!R125)</f>
        <v>0</v>
      </c>
      <c r="S125" s="32">
        <f>SUM('ADVANCE:ELECTION DAY'!S125)</f>
        <v>0</v>
      </c>
      <c r="T125" s="32">
        <f>SUM('ADVANCE:ELECTION DAY'!T125)</f>
        <v>0</v>
      </c>
      <c r="U125" s="32">
        <f>SUM('ADVANCE:ELECTION DAY'!U125)</f>
        <v>8</v>
      </c>
      <c r="V125" s="32">
        <f>SUM('ADVANCE:ELECTION DAY'!V125)</f>
        <v>0</v>
      </c>
      <c r="W125" s="32">
        <f>SUM('ADVANCE:ELECTION DAY'!W125)</f>
        <v>0</v>
      </c>
      <c r="X125" s="32">
        <f>SUM('ADVANCE:ELECTION DAY'!X125)</f>
        <v>0</v>
      </c>
      <c r="Y125" s="16">
        <f t="shared" si="8"/>
        <v>8</v>
      </c>
    </row>
    <row r="126" spans="2:84" ht="13.5" thickBot="1" x14ac:dyDescent="0.25">
      <c r="B126" s="10" t="s">
        <v>36</v>
      </c>
      <c r="C126" s="11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27"/>
      <c r="O126" s="10" t="s">
        <v>36</v>
      </c>
      <c r="P126" s="12"/>
      <c r="Q126" s="12"/>
      <c r="R126" s="46"/>
      <c r="S126" s="12"/>
      <c r="T126" s="12"/>
      <c r="U126" s="12"/>
      <c r="V126" s="12"/>
      <c r="W126" s="12"/>
      <c r="X126" s="12"/>
      <c r="Y126" s="12"/>
    </row>
    <row r="127" spans="2:84" ht="13.5" thickBot="1" x14ac:dyDescent="0.25">
      <c r="B127" s="21"/>
      <c r="C127" s="15" t="s">
        <v>111</v>
      </c>
      <c r="D127" s="15" t="s">
        <v>15</v>
      </c>
      <c r="E127" s="32">
        <f>SUM('ADVANCE:ELECTION DAY'!E127)</f>
        <v>0</v>
      </c>
      <c r="F127" s="32">
        <f>SUM('ADVANCE:ELECTION DAY'!F127)</f>
        <v>0</v>
      </c>
      <c r="G127" s="32">
        <f>SUM('ADVANCE:ELECTION DAY'!G127)</f>
        <v>0</v>
      </c>
      <c r="H127" s="32">
        <f>SUM('ADVANCE:ELECTION DAY'!H127)</f>
        <v>0</v>
      </c>
      <c r="I127" s="32">
        <f>SUM('ADVANCE:ELECTION DAY'!I127)</f>
        <v>0</v>
      </c>
      <c r="J127" s="32">
        <f>SUM('ADVANCE:ELECTION DAY'!J127)</f>
        <v>0</v>
      </c>
      <c r="K127" s="32">
        <f>SUM('ADVANCE:ELECTION DAY'!K127)</f>
        <v>0</v>
      </c>
      <c r="L127" s="32">
        <f>SUM('ADVANCE:ELECTION DAY'!L127)</f>
        <v>0</v>
      </c>
      <c r="M127" s="32">
        <f>SUM('ADVANCE:ELECTION DAY'!M127)</f>
        <v>0</v>
      </c>
      <c r="N127" s="32">
        <f>SUM('ADVANCE:ELECTION DAY'!N127)</f>
        <v>0</v>
      </c>
      <c r="O127" s="15" t="s">
        <v>112</v>
      </c>
      <c r="P127" s="15" t="s">
        <v>15</v>
      </c>
      <c r="Q127" s="32">
        <f>SUM('ADVANCE:ELECTION DAY'!Q127)</f>
        <v>0</v>
      </c>
      <c r="R127" s="32">
        <f>SUM('ADVANCE:ELECTION DAY'!R127)</f>
        <v>0</v>
      </c>
      <c r="S127" s="32">
        <f>SUM('ADVANCE:ELECTION DAY'!S127)</f>
        <v>0</v>
      </c>
      <c r="T127" s="32">
        <f>SUM('ADVANCE:ELECTION DAY'!T127)</f>
        <v>0</v>
      </c>
      <c r="U127" s="32">
        <f>SUM('ADVANCE:ELECTION DAY'!U127)</f>
        <v>0</v>
      </c>
      <c r="V127" s="32">
        <f>SUM('ADVANCE:ELECTION DAY'!V127)</f>
        <v>10</v>
      </c>
      <c r="W127" s="32">
        <f>SUM('ADVANCE:ELECTION DAY'!W127)</f>
        <v>0</v>
      </c>
      <c r="X127" s="32">
        <f>SUM('ADVANCE:ELECTION DAY'!X127)</f>
        <v>0</v>
      </c>
      <c r="Y127" s="16">
        <f t="shared" si="8"/>
        <v>10</v>
      </c>
    </row>
    <row r="128" spans="2:84" ht="13.5" thickBot="1" x14ac:dyDescent="0.25">
      <c r="B128" s="10" t="s">
        <v>37</v>
      </c>
      <c r="C128" s="11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27"/>
      <c r="O128" s="10" t="s">
        <v>37</v>
      </c>
      <c r="P128" s="12"/>
      <c r="Q128" s="12"/>
      <c r="R128" s="46"/>
      <c r="S128" s="12"/>
      <c r="T128" s="12"/>
      <c r="U128" s="12"/>
      <c r="V128" s="12"/>
      <c r="W128" s="12"/>
      <c r="X128" s="12"/>
      <c r="Y128" s="12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</row>
    <row r="129" spans="2:25" ht="13.5" thickBot="1" x14ac:dyDescent="0.25">
      <c r="B129" s="21"/>
      <c r="C129" s="38" t="s">
        <v>93</v>
      </c>
      <c r="D129" s="14" t="s">
        <v>15</v>
      </c>
      <c r="E129" s="32">
        <f>SUM('ADVANCE:ELECTION DAY'!E129)</f>
        <v>0</v>
      </c>
      <c r="F129" s="32">
        <f>SUM('ADVANCE:ELECTION DAY'!F129)</f>
        <v>0</v>
      </c>
      <c r="G129" s="32">
        <f>SUM('ADVANCE:ELECTION DAY'!G129)</f>
        <v>0</v>
      </c>
      <c r="H129" s="32">
        <f>SUM('ADVANCE:ELECTION DAY'!H129)</f>
        <v>0</v>
      </c>
      <c r="I129" s="32">
        <f>SUM('ADVANCE:ELECTION DAY'!I129)</f>
        <v>0</v>
      </c>
      <c r="J129" s="32">
        <f>SUM('ADVANCE:ELECTION DAY'!J129)</f>
        <v>0</v>
      </c>
      <c r="K129" s="32">
        <f>SUM('ADVANCE:ELECTION DAY'!K129)</f>
        <v>0</v>
      </c>
      <c r="L129" s="32">
        <f>SUM('ADVANCE:ELECTION DAY'!L129)</f>
        <v>0</v>
      </c>
      <c r="M129" s="32">
        <f>SUM('ADVANCE:ELECTION DAY'!M129)</f>
        <v>0</v>
      </c>
      <c r="N129" s="32">
        <f>SUM('ADVANCE:ELECTION DAY'!N129)</f>
        <v>0</v>
      </c>
      <c r="O129" s="38" t="s">
        <v>93</v>
      </c>
      <c r="P129" s="14" t="s">
        <v>15</v>
      </c>
      <c r="Q129" s="32">
        <f>SUM('ADVANCE:ELECTION DAY'!Q129)</f>
        <v>0</v>
      </c>
      <c r="R129" s="32">
        <f>SUM('ADVANCE:ELECTION DAY'!R129)</f>
        <v>0</v>
      </c>
      <c r="S129" s="32">
        <f>SUM('ADVANCE:ELECTION DAY'!S129)</f>
        <v>0</v>
      </c>
      <c r="T129" s="32">
        <f>SUM('ADVANCE:ELECTION DAY'!T129)</f>
        <v>0</v>
      </c>
      <c r="U129" s="32">
        <f>SUM('ADVANCE:ELECTION DAY'!U129)</f>
        <v>0</v>
      </c>
      <c r="V129" s="32">
        <f>SUM('ADVANCE:ELECTION DAY'!V129)</f>
        <v>0</v>
      </c>
      <c r="W129" s="32">
        <f>SUM('ADVANCE:ELECTION DAY'!W129)</f>
        <v>36</v>
      </c>
      <c r="X129" s="32">
        <f>SUM('ADVANCE:ELECTION DAY'!X129)</f>
        <v>0</v>
      </c>
      <c r="Y129" s="16">
        <f t="shared" si="8"/>
        <v>36</v>
      </c>
    </row>
    <row r="130" spans="2:25" ht="13.5" thickBot="1" x14ac:dyDescent="0.25">
      <c r="B130" s="21"/>
      <c r="C130" s="38"/>
      <c r="D130" s="14"/>
      <c r="E130" s="32">
        <f>SUM('ADVANCE:ELECTION DAY'!E130)</f>
        <v>0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38"/>
      <c r="P130" s="14"/>
      <c r="Q130" s="32">
        <f>SUM('ADVANCE:ELECTION DAY'!Q130)</f>
        <v>0</v>
      </c>
      <c r="R130" s="16"/>
      <c r="S130" s="16"/>
      <c r="T130" s="16"/>
      <c r="U130" s="16"/>
      <c r="V130" s="16"/>
      <c r="W130" s="16"/>
      <c r="X130" s="16"/>
      <c r="Y130" s="16">
        <f t="shared" si="8"/>
        <v>0</v>
      </c>
    </row>
    <row r="131" spans="2:25" ht="13.5" thickBot="1" x14ac:dyDescent="0.25">
      <c r="B131" s="10" t="s">
        <v>38</v>
      </c>
      <c r="C131" s="11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27"/>
      <c r="O131" s="10" t="s">
        <v>38</v>
      </c>
      <c r="P131" s="12"/>
      <c r="Q131" s="12"/>
      <c r="R131" s="46"/>
      <c r="S131" s="12"/>
      <c r="T131" s="12"/>
      <c r="U131" s="12"/>
      <c r="V131" s="12"/>
      <c r="W131" s="12"/>
      <c r="X131" s="12"/>
      <c r="Y131" s="12"/>
    </row>
    <row r="132" spans="2:25" ht="13.5" thickBot="1" x14ac:dyDescent="0.25">
      <c r="B132" s="21"/>
      <c r="C132" s="38" t="s">
        <v>113</v>
      </c>
      <c r="D132" s="14" t="s">
        <v>15</v>
      </c>
      <c r="E132" s="32">
        <f>SUM('ADVANCE:ELECTION DAY'!E132)</f>
        <v>0</v>
      </c>
      <c r="F132" s="32">
        <f>SUM('ADVANCE:ELECTION DAY'!F132)</f>
        <v>0</v>
      </c>
      <c r="G132" s="32">
        <f>SUM('ADVANCE:ELECTION DAY'!G132)</f>
        <v>0</v>
      </c>
      <c r="H132" s="32">
        <f>SUM('ADVANCE:ELECTION DAY'!H132)</f>
        <v>0</v>
      </c>
      <c r="I132" s="32">
        <f>SUM('ADVANCE:ELECTION DAY'!I132)</f>
        <v>0</v>
      </c>
      <c r="J132" s="32">
        <f>SUM('ADVANCE:ELECTION DAY'!J132)</f>
        <v>0</v>
      </c>
      <c r="K132" s="32">
        <f>SUM('ADVANCE:ELECTION DAY'!K132)</f>
        <v>0</v>
      </c>
      <c r="L132" s="32">
        <f>SUM('ADVANCE:ELECTION DAY'!L132)</f>
        <v>0</v>
      </c>
      <c r="M132" s="32">
        <f>SUM('ADVANCE:ELECTION DAY'!M132)</f>
        <v>0</v>
      </c>
      <c r="N132" s="32">
        <f>SUM('ADVANCE:ELECTION DAY'!N132)</f>
        <v>0</v>
      </c>
      <c r="O132" s="38" t="s">
        <v>113</v>
      </c>
      <c r="P132" s="14" t="s">
        <v>15</v>
      </c>
      <c r="Q132" s="32">
        <f>SUM('ADVANCE:ELECTION DAY'!Q132)</f>
        <v>0</v>
      </c>
      <c r="R132" s="32">
        <f>SUM('ADVANCE:ELECTION DAY'!R132)</f>
        <v>0</v>
      </c>
      <c r="S132" s="32">
        <f>SUM('ADVANCE:ELECTION DAY'!S132)</f>
        <v>0</v>
      </c>
      <c r="T132" s="32">
        <f>SUM('ADVANCE:ELECTION DAY'!T132)</f>
        <v>0</v>
      </c>
      <c r="U132" s="32">
        <f>SUM('ADVANCE:ELECTION DAY'!U132)</f>
        <v>0</v>
      </c>
      <c r="V132" s="32">
        <f>SUM('ADVANCE:ELECTION DAY'!V132)</f>
        <v>0</v>
      </c>
      <c r="W132" s="32">
        <f>SUM('ADVANCE:ELECTION DAY'!W132)</f>
        <v>0</v>
      </c>
      <c r="X132" s="32">
        <f>SUM('ADVANCE:ELECTION DAY'!X132)</f>
        <v>50</v>
      </c>
      <c r="Y132" s="16">
        <f t="shared" si="8"/>
        <v>50</v>
      </c>
    </row>
    <row r="133" spans="2:25" ht="13.5" thickBot="1" x14ac:dyDescent="0.25">
      <c r="B133" s="21"/>
      <c r="C133" s="38"/>
      <c r="D133" s="32"/>
      <c r="E133" s="32">
        <f>SUM('ADVANCE:ELECTION DAY'!E133)</f>
        <v>0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38"/>
      <c r="P133" s="32"/>
      <c r="Q133" s="32">
        <f>SUM('ADVANCE:ELECTION DAY'!Q133)</f>
        <v>0</v>
      </c>
      <c r="R133" s="16"/>
      <c r="S133" s="16"/>
      <c r="T133" s="16"/>
      <c r="U133" s="16"/>
      <c r="V133" s="16"/>
      <c r="W133" s="16"/>
      <c r="X133" s="16"/>
      <c r="Y133" s="16">
        <f>SUM(H133:X133)</f>
        <v>0</v>
      </c>
    </row>
    <row r="134" spans="2:25" ht="27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7.75" x14ac:dyDescent="0.4"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1"/>
      <c r="T135" s="1"/>
      <c r="U135" s="1"/>
      <c r="V135" s="1"/>
      <c r="W135" s="1"/>
      <c r="X135" s="1"/>
      <c r="Y135" s="1"/>
    </row>
    <row r="136" spans="2:25" ht="27" x14ac:dyDescent="0.35">
      <c r="B136" s="47" t="s">
        <v>131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7.75" x14ac:dyDescent="0.4">
      <c r="B137" s="1" t="s">
        <v>134</v>
      </c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"/>
      <c r="S137" s="1"/>
      <c r="T137" s="1"/>
      <c r="U137" s="1"/>
      <c r="V137" s="1"/>
      <c r="W137" s="1"/>
      <c r="X137" s="1"/>
      <c r="Y137" s="1"/>
    </row>
    <row r="138" spans="2:25" ht="16.5" thickBot="1" x14ac:dyDescent="0.3">
      <c r="B138" s="4"/>
      <c r="C138" s="4"/>
      <c r="D138" s="4"/>
      <c r="E138" s="4"/>
      <c r="F138" s="4"/>
      <c r="Y138" s="5"/>
    </row>
    <row r="139" spans="2:25" ht="101.25" thickBot="1" x14ac:dyDescent="0.25">
      <c r="B139" s="8" t="s">
        <v>0</v>
      </c>
      <c r="C139" s="8" t="s">
        <v>1</v>
      </c>
      <c r="D139" s="8"/>
      <c r="E139" s="9" t="s">
        <v>3</v>
      </c>
      <c r="F139" s="9" t="s">
        <v>4</v>
      </c>
      <c r="G139" s="9" t="s">
        <v>5</v>
      </c>
      <c r="H139" s="9" t="s">
        <v>6</v>
      </c>
      <c r="I139" s="9" t="s">
        <v>7</v>
      </c>
      <c r="J139" s="9" t="s">
        <v>41</v>
      </c>
      <c r="K139" s="9" t="s">
        <v>42</v>
      </c>
      <c r="L139" s="9" t="s">
        <v>43</v>
      </c>
      <c r="M139" s="31" t="s">
        <v>44</v>
      </c>
      <c r="N139" s="9" t="s">
        <v>45</v>
      </c>
      <c r="O139" s="42" t="s">
        <v>1</v>
      </c>
      <c r="P139" s="8" t="s">
        <v>2</v>
      </c>
      <c r="Q139" s="9" t="s">
        <v>46</v>
      </c>
      <c r="R139" s="9" t="s">
        <v>8</v>
      </c>
      <c r="S139" s="9" t="s">
        <v>9</v>
      </c>
      <c r="T139" s="9" t="s">
        <v>10</v>
      </c>
      <c r="U139" s="9" t="s">
        <v>47</v>
      </c>
      <c r="V139" s="9" t="s">
        <v>11</v>
      </c>
      <c r="W139" s="9" t="s">
        <v>12</v>
      </c>
      <c r="X139" s="9" t="s">
        <v>13</v>
      </c>
      <c r="Y139" s="9" t="s">
        <v>14</v>
      </c>
    </row>
    <row r="140" spans="2:25" x14ac:dyDescent="0.2">
      <c r="B140" s="22" t="s">
        <v>114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5"/>
      <c r="O140" s="22" t="s">
        <v>114</v>
      </c>
      <c r="P140" s="24"/>
      <c r="Q140" s="23"/>
      <c r="R140" s="23"/>
      <c r="S140" s="24"/>
      <c r="T140" s="23"/>
      <c r="U140" s="23"/>
      <c r="V140" s="23"/>
      <c r="W140" s="23"/>
      <c r="X140" s="23"/>
      <c r="Y140" s="53"/>
    </row>
    <row r="141" spans="2:25" ht="13.5" thickBot="1" x14ac:dyDescent="0.25">
      <c r="B141" s="17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20"/>
      <c r="O141" s="17"/>
      <c r="P141" s="19"/>
      <c r="Q141" s="18"/>
      <c r="R141" s="34"/>
      <c r="S141" s="19"/>
      <c r="T141" s="18"/>
      <c r="U141" s="18"/>
      <c r="V141" s="18"/>
      <c r="W141" s="18"/>
      <c r="X141" s="18"/>
      <c r="Y141" s="54"/>
    </row>
    <row r="142" spans="2:25" ht="13.5" thickBot="1" x14ac:dyDescent="0.25">
      <c r="B142" s="21"/>
      <c r="C142" s="15"/>
      <c r="D142" s="15"/>
      <c r="E142" s="32">
        <f>SUM('ADVANCE:ELECTION DAY'!E142)</f>
        <v>0</v>
      </c>
      <c r="F142" s="32">
        <f>SUM('ADVANCE:ELECTION DAY'!F142)</f>
        <v>0</v>
      </c>
      <c r="G142" s="32">
        <f>SUM('ADVANCE:ELECTION DAY'!G142)</f>
        <v>0</v>
      </c>
      <c r="H142" s="32">
        <f>SUM('ADVANCE:ELECTION DAY'!H142)</f>
        <v>0</v>
      </c>
      <c r="I142" s="32">
        <f>SUM('ADVANCE:ELECTION DAY'!I142)</f>
        <v>0</v>
      </c>
      <c r="J142" s="32">
        <f>SUM('ADVANCE:ELECTION DAY'!J142)</f>
        <v>0</v>
      </c>
      <c r="K142" s="32">
        <f>SUM('ADVANCE:ELECTION DAY'!K142)</f>
        <v>0</v>
      </c>
      <c r="L142" s="32">
        <f>SUM('ADVANCE:ELECTION DAY'!L142)</f>
        <v>0</v>
      </c>
      <c r="M142" s="32">
        <f>SUM('ADVANCE:ELECTION DAY'!M142)</f>
        <v>0</v>
      </c>
      <c r="N142" s="32">
        <f>SUM('ADVANCE:ELECTION DAY'!N142)</f>
        <v>0</v>
      </c>
      <c r="O142" s="32"/>
      <c r="P142" s="32"/>
      <c r="Q142" s="32">
        <f>SUM('ADVANCE:ELECTION DAY'!Q142)</f>
        <v>0</v>
      </c>
      <c r="R142" s="32">
        <f>SUM('ADVANCE:ELECTION DAY'!R142)</f>
        <v>0</v>
      </c>
      <c r="S142" s="32">
        <f>SUM('ADVANCE:ELECTION DAY'!S142)</f>
        <v>0</v>
      </c>
      <c r="T142" s="32">
        <f>SUM('ADVANCE:ELECTION DAY'!T142)</f>
        <v>0</v>
      </c>
      <c r="U142" s="32">
        <f>SUM('ADVANCE:ELECTION DAY'!U142)</f>
        <v>0</v>
      </c>
      <c r="V142" s="32">
        <f>SUM('ADVANCE:ELECTION DAY'!V142)</f>
        <v>0</v>
      </c>
      <c r="W142" s="32">
        <f>SUM('ADVANCE:ELECTION DAY'!W142)</f>
        <v>0</v>
      </c>
      <c r="X142" s="32">
        <f>SUM('ADVANCE:ELECTION DAY'!X142)</f>
        <v>0</v>
      </c>
      <c r="Y142" s="16">
        <f t="shared" ref="Y142:Y173" si="9">E142+F142+G142+H142+I142+J142+K142+L142+M142+N142+Q142+R142+S142+T142+U142+V142+W142+X142</f>
        <v>0</v>
      </c>
    </row>
    <row r="143" spans="2:25" ht="13.5" thickBot="1" x14ac:dyDescent="0.25">
      <c r="B143" s="39"/>
      <c r="C143" s="15"/>
      <c r="D143" s="15"/>
      <c r="E143" s="32">
        <f>SUM('ADVANCE:ELECTION DAY'!E143)</f>
        <v>0</v>
      </c>
      <c r="F143" s="32">
        <f>SUM('ADVANCE:ELECTION DAY'!F143)</f>
        <v>0</v>
      </c>
      <c r="G143" s="32">
        <f>SUM('ADVANCE:ELECTION DAY'!G143)</f>
        <v>0</v>
      </c>
      <c r="H143" s="32">
        <f>SUM('ADVANCE:ELECTION DAY'!H143)</f>
        <v>0</v>
      </c>
      <c r="I143" s="32">
        <f>SUM('ADVANCE:ELECTION DAY'!I143)</f>
        <v>0</v>
      </c>
      <c r="J143" s="32">
        <f>SUM('ADVANCE:ELECTION DAY'!J143)</f>
        <v>0</v>
      </c>
      <c r="K143" s="32">
        <f>SUM('ADVANCE:ELECTION DAY'!K143)</f>
        <v>0</v>
      </c>
      <c r="L143" s="32">
        <f>SUM('ADVANCE:ELECTION DAY'!L143)</f>
        <v>0</v>
      </c>
      <c r="M143" s="32">
        <f>SUM('ADVANCE:ELECTION DAY'!M143)</f>
        <v>0</v>
      </c>
      <c r="N143" s="32">
        <f>SUM('ADVANCE:ELECTION DAY'!N143)</f>
        <v>0</v>
      </c>
      <c r="O143" s="32"/>
      <c r="P143" s="32"/>
      <c r="Q143" s="32">
        <f>SUM('ADVANCE:ELECTION DAY'!Q143)</f>
        <v>0</v>
      </c>
      <c r="R143" s="32">
        <f>SUM('ADVANCE:ELECTION DAY'!R143)</f>
        <v>0</v>
      </c>
      <c r="S143" s="32">
        <f>SUM('ADVANCE:ELECTION DAY'!S143)</f>
        <v>0</v>
      </c>
      <c r="T143" s="32">
        <f>SUM('ADVANCE:ELECTION DAY'!T143)</f>
        <v>0</v>
      </c>
      <c r="U143" s="32">
        <f>SUM('ADVANCE:ELECTION DAY'!U143)</f>
        <v>0</v>
      </c>
      <c r="V143" s="32">
        <f>SUM('ADVANCE:ELECTION DAY'!V143)</f>
        <v>0</v>
      </c>
      <c r="W143" s="32">
        <f>SUM('ADVANCE:ELECTION DAY'!W143)</f>
        <v>0</v>
      </c>
      <c r="X143" s="32">
        <f>SUM('ADVANCE:ELECTION DAY'!X143)</f>
        <v>0</v>
      </c>
      <c r="Y143" s="16">
        <f t="shared" si="9"/>
        <v>0</v>
      </c>
    </row>
    <row r="144" spans="2:25" ht="13.5" thickBot="1" x14ac:dyDescent="0.25">
      <c r="B144" s="21"/>
      <c r="C144" s="21"/>
      <c r="D144" s="21"/>
      <c r="E144" s="32">
        <f>SUM('ADVANCE:ELECTION DAY'!E144)</f>
        <v>0</v>
      </c>
      <c r="F144" s="32">
        <f>SUM('ADVANCE:ELECTION DAY'!F144)</f>
        <v>0</v>
      </c>
      <c r="G144" s="32">
        <f>SUM('ADVANCE:ELECTION DAY'!G144)</f>
        <v>0</v>
      </c>
      <c r="H144" s="32">
        <f>SUM('ADVANCE:ELECTION DAY'!H144)</f>
        <v>0</v>
      </c>
      <c r="I144" s="32">
        <f>SUM('ADVANCE:ELECTION DAY'!I144)</f>
        <v>0</v>
      </c>
      <c r="J144" s="32">
        <f>SUM('ADVANCE:ELECTION DAY'!J144)</f>
        <v>0</v>
      </c>
      <c r="K144" s="32">
        <f>SUM('ADVANCE:ELECTION DAY'!K144)</f>
        <v>0</v>
      </c>
      <c r="L144" s="32">
        <f>SUM('ADVANCE:ELECTION DAY'!L144)</f>
        <v>0</v>
      </c>
      <c r="M144" s="32">
        <f>SUM('ADVANCE:ELECTION DAY'!M144)</f>
        <v>0</v>
      </c>
      <c r="N144" s="32">
        <f>SUM('ADVANCE:ELECTION DAY'!N144)</f>
        <v>0</v>
      </c>
      <c r="O144" s="32"/>
      <c r="P144" s="32"/>
      <c r="Q144" s="32">
        <f>SUM('ADVANCE:ELECTION DAY'!Q144)</f>
        <v>0</v>
      </c>
      <c r="R144" s="32">
        <f>SUM('ADVANCE:ELECTION DAY'!R144)</f>
        <v>0</v>
      </c>
      <c r="S144" s="32">
        <f>SUM('ADVANCE:ELECTION DAY'!S144)</f>
        <v>0</v>
      </c>
      <c r="T144" s="32">
        <f>SUM('ADVANCE:ELECTION DAY'!T144)</f>
        <v>0</v>
      </c>
      <c r="U144" s="32">
        <f>SUM('ADVANCE:ELECTION DAY'!U144)</f>
        <v>0</v>
      </c>
      <c r="V144" s="32">
        <f>SUM('ADVANCE:ELECTION DAY'!V144)</f>
        <v>0</v>
      </c>
      <c r="W144" s="32">
        <f>SUM('ADVANCE:ELECTION DAY'!W144)</f>
        <v>0</v>
      </c>
      <c r="X144" s="32">
        <f>SUM('ADVANCE:ELECTION DAY'!X144)</f>
        <v>0</v>
      </c>
      <c r="Y144" s="16">
        <f t="shared" si="9"/>
        <v>0</v>
      </c>
    </row>
    <row r="145" spans="2:25" ht="13.5" thickBot="1" x14ac:dyDescent="0.25">
      <c r="B145" s="21"/>
      <c r="C145" s="15"/>
      <c r="D145" s="15"/>
      <c r="E145" s="32">
        <f>SUM('ADVANCE:ELECTION DAY'!E145)</f>
        <v>0</v>
      </c>
      <c r="F145" s="32">
        <f>SUM('ADVANCE:ELECTION DAY'!F145)</f>
        <v>0</v>
      </c>
      <c r="G145" s="32">
        <f>SUM('ADVANCE:ELECTION DAY'!G145)</f>
        <v>0</v>
      </c>
      <c r="H145" s="32">
        <f>SUM('ADVANCE:ELECTION DAY'!H145)</f>
        <v>0</v>
      </c>
      <c r="I145" s="32">
        <f>SUM('ADVANCE:ELECTION DAY'!I145)</f>
        <v>0</v>
      </c>
      <c r="J145" s="32">
        <f>SUM('ADVANCE:ELECTION DAY'!J145)</f>
        <v>0</v>
      </c>
      <c r="K145" s="32">
        <f>SUM('ADVANCE:ELECTION DAY'!K145)</f>
        <v>0</v>
      </c>
      <c r="L145" s="32">
        <f>SUM('ADVANCE:ELECTION DAY'!L145)</f>
        <v>0</v>
      </c>
      <c r="M145" s="32">
        <f>SUM('ADVANCE:ELECTION DAY'!M145)</f>
        <v>0</v>
      </c>
      <c r="N145" s="32">
        <f>SUM('ADVANCE:ELECTION DAY'!N145)</f>
        <v>0</v>
      </c>
      <c r="O145" s="32"/>
      <c r="P145" s="32"/>
      <c r="Q145" s="32">
        <f>SUM('ADVANCE:ELECTION DAY'!Q145)</f>
        <v>0</v>
      </c>
      <c r="R145" s="32">
        <f>SUM('ADVANCE:ELECTION DAY'!R145)</f>
        <v>0</v>
      </c>
      <c r="S145" s="32">
        <f>SUM('ADVANCE:ELECTION DAY'!S145)</f>
        <v>0</v>
      </c>
      <c r="T145" s="32">
        <f>SUM('ADVANCE:ELECTION DAY'!T145)</f>
        <v>0</v>
      </c>
      <c r="U145" s="32">
        <f>SUM('ADVANCE:ELECTION DAY'!U145)</f>
        <v>0</v>
      </c>
      <c r="V145" s="32">
        <f>SUM('ADVANCE:ELECTION DAY'!V145)</f>
        <v>0</v>
      </c>
      <c r="W145" s="32">
        <f>SUM('ADVANCE:ELECTION DAY'!W145)</f>
        <v>0</v>
      </c>
      <c r="X145" s="32">
        <f>SUM('ADVANCE:ELECTION DAY'!X145)</f>
        <v>0</v>
      </c>
      <c r="Y145" s="16">
        <f t="shared" si="9"/>
        <v>0</v>
      </c>
    </row>
    <row r="146" spans="2:25" ht="13.5" thickBot="1" x14ac:dyDescent="0.25">
      <c r="B146" s="10" t="s">
        <v>115</v>
      </c>
      <c r="C146" s="11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27"/>
      <c r="O146" s="10" t="s">
        <v>115</v>
      </c>
      <c r="P146" s="12"/>
      <c r="Q146" s="12"/>
      <c r="R146" s="33"/>
      <c r="S146" s="12"/>
      <c r="T146" s="12"/>
      <c r="U146" s="12"/>
      <c r="V146" s="12"/>
      <c r="W146" s="12"/>
      <c r="X146" s="12"/>
      <c r="Y146" s="55"/>
    </row>
    <row r="147" spans="2:25" ht="13.5" thickBot="1" x14ac:dyDescent="0.25">
      <c r="B147" s="21"/>
      <c r="C147" s="15" t="s">
        <v>116</v>
      </c>
      <c r="D147" s="15" t="s">
        <v>15</v>
      </c>
      <c r="E147" s="32">
        <f>SUM('ADVANCE:ELECTION DAY'!E147)</f>
        <v>0</v>
      </c>
      <c r="F147" s="32">
        <f>SUM('ADVANCE:ELECTION DAY'!F147)</f>
        <v>0</v>
      </c>
      <c r="G147" s="32">
        <f>SUM('ADVANCE:ELECTION DAY'!G147)</f>
        <v>0</v>
      </c>
      <c r="H147" s="32">
        <f>SUM('ADVANCE:ELECTION DAY'!H147)</f>
        <v>0</v>
      </c>
      <c r="I147" s="32">
        <f>SUM('ADVANCE:ELECTION DAY'!I147)</f>
        <v>0</v>
      </c>
      <c r="J147" s="32">
        <f>SUM('ADVANCE:ELECTION DAY'!J147)</f>
        <v>9</v>
      </c>
      <c r="K147" s="32">
        <f>SUM('ADVANCE:ELECTION DAY'!K147)</f>
        <v>101</v>
      </c>
      <c r="L147" s="32">
        <f>SUM('ADVANCE:ELECTION DAY'!L147)</f>
        <v>20</v>
      </c>
      <c r="M147" s="32">
        <f>SUM('ADVANCE:ELECTION DAY'!M147)</f>
        <v>0</v>
      </c>
      <c r="N147" s="32">
        <f>SUM('ADVANCE:ELECTION DAY'!N147)</f>
        <v>0</v>
      </c>
      <c r="O147" s="15" t="s">
        <v>116</v>
      </c>
      <c r="P147" s="15" t="s">
        <v>15</v>
      </c>
      <c r="Q147" s="32">
        <f>SUM('ADVANCE:ELECTION DAY'!Q147)</f>
        <v>0</v>
      </c>
      <c r="R147" s="32">
        <f>SUM('ADVANCE:ELECTION DAY'!R147)</f>
        <v>0</v>
      </c>
      <c r="S147" s="32">
        <f>SUM('ADVANCE:ELECTION DAY'!S147)</f>
        <v>0</v>
      </c>
      <c r="T147" s="32">
        <f>SUM('ADVANCE:ELECTION DAY'!T147)</f>
        <v>0</v>
      </c>
      <c r="U147" s="32">
        <f>SUM('ADVANCE:ELECTION DAY'!U147)</f>
        <v>0</v>
      </c>
      <c r="V147" s="32">
        <f>SUM('ADVANCE:ELECTION DAY'!V147)</f>
        <v>0</v>
      </c>
      <c r="W147" s="32">
        <f>SUM('ADVANCE:ELECTION DAY'!W147)</f>
        <v>0</v>
      </c>
      <c r="X147" s="32">
        <f>SUM('ADVANCE:ELECTION DAY'!X147)</f>
        <v>0</v>
      </c>
      <c r="Y147" s="16">
        <f t="shared" si="9"/>
        <v>130</v>
      </c>
    </row>
    <row r="148" spans="2:25" ht="13.5" thickBot="1" x14ac:dyDescent="0.25">
      <c r="B148" s="21"/>
      <c r="C148" s="15" t="s">
        <v>142</v>
      </c>
      <c r="D148" s="15" t="s">
        <v>15</v>
      </c>
      <c r="E148" s="32">
        <f>SUM('ADVANCE:ELECTION DAY'!E148)</f>
        <v>0</v>
      </c>
      <c r="F148" s="32">
        <f>SUM('ADVANCE:ELECTION DAY'!F148)</f>
        <v>0</v>
      </c>
      <c r="G148" s="32">
        <f>SUM('ADVANCE:ELECTION DAY'!G148)</f>
        <v>0</v>
      </c>
      <c r="H148" s="32">
        <f>SUM('ADVANCE:ELECTION DAY'!H148)</f>
        <v>0</v>
      </c>
      <c r="I148" s="32">
        <f>SUM('ADVANCE:ELECTION DAY'!I148)</f>
        <v>0</v>
      </c>
      <c r="J148" s="32">
        <f>SUM('ADVANCE:ELECTION DAY'!J148)</f>
        <v>18</v>
      </c>
      <c r="K148" s="32">
        <f>SUM('ADVANCE:ELECTION DAY'!K148)</f>
        <v>94</v>
      </c>
      <c r="L148" s="32">
        <f>SUM('ADVANCE:ELECTION DAY'!L148)</f>
        <v>49</v>
      </c>
      <c r="M148" s="32">
        <f>SUM('ADVANCE:ELECTION DAY'!M148)</f>
        <v>0</v>
      </c>
      <c r="N148" s="32">
        <f>SUM('ADVANCE:ELECTION DAY'!N148)</f>
        <v>0</v>
      </c>
      <c r="O148" s="15" t="s">
        <v>143</v>
      </c>
      <c r="P148" s="15" t="s">
        <v>15</v>
      </c>
      <c r="Q148" s="32">
        <f>SUM('ADVANCE:ELECTION DAY'!Q148)</f>
        <v>0</v>
      </c>
      <c r="R148" s="32">
        <f>SUM('ADVANCE:ELECTION DAY'!R148)</f>
        <v>0</v>
      </c>
      <c r="S148" s="32">
        <f>SUM('ADVANCE:ELECTION DAY'!S148)</f>
        <v>0</v>
      </c>
      <c r="T148" s="32">
        <f>SUM('ADVANCE:ELECTION DAY'!T148)</f>
        <v>0</v>
      </c>
      <c r="U148" s="32">
        <f>SUM('ADVANCE:ELECTION DAY'!U148)</f>
        <v>0</v>
      </c>
      <c r="V148" s="32">
        <f>SUM('ADVANCE:ELECTION DAY'!V148)</f>
        <v>0</v>
      </c>
      <c r="W148" s="32">
        <f>SUM('ADVANCE:ELECTION DAY'!W148)</f>
        <v>0</v>
      </c>
      <c r="X148" s="32">
        <f>SUM('ADVANCE:ELECTION DAY'!X148)</f>
        <v>0</v>
      </c>
      <c r="Y148" s="16">
        <f t="shared" si="9"/>
        <v>161</v>
      </c>
    </row>
    <row r="149" spans="2:25" ht="13.5" thickBot="1" x14ac:dyDescent="0.25">
      <c r="B149" s="21"/>
      <c r="C149" s="15" t="s">
        <v>121</v>
      </c>
      <c r="D149" s="15" t="s">
        <v>16</v>
      </c>
      <c r="E149" s="32">
        <f>SUM('ADVANCE:ELECTION DAY'!E149)</f>
        <v>0</v>
      </c>
      <c r="F149" s="32">
        <f>SUM('ADVANCE:ELECTION DAY'!F149)</f>
        <v>0</v>
      </c>
      <c r="G149" s="32">
        <f>SUM('ADVANCE:ELECTION DAY'!G149)</f>
        <v>0</v>
      </c>
      <c r="H149" s="32">
        <f>SUM('ADVANCE:ELECTION DAY'!H149)</f>
        <v>0</v>
      </c>
      <c r="I149" s="32">
        <f>SUM('ADVANCE:ELECTION DAY'!I149)</f>
        <v>0</v>
      </c>
      <c r="J149" s="32">
        <f>SUM('ADVANCE:ELECTION DAY'!J149)</f>
        <v>37</v>
      </c>
      <c r="K149" s="32">
        <f>SUM('ADVANCE:ELECTION DAY'!K149)</f>
        <v>139</v>
      </c>
      <c r="L149" s="32">
        <f>SUM('ADVANCE:ELECTION DAY'!L149)</f>
        <v>46</v>
      </c>
      <c r="M149" s="32">
        <f>SUM('ADVANCE:ELECTION DAY'!M149)</f>
        <v>0</v>
      </c>
      <c r="N149" s="32">
        <f>SUM('ADVANCE:ELECTION DAY'!N149)</f>
        <v>0</v>
      </c>
      <c r="O149" s="15" t="s">
        <v>121</v>
      </c>
      <c r="P149" s="15" t="s">
        <v>16</v>
      </c>
      <c r="Q149" s="32">
        <f>SUM('ADVANCE:ELECTION DAY'!Q149)</f>
        <v>0</v>
      </c>
      <c r="R149" s="32">
        <f>SUM('ADVANCE:ELECTION DAY'!R149)</f>
        <v>0</v>
      </c>
      <c r="S149" s="32">
        <f>SUM('ADVANCE:ELECTION DAY'!S149)</f>
        <v>0</v>
      </c>
      <c r="T149" s="32">
        <f>SUM('ADVANCE:ELECTION DAY'!T149)</f>
        <v>0</v>
      </c>
      <c r="U149" s="32">
        <f>SUM('ADVANCE:ELECTION DAY'!U149)</f>
        <v>0</v>
      </c>
      <c r="V149" s="32">
        <f>SUM('ADVANCE:ELECTION DAY'!V149)</f>
        <v>0</v>
      </c>
      <c r="W149" s="32">
        <f>SUM('ADVANCE:ELECTION DAY'!W149)</f>
        <v>0</v>
      </c>
      <c r="X149" s="32">
        <f>SUM('ADVANCE:ELECTION DAY'!X149)</f>
        <v>0</v>
      </c>
      <c r="Y149" s="16">
        <f t="shared" si="9"/>
        <v>222</v>
      </c>
    </row>
    <row r="150" spans="2:25" ht="13.5" thickBot="1" x14ac:dyDescent="0.25">
      <c r="B150" s="21"/>
      <c r="C150" s="15" t="s">
        <v>118</v>
      </c>
      <c r="D150" s="15" t="s">
        <v>15</v>
      </c>
      <c r="E150" s="32">
        <f>SUM('ADVANCE:ELECTION DAY'!E150)</f>
        <v>0</v>
      </c>
      <c r="F150" s="32">
        <f>SUM('ADVANCE:ELECTION DAY'!F150)</f>
        <v>0</v>
      </c>
      <c r="G150" s="32">
        <f>SUM('ADVANCE:ELECTION DAY'!G150)</f>
        <v>0</v>
      </c>
      <c r="H150" s="32">
        <f>SUM('ADVANCE:ELECTION DAY'!H150)</f>
        <v>0</v>
      </c>
      <c r="I150" s="32">
        <f>SUM('ADVANCE:ELECTION DAY'!I150)</f>
        <v>0</v>
      </c>
      <c r="J150" s="32">
        <f>SUM('ADVANCE:ELECTION DAY'!J150)</f>
        <v>48</v>
      </c>
      <c r="K150" s="32">
        <f>SUM('ADVANCE:ELECTION DAY'!K150)</f>
        <v>141</v>
      </c>
      <c r="L150" s="32">
        <f>SUM('ADVANCE:ELECTION DAY'!L150)</f>
        <v>48</v>
      </c>
      <c r="M150" s="32">
        <f>SUM('ADVANCE:ELECTION DAY'!M150)</f>
        <v>0</v>
      </c>
      <c r="N150" s="32">
        <f>SUM('ADVANCE:ELECTION DAY'!N150)</f>
        <v>0</v>
      </c>
      <c r="O150" s="15" t="s">
        <v>118</v>
      </c>
      <c r="P150" s="15" t="s">
        <v>15</v>
      </c>
      <c r="Q150" s="32">
        <f>SUM('ADVANCE:ELECTION DAY'!Q150)</f>
        <v>0</v>
      </c>
      <c r="R150" s="32">
        <f>SUM('ADVANCE:ELECTION DAY'!R150)</f>
        <v>0</v>
      </c>
      <c r="S150" s="32">
        <f>SUM('ADVANCE:ELECTION DAY'!S150)</f>
        <v>0</v>
      </c>
      <c r="T150" s="32">
        <f>SUM('ADVANCE:ELECTION DAY'!T150)</f>
        <v>0</v>
      </c>
      <c r="U150" s="32">
        <f>SUM('ADVANCE:ELECTION DAY'!U150)</f>
        <v>0</v>
      </c>
      <c r="V150" s="32">
        <f>SUM('ADVANCE:ELECTION DAY'!V150)</f>
        <v>0</v>
      </c>
      <c r="W150" s="32">
        <f>SUM('ADVANCE:ELECTION DAY'!W150)</f>
        <v>0</v>
      </c>
      <c r="X150" s="32">
        <f>SUM('ADVANCE:ELECTION DAY'!X150)</f>
        <v>0</v>
      </c>
      <c r="Y150" s="16">
        <f t="shared" si="9"/>
        <v>237</v>
      </c>
    </row>
    <row r="151" spans="2:25" ht="13.5" thickBot="1" x14ac:dyDescent="0.25">
      <c r="B151" s="21"/>
      <c r="C151" s="15" t="s">
        <v>119</v>
      </c>
      <c r="D151" s="15" t="s">
        <v>15</v>
      </c>
      <c r="E151" s="32">
        <f>SUM('ADVANCE:ELECTION DAY'!E151)</f>
        <v>0</v>
      </c>
      <c r="F151" s="32">
        <f>SUM('ADVANCE:ELECTION DAY'!F151)</f>
        <v>0</v>
      </c>
      <c r="G151" s="32">
        <f>SUM('ADVANCE:ELECTION DAY'!G151)</f>
        <v>0</v>
      </c>
      <c r="H151" s="32">
        <f>SUM('ADVANCE:ELECTION DAY'!H151)</f>
        <v>0</v>
      </c>
      <c r="I151" s="32">
        <f>SUM('ADVANCE:ELECTION DAY'!I151)</f>
        <v>0</v>
      </c>
      <c r="J151" s="32">
        <f>SUM('ADVANCE:ELECTION DAY'!J151)</f>
        <v>39</v>
      </c>
      <c r="K151" s="32">
        <f>SUM('ADVANCE:ELECTION DAY'!K151)</f>
        <v>141</v>
      </c>
      <c r="L151" s="32">
        <f>SUM('ADVANCE:ELECTION DAY'!L151)</f>
        <v>59</v>
      </c>
      <c r="M151" s="32">
        <f>SUM('ADVANCE:ELECTION DAY'!M151)</f>
        <v>0</v>
      </c>
      <c r="N151" s="32">
        <f>SUM('ADVANCE:ELECTION DAY'!N151)</f>
        <v>0</v>
      </c>
      <c r="O151" s="15" t="s">
        <v>119</v>
      </c>
      <c r="P151" s="15" t="s">
        <v>15</v>
      </c>
      <c r="Q151" s="32">
        <f>SUM('ADVANCE:ELECTION DAY'!Q151)</f>
        <v>0</v>
      </c>
      <c r="R151" s="32">
        <f>SUM('ADVANCE:ELECTION DAY'!R151)</f>
        <v>0</v>
      </c>
      <c r="S151" s="32">
        <f>SUM('ADVANCE:ELECTION DAY'!S151)</f>
        <v>0</v>
      </c>
      <c r="T151" s="32">
        <f>SUM('ADVANCE:ELECTION DAY'!T151)</f>
        <v>0</v>
      </c>
      <c r="U151" s="32">
        <f>SUM('ADVANCE:ELECTION DAY'!U151)</f>
        <v>0</v>
      </c>
      <c r="V151" s="32">
        <f>SUM('ADVANCE:ELECTION DAY'!V151)</f>
        <v>0</v>
      </c>
      <c r="W151" s="32">
        <f>SUM('ADVANCE:ELECTION DAY'!W151)</f>
        <v>0</v>
      </c>
      <c r="X151" s="32">
        <f>SUM('ADVANCE:ELECTION DAY'!X151)</f>
        <v>0</v>
      </c>
      <c r="Y151" s="16">
        <f t="shared" si="9"/>
        <v>239</v>
      </c>
    </row>
    <row r="152" spans="2:25" ht="13.5" thickBot="1" x14ac:dyDescent="0.25">
      <c r="B152" s="21"/>
      <c r="C152" s="15" t="s">
        <v>120</v>
      </c>
      <c r="D152" s="15" t="s">
        <v>15</v>
      </c>
      <c r="E152" s="32">
        <f>SUM('ADVANCE:ELECTION DAY'!E152)</f>
        <v>0</v>
      </c>
      <c r="F152" s="32">
        <f>SUM('ADVANCE:ELECTION DAY'!F152)</f>
        <v>0</v>
      </c>
      <c r="G152" s="32">
        <f>SUM('ADVANCE:ELECTION DAY'!G152)</f>
        <v>0</v>
      </c>
      <c r="H152" s="32">
        <f>SUM('ADVANCE:ELECTION DAY'!H152)</f>
        <v>0</v>
      </c>
      <c r="I152" s="32">
        <f>SUM('ADVANCE:ELECTION DAY'!I152)</f>
        <v>0</v>
      </c>
      <c r="J152" s="32">
        <f>SUM('ADVANCE:ELECTION DAY'!J152)</f>
        <v>43</v>
      </c>
      <c r="K152" s="32">
        <f>SUM('ADVANCE:ELECTION DAY'!K152)</f>
        <v>148</v>
      </c>
      <c r="L152" s="32">
        <f>SUM('ADVANCE:ELECTION DAY'!L152)</f>
        <v>68</v>
      </c>
      <c r="M152" s="32">
        <f>SUM('ADVANCE:ELECTION DAY'!M152)</f>
        <v>0</v>
      </c>
      <c r="N152" s="32">
        <f>SUM('ADVANCE:ELECTION DAY'!N152)</f>
        <v>0</v>
      </c>
      <c r="O152" s="15" t="s">
        <v>120</v>
      </c>
      <c r="P152" s="15" t="s">
        <v>15</v>
      </c>
      <c r="Q152" s="32">
        <f>SUM('ADVANCE:ELECTION DAY'!Q152)</f>
        <v>0</v>
      </c>
      <c r="R152" s="32">
        <f>SUM('ADVANCE:ELECTION DAY'!R152)</f>
        <v>0</v>
      </c>
      <c r="S152" s="32">
        <f>SUM('ADVANCE:ELECTION DAY'!S152)</f>
        <v>0</v>
      </c>
      <c r="T152" s="32">
        <f>SUM('ADVANCE:ELECTION DAY'!T152)</f>
        <v>0</v>
      </c>
      <c r="U152" s="32">
        <f>SUM('ADVANCE:ELECTION DAY'!U152)</f>
        <v>0</v>
      </c>
      <c r="V152" s="32">
        <f>SUM('ADVANCE:ELECTION DAY'!V152)</f>
        <v>0</v>
      </c>
      <c r="W152" s="32">
        <f>SUM('ADVANCE:ELECTION DAY'!W152)</f>
        <v>0</v>
      </c>
      <c r="X152" s="32">
        <f>SUM('ADVANCE:ELECTION DAY'!X152)</f>
        <v>0</v>
      </c>
      <c r="Y152" s="16">
        <f t="shared" si="9"/>
        <v>259</v>
      </c>
    </row>
    <row r="153" spans="2:25" ht="13.5" thickBot="1" x14ac:dyDescent="0.25">
      <c r="B153" s="10" t="s">
        <v>122</v>
      </c>
      <c r="C153" s="11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27"/>
      <c r="O153" s="10" t="s">
        <v>122</v>
      </c>
      <c r="P153" s="12"/>
      <c r="Q153" s="12"/>
      <c r="R153" s="33"/>
      <c r="S153" s="12"/>
      <c r="T153" s="12"/>
      <c r="U153" s="12"/>
      <c r="V153" s="12"/>
      <c r="W153" s="12"/>
      <c r="X153" s="12"/>
      <c r="Y153" s="55"/>
    </row>
    <row r="154" spans="2:25" ht="13.5" thickBot="1" x14ac:dyDescent="0.25">
      <c r="B154" s="15"/>
      <c r="C154" s="56" t="s">
        <v>123</v>
      </c>
      <c r="D154" s="56" t="s">
        <v>124</v>
      </c>
      <c r="E154" s="59">
        <f>SUM('ADVANCE:ELECTION DAY'!E154)</f>
        <v>9</v>
      </c>
      <c r="F154" s="59">
        <f>SUM('ADVANCE:ELECTION DAY'!F154)</f>
        <v>13</v>
      </c>
      <c r="G154" s="59">
        <f>SUM('ADVANCE:ELECTION DAY'!G154)</f>
        <v>9</v>
      </c>
      <c r="H154" s="59">
        <f>SUM('ADVANCE:ELECTION DAY'!H154)</f>
        <v>8</v>
      </c>
      <c r="I154" s="59">
        <f>SUM('ADVANCE:ELECTION DAY'!I154)</f>
        <v>7</v>
      </c>
      <c r="J154" s="59">
        <f>SUM('ADVANCE:ELECTION DAY'!J154)</f>
        <v>17</v>
      </c>
      <c r="K154" s="59">
        <f>SUM('ADVANCE:ELECTION DAY'!K154)</f>
        <v>120</v>
      </c>
      <c r="L154" s="59">
        <f>SUM('ADVANCE:ELECTION DAY'!L154)</f>
        <v>35</v>
      </c>
      <c r="M154" s="59">
        <f>SUM('ADVANCE:ELECTION DAY'!M154)</f>
        <v>3</v>
      </c>
      <c r="N154" s="59">
        <f>SUM('ADVANCE:ELECTION DAY'!N154)</f>
        <v>16</v>
      </c>
      <c r="O154" s="56" t="s">
        <v>123</v>
      </c>
      <c r="P154" s="56" t="s">
        <v>124</v>
      </c>
      <c r="Q154" s="59">
        <f>SUM('ADVANCE:ELECTION DAY'!Q154)</f>
        <v>16</v>
      </c>
      <c r="R154" s="59">
        <f>SUM('ADVANCE:ELECTION DAY'!R154)</f>
        <v>2</v>
      </c>
      <c r="S154" s="59">
        <f>SUM('ADVANCE:ELECTION DAY'!S154)</f>
        <v>20</v>
      </c>
      <c r="T154" s="59">
        <f>SUM('ADVANCE:ELECTION DAY'!T154)</f>
        <v>8</v>
      </c>
      <c r="U154" s="59">
        <f>SUM('ADVANCE:ELECTION DAY'!U154)</f>
        <v>6</v>
      </c>
      <c r="V154" s="59">
        <f>SUM('ADVANCE:ELECTION DAY'!V154)</f>
        <v>2</v>
      </c>
      <c r="W154" s="59">
        <f>SUM('ADVANCE:ELECTION DAY'!W154)</f>
        <v>27</v>
      </c>
      <c r="X154" s="59">
        <f>SUM('ADVANCE:ELECTION DAY'!X154)</f>
        <v>39</v>
      </c>
      <c r="Y154" s="16">
        <f t="shared" si="9"/>
        <v>357</v>
      </c>
    </row>
    <row r="155" spans="2:25" ht="13.5" thickBot="1" x14ac:dyDescent="0.25">
      <c r="B155" s="15"/>
      <c r="C155" s="15"/>
      <c r="D155" s="15" t="s">
        <v>125</v>
      </c>
      <c r="E155" s="32">
        <f>SUM('ADVANCE:ELECTION DAY'!E155)</f>
        <v>11</v>
      </c>
      <c r="F155" s="32">
        <f>SUM('ADVANCE:ELECTION DAY'!F155)</f>
        <v>18</v>
      </c>
      <c r="G155" s="32">
        <f>SUM('ADVANCE:ELECTION DAY'!G155)</f>
        <v>25</v>
      </c>
      <c r="H155" s="32">
        <f>SUM('ADVANCE:ELECTION DAY'!H155)</f>
        <v>20</v>
      </c>
      <c r="I155" s="32">
        <f>SUM('ADVANCE:ELECTION DAY'!I155)</f>
        <v>11</v>
      </c>
      <c r="J155" s="32">
        <f>SUM('ADVANCE:ELECTION DAY'!J155)</f>
        <v>42</v>
      </c>
      <c r="K155" s="32">
        <f>SUM('ADVANCE:ELECTION DAY'!K155)</f>
        <v>100</v>
      </c>
      <c r="L155" s="32">
        <f>SUM('ADVANCE:ELECTION DAY'!L155)</f>
        <v>59</v>
      </c>
      <c r="M155" s="32">
        <f>SUM('ADVANCE:ELECTION DAY'!M155)</f>
        <v>0</v>
      </c>
      <c r="N155" s="32">
        <f>SUM('ADVANCE:ELECTION DAY'!N155)</f>
        <v>11</v>
      </c>
      <c r="O155" s="15"/>
      <c r="P155" s="15" t="s">
        <v>125</v>
      </c>
      <c r="Q155" s="32">
        <f>SUM('ADVANCE:ELECTION DAY'!Q155)</f>
        <v>8</v>
      </c>
      <c r="R155" s="32">
        <f>SUM('ADVANCE:ELECTION DAY'!R155)</f>
        <v>9</v>
      </c>
      <c r="S155" s="32">
        <f>SUM('ADVANCE:ELECTION DAY'!S155)</f>
        <v>21</v>
      </c>
      <c r="T155" s="32">
        <f>SUM('ADVANCE:ELECTION DAY'!T155)</f>
        <v>17</v>
      </c>
      <c r="U155" s="32">
        <f>SUM('ADVANCE:ELECTION DAY'!U155)</f>
        <v>11</v>
      </c>
      <c r="V155" s="32">
        <f>SUM('ADVANCE:ELECTION DAY'!V155)</f>
        <v>2</v>
      </c>
      <c r="W155" s="32">
        <f>SUM('ADVANCE:ELECTION DAY'!W155)</f>
        <v>26</v>
      </c>
      <c r="X155" s="32">
        <f>SUM('ADVANCE:ELECTION DAY'!X155)</f>
        <v>38</v>
      </c>
      <c r="Y155" s="16">
        <f t="shared" si="9"/>
        <v>429</v>
      </c>
    </row>
    <row r="156" spans="2:25" ht="13.5" thickBot="1" x14ac:dyDescent="0.25">
      <c r="B156" s="15"/>
      <c r="C156" s="15"/>
      <c r="D156" s="15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15"/>
      <c r="P156" s="15"/>
      <c r="Q156" s="32"/>
      <c r="R156" s="32"/>
      <c r="S156" s="32"/>
      <c r="T156" s="32"/>
      <c r="U156" s="32"/>
      <c r="V156" s="32"/>
      <c r="W156" s="32"/>
      <c r="X156" s="32"/>
      <c r="Y156" s="16"/>
    </row>
    <row r="157" spans="2:25" ht="13.5" thickBot="1" x14ac:dyDescent="0.25">
      <c r="B157" s="15"/>
      <c r="C157" s="56" t="s">
        <v>138</v>
      </c>
      <c r="D157" s="56" t="s">
        <v>124</v>
      </c>
      <c r="E157" s="59">
        <f>SUM('ADVANCE:ELECTION DAY'!E157)</f>
        <v>10</v>
      </c>
      <c r="F157" s="59">
        <f>SUM('ADVANCE:ELECTION DAY'!F155)</f>
        <v>18</v>
      </c>
      <c r="G157" s="59">
        <f>SUM('ADVANCE:ELECTION DAY'!G155)</f>
        <v>25</v>
      </c>
      <c r="H157" s="59">
        <f>SUM('ADVANCE:ELECTION DAY'!H155)</f>
        <v>20</v>
      </c>
      <c r="I157" s="59">
        <f>SUM('ADVANCE:ELECTION DAY'!I155)</f>
        <v>11</v>
      </c>
      <c r="J157" s="59">
        <f>SUM('ADVANCE:ELECTION DAY'!J155)</f>
        <v>42</v>
      </c>
      <c r="K157" s="59">
        <f>SUM('ADVANCE:ELECTION DAY'!K155)</f>
        <v>100</v>
      </c>
      <c r="L157" s="59">
        <f>SUM('ADVANCE:ELECTION DAY'!L155)</f>
        <v>59</v>
      </c>
      <c r="M157" s="59">
        <f>SUM('ADVANCE:ELECTION DAY'!M155)</f>
        <v>0</v>
      </c>
      <c r="N157" s="59">
        <f>SUM('ADVANCE:ELECTION DAY'!N155)</f>
        <v>11</v>
      </c>
      <c r="O157" s="56" t="s">
        <v>138</v>
      </c>
      <c r="P157" s="56" t="s">
        <v>124</v>
      </c>
      <c r="Q157" s="59">
        <f>SUM('ADVANCE:ELECTION DAY'!Q155)</f>
        <v>8</v>
      </c>
      <c r="R157" s="59">
        <f>SUM('ADVANCE:ELECTION DAY'!R155)</f>
        <v>9</v>
      </c>
      <c r="S157" s="59">
        <f>SUM('ADVANCE:ELECTION DAY'!S155)</f>
        <v>21</v>
      </c>
      <c r="T157" s="59">
        <f>SUM('ADVANCE:ELECTION DAY'!T155)</f>
        <v>17</v>
      </c>
      <c r="U157" s="59">
        <f>SUM('ADVANCE:ELECTION DAY'!U155)</f>
        <v>11</v>
      </c>
      <c r="V157" s="59">
        <f>SUM('ADVANCE:ELECTION DAY'!V155)</f>
        <v>2</v>
      </c>
      <c r="W157" s="59">
        <f>SUM('ADVANCE:ELECTION DAY'!W155)</f>
        <v>26</v>
      </c>
      <c r="X157" s="59">
        <f>SUM('ADVANCE:ELECTION DAY'!X155)</f>
        <v>38</v>
      </c>
      <c r="Y157" s="16">
        <f t="shared" si="9"/>
        <v>428</v>
      </c>
    </row>
    <row r="158" spans="2:25" ht="13.5" thickBot="1" x14ac:dyDescent="0.25">
      <c r="B158" s="15"/>
      <c r="C158" s="15"/>
      <c r="D158" s="15" t="s">
        <v>125</v>
      </c>
      <c r="E158" s="32">
        <f>SUM('ADVANCE:ELECTION DAY'!E158)</f>
        <v>9</v>
      </c>
      <c r="F158" s="32">
        <f>SUM('ADVANCE:ELECTION DAY'!F158)</f>
        <v>16</v>
      </c>
      <c r="G158" s="32">
        <f>SUM('ADVANCE:ELECTION DAY'!G158)</f>
        <v>25</v>
      </c>
      <c r="H158" s="32">
        <f>SUM('ADVANCE:ELECTION DAY'!H158)</f>
        <v>19</v>
      </c>
      <c r="I158" s="32">
        <f>SUM('ADVANCE:ELECTION DAY'!I158)</f>
        <v>13</v>
      </c>
      <c r="J158" s="32">
        <f>SUM('ADVANCE:ELECTION DAY'!J158)</f>
        <v>43</v>
      </c>
      <c r="K158" s="32">
        <f>SUM('ADVANCE:ELECTION DAY'!K158)</f>
        <v>98</v>
      </c>
      <c r="L158" s="32">
        <f>SUM('ADVANCE:ELECTION DAY'!L158)</f>
        <v>59</v>
      </c>
      <c r="M158" s="32">
        <f>SUM('ADVANCE:ELECTION DAY'!M158)</f>
        <v>1</v>
      </c>
      <c r="N158" s="32">
        <f>SUM('ADVANCE:ELECTION DAY'!N158)</f>
        <v>12</v>
      </c>
      <c r="O158" s="15"/>
      <c r="P158" s="15" t="s">
        <v>125</v>
      </c>
      <c r="Q158" s="32">
        <f>SUM('ADVANCE:ELECTION DAY'!Q158)</f>
        <v>9</v>
      </c>
      <c r="R158" s="32">
        <f>SUM('ADVANCE:ELECTION DAY'!R158)</f>
        <v>9</v>
      </c>
      <c r="S158" s="32">
        <f>SUM('ADVANCE:ELECTION DAY'!S158)</f>
        <v>20</v>
      </c>
      <c r="T158" s="32">
        <f>SUM('ADVANCE:ELECTION DAY'!T158)</f>
        <v>17</v>
      </c>
      <c r="U158" s="32">
        <f>SUM('ADVANCE:ELECTION DAY'!U158)</f>
        <v>11</v>
      </c>
      <c r="V158" s="32">
        <f>SUM('ADVANCE:ELECTION DAY'!V158)</f>
        <v>2</v>
      </c>
      <c r="W158" s="32">
        <f>SUM('ADVANCE:ELECTION DAY'!W158)</f>
        <v>31</v>
      </c>
      <c r="X158" s="32">
        <f>SUM('ADVANCE:ELECTION DAY'!X158)</f>
        <v>38</v>
      </c>
      <c r="Y158" s="16">
        <f t="shared" si="9"/>
        <v>432</v>
      </c>
    </row>
    <row r="159" spans="2:25" ht="13.5" thickBot="1" x14ac:dyDescent="0.25">
      <c r="B159" s="15"/>
      <c r="C159" s="15"/>
      <c r="D159" s="15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15"/>
      <c r="P159" s="15"/>
      <c r="Q159" s="32"/>
      <c r="R159" s="32"/>
      <c r="S159" s="32"/>
      <c r="T159" s="32"/>
      <c r="U159" s="32"/>
      <c r="V159" s="32"/>
      <c r="W159" s="32"/>
      <c r="X159" s="32"/>
      <c r="Y159" s="16"/>
    </row>
    <row r="160" spans="2:25" ht="13.5" thickBot="1" x14ac:dyDescent="0.25">
      <c r="B160" s="15"/>
      <c r="C160" s="56" t="s">
        <v>146</v>
      </c>
      <c r="D160" s="56" t="s">
        <v>124</v>
      </c>
      <c r="E160" s="59">
        <f>SUM('ADVANCE:ELECTION DAY'!E160)</f>
        <v>7</v>
      </c>
      <c r="F160" s="59">
        <f>SUM('ADVANCE:ELECTION DAY'!F160)</f>
        <v>9</v>
      </c>
      <c r="G160" s="59">
        <f>SUM('ADVANCE:ELECTION DAY'!G160)</f>
        <v>8</v>
      </c>
      <c r="H160" s="59">
        <f>SUM('ADVANCE:ELECTION DAY'!H160)</f>
        <v>8</v>
      </c>
      <c r="I160" s="59">
        <f>SUM('ADVANCE:ELECTION DAY'!I160)</f>
        <v>6</v>
      </c>
      <c r="J160" s="59">
        <f>SUM('ADVANCE:ELECTION DAY'!J160)</f>
        <v>15</v>
      </c>
      <c r="K160" s="59">
        <f>SUM('ADVANCE:ELECTION DAY'!K160)</f>
        <v>109</v>
      </c>
      <c r="L160" s="59">
        <f>SUM('ADVANCE:ELECTION DAY'!L160)</f>
        <v>32</v>
      </c>
      <c r="M160" s="59">
        <f>SUM('ADVANCE:ELECTION DAY'!M160)</f>
        <v>2</v>
      </c>
      <c r="N160" s="59">
        <f>SUM('ADVANCE:ELECTION DAY'!N160)</f>
        <v>10</v>
      </c>
      <c r="O160" s="56" t="s">
        <v>145</v>
      </c>
      <c r="P160" s="56" t="s">
        <v>124</v>
      </c>
      <c r="Q160" s="59">
        <f>SUM('ADVANCE:ELECTION DAY'!Q160)</f>
        <v>16</v>
      </c>
      <c r="R160" s="59">
        <f>SUM('ADVANCE:ELECTION DAY'!R160)</f>
        <v>1</v>
      </c>
      <c r="S160" s="59">
        <f>SUM('ADVANCE:ELECTION DAY'!S160)</f>
        <v>20</v>
      </c>
      <c r="T160" s="59">
        <f>SUM('ADVANCE:ELECTION DAY'!T160)</f>
        <v>8</v>
      </c>
      <c r="U160" s="59">
        <f>SUM('ADVANCE:ELECTION DAY'!U160)</f>
        <v>9</v>
      </c>
      <c r="V160" s="59">
        <f>SUM('ADVANCE:ELECTION DAY'!V160)</f>
        <v>2</v>
      </c>
      <c r="W160" s="59">
        <f>SUM('ADVANCE:ELECTION DAY'!W160)</f>
        <v>24</v>
      </c>
      <c r="X160" s="59">
        <f>SUM('ADVANCE:ELECTION DAY'!X160)</f>
        <v>34</v>
      </c>
      <c r="Y160" s="59">
        <f>SUM('ADVANCE:ELECTION DAY'!Y160)</f>
        <v>320</v>
      </c>
    </row>
    <row r="161" spans="2:84" ht="13.5" thickBot="1" x14ac:dyDescent="0.25">
      <c r="B161" s="15"/>
      <c r="C161" s="15"/>
      <c r="D161" s="15" t="s">
        <v>125</v>
      </c>
      <c r="E161" s="32">
        <f>SUM('ADVANCE:ELECTION DAY'!E157)</f>
        <v>10</v>
      </c>
      <c r="F161" s="32">
        <f>SUM('ADVANCE:ELECTION DAY'!F157)</f>
        <v>13</v>
      </c>
      <c r="G161" s="32">
        <f>SUM('ADVANCE:ELECTION DAY'!G157)</f>
        <v>9</v>
      </c>
      <c r="H161" s="32">
        <f>SUM('ADVANCE:ELECTION DAY'!H157)</f>
        <v>9</v>
      </c>
      <c r="I161" s="32">
        <f>SUM('ADVANCE:ELECTION DAY'!I157)</f>
        <v>4</v>
      </c>
      <c r="J161" s="32">
        <f>SUM('ADVANCE:ELECTION DAY'!J157)</f>
        <v>14</v>
      </c>
      <c r="K161" s="32">
        <f>SUM('ADVANCE:ELECTION DAY'!K157)</f>
        <v>116</v>
      </c>
      <c r="L161" s="32">
        <f>SUM('ADVANCE:ELECTION DAY'!L157)</f>
        <v>31</v>
      </c>
      <c r="M161" s="32">
        <f>SUM('ADVANCE:ELECTION DAY'!M157)</f>
        <v>2</v>
      </c>
      <c r="N161" s="32">
        <f>SUM('ADVANCE:ELECTION DAY'!N157)</f>
        <v>15</v>
      </c>
      <c r="O161" s="15"/>
      <c r="P161" s="15" t="s">
        <v>125</v>
      </c>
      <c r="Q161" s="32">
        <f>SUM('ADVANCE:ELECTION DAY'!Q157)</f>
        <v>15</v>
      </c>
      <c r="R161" s="32">
        <f>SUM('ADVANCE:ELECTION DAY'!R157)</f>
        <v>2</v>
      </c>
      <c r="S161" s="32">
        <f>SUM('ADVANCE:ELECTION DAY'!S157)</f>
        <v>9</v>
      </c>
      <c r="T161" s="32">
        <f>SUM('ADVANCE:ELECTION DAY'!T157)</f>
        <v>7</v>
      </c>
      <c r="U161" s="32">
        <f>SUM('ADVANCE:ELECTION DAY'!U157)</f>
        <v>6</v>
      </c>
      <c r="V161" s="32">
        <f>SUM('ADVANCE:ELECTION DAY'!V157)</f>
        <v>2</v>
      </c>
      <c r="W161" s="32">
        <f>SUM('ADVANCE:ELECTION DAY'!W157)</f>
        <v>22</v>
      </c>
      <c r="X161" s="32">
        <f>SUM('ADVANCE:ELECTION DAY'!X157)</f>
        <v>36</v>
      </c>
      <c r="Y161" s="16">
        <f t="shared" si="9"/>
        <v>322</v>
      </c>
    </row>
    <row r="162" spans="2:84" ht="13.5" thickBot="1" x14ac:dyDescent="0.25">
      <c r="B162" s="15"/>
      <c r="C162" s="15"/>
      <c r="D162" s="15"/>
      <c r="E162" s="32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32"/>
      <c r="R162" s="15"/>
      <c r="S162" s="15"/>
      <c r="T162" s="15"/>
      <c r="U162" s="15"/>
      <c r="V162" s="15"/>
      <c r="W162" s="15"/>
      <c r="X162" s="15"/>
      <c r="Y162" s="16"/>
    </row>
    <row r="163" spans="2:84" ht="13.5" thickBot="1" x14ac:dyDescent="0.25">
      <c r="B163" s="15"/>
      <c r="C163" s="56" t="s">
        <v>127</v>
      </c>
      <c r="D163" s="56" t="s">
        <v>124</v>
      </c>
      <c r="E163" s="59">
        <f>SUM('ADVANCE:ELECTION DAY'!E160)</f>
        <v>7</v>
      </c>
      <c r="F163" s="59">
        <f>SUM('ADVANCE:ELECTION DAY'!F160)</f>
        <v>9</v>
      </c>
      <c r="G163" s="59">
        <f>SUM('ADVANCE:ELECTION DAY'!G160)</f>
        <v>8</v>
      </c>
      <c r="H163" s="59">
        <f>SUM('ADVANCE:ELECTION DAY'!H160)</f>
        <v>8</v>
      </c>
      <c r="I163" s="59">
        <f>SUM('ADVANCE:ELECTION DAY'!I160)</f>
        <v>6</v>
      </c>
      <c r="J163" s="59">
        <f>SUM('ADVANCE:ELECTION DAY'!J160)</f>
        <v>15</v>
      </c>
      <c r="K163" s="59">
        <f>SUM('ADVANCE:ELECTION DAY'!K160)</f>
        <v>109</v>
      </c>
      <c r="L163" s="59">
        <f>SUM('ADVANCE:ELECTION DAY'!L160)</f>
        <v>32</v>
      </c>
      <c r="M163" s="59">
        <f>SUM('ADVANCE:ELECTION DAY'!M160)</f>
        <v>2</v>
      </c>
      <c r="N163" s="59">
        <f>SUM('ADVANCE:ELECTION DAY'!N160)</f>
        <v>10</v>
      </c>
      <c r="O163" s="56" t="s">
        <v>127</v>
      </c>
      <c r="P163" s="56" t="s">
        <v>124</v>
      </c>
      <c r="Q163" s="59">
        <f>SUM('ADVANCE:ELECTION DAY'!Q160)</f>
        <v>16</v>
      </c>
      <c r="R163" s="59">
        <f>SUM('ADVANCE:ELECTION DAY'!R160)</f>
        <v>1</v>
      </c>
      <c r="S163" s="59">
        <f>SUM('ADVANCE:ELECTION DAY'!S160)</f>
        <v>20</v>
      </c>
      <c r="T163" s="59">
        <f>SUM('ADVANCE:ELECTION DAY'!T160)</f>
        <v>8</v>
      </c>
      <c r="U163" s="59">
        <f>SUM('ADVANCE:ELECTION DAY'!U160)</f>
        <v>9</v>
      </c>
      <c r="V163" s="59">
        <f>SUM('ADVANCE:ELECTION DAY'!V160)</f>
        <v>2</v>
      </c>
      <c r="W163" s="59">
        <f>SUM('ADVANCE:ELECTION DAY'!W160)</f>
        <v>24</v>
      </c>
      <c r="X163" s="59">
        <f>SUM('ADVANCE:ELECTION DAY'!X160)</f>
        <v>34</v>
      </c>
      <c r="Y163" s="16">
        <f t="shared" si="9"/>
        <v>320</v>
      </c>
    </row>
    <row r="164" spans="2:84" ht="13.5" thickBot="1" x14ac:dyDescent="0.25">
      <c r="B164" s="15"/>
      <c r="C164" s="15"/>
      <c r="D164" s="15" t="s">
        <v>125</v>
      </c>
      <c r="E164" s="32">
        <f>SUM('ADVANCE:ELECTION DAY'!E161)</f>
        <v>11</v>
      </c>
      <c r="F164" s="32">
        <f>SUM('ADVANCE:ELECTION DAY'!F161)</f>
        <v>21</v>
      </c>
      <c r="G164" s="32">
        <f>SUM('ADVANCE:ELECTION DAY'!G161)</f>
        <v>26</v>
      </c>
      <c r="H164" s="32">
        <f>SUM('ADVANCE:ELECTION DAY'!H161)</f>
        <v>18</v>
      </c>
      <c r="I164" s="32">
        <f>SUM('ADVANCE:ELECTION DAY'!I161)</f>
        <v>11</v>
      </c>
      <c r="J164" s="32">
        <f>SUM('ADVANCE:ELECTION DAY'!J161)</f>
        <v>43</v>
      </c>
      <c r="K164" s="32">
        <f>SUM('ADVANCE:ELECTION DAY'!K161)</f>
        <v>103</v>
      </c>
      <c r="L164" s="32">
        <f>SUM('ADVANCE:ELECTION DAY'!L161)</f>
        <v>59</v>
      </c>
      <c r="M164" s="32">
        <f>SUM('ADVANCE:ELECTION DAY'!M161)</f>
        <v>2</v>
      </c>
      <c r="N164" s="32">
        <f>SUM('ADVANCE:ELECTION DAY'!N161)</f>
        <v>16</v>
      </c>
      <c r="O164" s="15"/>
      <c r="P164" s="15" t="s">
        <v>125</v>
      </c>
      <c r="Q164" s="32">
        <f>SUM('ADVANCE:ELECTION DAY'!Q161)</f>
        <v>8</v>
      </c>
      <c r="R164" s="32">
        <f>SUM('ADVANCE:ELECTION DAY'!R161)</f>
        <v>5</v>
      </c>
      <c r="S164" s="32">
        <f>SUM('ADVANCE:ELECTION DAY'!S161)</f>
        <v>19</v>
      </c>
      <c r="T164" s="32">
        <f>SUM('ADVANCE:ELECTION DAY'!T161)</f>
        <v>15</v>
      </c>
      <c r="U164" s="32">
        <f>SUM('ADVANCE:ELECTION DAY'!U161)</f>
        <v>8</v>
      </c>
      <c r="V164" s="32">
        <f>SUM('ADVANCE:ELECTION DAY'!V161)</f>
        <v>2</v>
      </c>
      <c r="W164" s="32">
        <f>SUM('ADVANCE:ELECTION DAY'!W161)</f>
        <v>25</v>
      </c>
      <c r="X164" s="32">
        <f>SUM('ADVANCE:ELECTION DAY'!X161)</f>
        <v>38</v>
      </c>
      <c r="Y164" s="16">
        <f t="shared" si="9"/>
        <v>430</v>
      </c>
    </row>
    <row r="165" spans="2:84" ht="13.5" thickBot="1" x14ac:dyDescent="0.25">
      <c r="B165" s="15"/>
      <c r="C165" s="15"/>
      <c r="D165" s="15"/>
      <c r="E165" s="32">
        <f>SUM('ADVANCE:ELECTION DAY'!E162)</f>
        <v>2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32">
        <f>SUM('ADVANCE:ELECTION DAY'!Q162)</f>
        <v>4</v>
      </c>
      <c r="R165" s="15"/>
      <c r="S165" s="15"/>
      <c r="T165" s="15"/>
      <c r="U165" s="15"/>
      <c r="V165" s="15"/>
      <c r="W165" s="15"/>
      <c r="X165" s="15"/>
      <c r="Y165" s="16"/>
    </row>
    <row r="166" spans="2:84" ht="13.5" thickBot="1" x14ac:dyDescent="0.25">
      <c r="B166" s="15"/>
      <c r="C166" s="56" t="s">
        <v>136</v>
      </c>
      <c r="D166" s="56" t="s">
        <v>124</v>
      </c>
      <c r="E166" s="59">
        <f>SUM('ADVANCE:ELECTION DAY'!E163)</f>
        <v>7</v>
      </c>
      <c r="F166" s="59">
        <f>SUM('ADVANCE:ELECTION DAY'!F163)</f>
        <v>10</v>
      </c>
      <c r="G166" s="59">
        <f>SUM('ADVANCE:ELECTION DAY'!G163)</f>
        <v>8</v>
      </c>
      <c r="H166" s="59">
        <f>SUM('ADVANCE:ELECTION DAY'!H163)</f>
        <v>7</v>
      </c>
      <c r="I166" s="59">
        <f>SUM('ADVANCE:ELECTION DAY'!I163)</f>
        <v>4</v>
      </c>
      <c r="J166" s="59">
        <f>SUM('ADVANCE:ELECTION DAY'!J163)</f>
        <v>15</v>
      </c>
      <c r="K166" s="59">
        <f>SUM('ADVANCE:ELECTION DAY'!K163)</f>
        <v>115</v>
      </c>
      <c r="L166" s="59">
        <f>SUM('ADVANCE:ELECTION DAY'!L163)</f>
        <v>34</v>
      </c>
      <c r="M166" s="59">
        <f>SUM('ADVANCE:ELECTION DAY'!M163)</f>
        <v>2</v>
      </c>
      <c r="N166" s="59">
        <f>SUM('ADVANCE:ELECTION DAY'!N163)</f>
        <v>11</v>
      </c>
      <c r="O166" s="56" t="s">
        <v>136</v>
      </c>
      <c r="P166" s="56" t="s">
        <v>124</v>
      </c>
      <c r="Q166" s="59">
        <f>SUM('ADVANCE:ELECTION DAY'!Q163)</f>
        <v>15</v>
      </c>
      <c r="R166" s="59">
        <f>SUM('ADVANCE:ELECTION DAY'!R163)</f>
        <v>1</v>
      </c>
      <c r="S166" s="59">
        <f>SUM('ADVANCE:ELECTION DAY'!S163)</f>
        <v>19</v>
      </c>
      <c r="T166" s="59">
        <f>SUM('ADVANCE:ELECTION DAY'!T163)</f>
        <v>8</v>
      </c>
      <c r="U166" s="59">
        <f>SUM('ADVANCE:ELECTION DAY'!U163)</f>
        <v>7</v>
      </c>
      <c r="V166" s="59">
        <f>SUM('ADVANCE:ELECTION DAY'!V163)</f>
        <v>2</v>
      </c>
      <c r="W166" s="59">
        <f>SUM('ADVANCE:ELECTION DAY'!W163)</f>
        <v>22</v>
      </c>
      <c r="X166" s="59">
        <f>SUM('ADVANCE:ELECTION DAY'!X163)</f>
        <v>35</v>
      </c>
      <c r="Y166" s="16">
        <f t="shared" si="9"/>
        <v>322</v>
      </c>
    </row>
    <row r="167" spans="2:84" ht="13.5" thickBot="1" x14ac:dyDescent="0.25">
      <c r="B167" s="15"/>
      <c r="C167" s="15"/>
      <c r="D167" s="15" t="s">
        <v>125</v>
      </c>
      <c r="E167" s="32">
        <f>SUM('ADVANCE:ELECTION DAY'!E164)</f>
        <v>9</v>
      </c>
      <c r="F167" s="32">
        <f>SUM('ADVANCE:ELECTION DAY'!F164)</f>
        <v>20</v>
      </c>
      <c r="G167" s="32">
        <f>SUM('ADVANCE:ELECTION DAY'!G164)</f>
        <v>25</v>
      </c>
      <c r="H167" s="32">
        <f>SUM('ADVANCE:ELECTION DAY'!H164)</f>
        <v>17</v>
      </c>
      <c r="I167" s="32">
        <f>SUM('ADVANCE:ELECTION DAY'!I164)</f>
        <v>13</v>
      </c>
      <c r="J167" s="32">
        <f>SUM('ADVANCE:ELECTION DAY'!J164)</f>
        <v>40</v>
      </c>
      <c r="K167" s="32">
        <f>SUM('ADVANCE:ELECTION DAY'!K164)</f>
        <v>101</v>
      </c>
      <c r="L167" s="32">
        <f>SUM('ADVANCE:ELECTION DAY'!L164)</f>
        <v>58</v>
      </c>
      <c r="M167" s="32">
        <f>SUM('ADVANCE:ELECTION DAY'!M164)</f>
        <v>1</v>
      </c>
      <c r="N167" s="32">
        <f>SUM('ADVANCE:ELECTION DAY'!N164)</f>
        <v>13</v>
      </c>
      <c r="O167" s="15"/>
      <c r="P167" s="15" t="s">
        <v>125</v>
      </c>
      <c r="Q167" s="32">
        <f>SUM('ADVANCE:ELECTION DAY'!Q164)</f>
        <v>9</v>
      </c>
      <c r="R167" s="32">
        <f>SUM('ADVANCE:ELECTION DAY'!R164)</f>
        <v>5</v>
      </c>
      <c r="S167" s="32">
        <f>SUM('ADVANCE:ELECTION DAY'!S164)</f>
        <v>19</v>
      </c>
      <c r="T167" s="32">
        <f>SUM('ADVANCE:ELECTION DAY'!T164)</f>
        <v>15</v>
      </c>
      <c r="U167" s="32">
        <f>SUM('ADVANCE:ELECTION DAY'!U164)</f>
        <v>10</v>
      </c>
      <c r="V167" s="32">
        <f>SUM('ADVANCE:ELECTION DAY'!V164)</f>
        <v>2</v>
      </c>
      <c r="W167" s="32">
        <f>SUM('ADVANCE:ELECTION DAY'!W164)</f>
        <v>26</v>
      </c>
      <c r="X167" s="32">
        <f>SUM('ADVANCE:ELECTION DAY'!X164)</f>
        <v>35</v>
      </c>
      <c r="Y167" s="16">
        <f t="shared" si="9"/>
        <v>418</v>
      </c>
    </row>
    <row r="168" spans="2:84" ht="13.5" thickBot="1" x14ac:dyDescent="0.25">
      <c r="B168" s="15"/>
      <c r="C168" s="15"/>
      <c r="D168" s="15"/>
      <c r="E168" s="32">
        <f>SUM('ADVANCE:ELECTION DAY'!E165)</f>
        <v>4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32">
        <f>SUM('ADVANCE:ELECTION DAY'!Q165)</f>
        <v>4</v>
      </c>
      <c r="R168" s="15"/>
      <c r="S168" s="15"/>
      <c r="T168" s="15"/>
      <c r="U168" s="15"/>
      <c r="V168" s="15"/>
      <c r="W168" s="15"/>
      <c r="X168" s="15"/>
      <c r="Y168" s="16"/>
    </row>
    <row r="169" spans="2:84" ht="13.5" thickBot="1" x14ac:dyDescent="0.25">
      <c r="B169" s="15"/>
      <c r="C169" s="56" t="s">
        <v>129</v>
      </c>
      <c r="D169" s="56" t="s">
        <v>124</v>
      </c>
      <c r="E169" s="59">
        <f>SUM('ADVANCE:ELECTION DAY'!E166)</f>
        <v>7</v>
      </c>
      <c r="F169" s="59">
        <f>SUM('ADVANCE:ELECTION DAY'!F166)</f>
        <v>9</v>
      </c>
      <c r="G169" s="59">
        <f>SUM('ADVANCE:ELECTION DAY'!G166)</f>
        <v>7</v>
      </c>
      <c r="H169" s="59">
        <f>SUM('ADVANCE:ELECTION DAY'!H166)</f>
        <v>7</v>
      </c>
      <c r="I169" s="59">
        <f>SUM('ADVANCE:ELECTION DAY'!I166)</f>
        <v>6</v>
      </c>
      <c r="J169" s="59">
        <f>SUM('ADVANCE:ELECTION DAY'!J166)</f>
        <v>16</v>
      </c>
      <c r="K169" s="59">
        <f>SUM('ADVANCE:ELECTION DAY'!K166)</f>
        <v>113</v>
      </c>
      <c r="L169" s="59">
        <f>SUM('ADVANCE:ELECTION DAY'!L166)</f>
        <v>32</v>
      </c>
      <c r="M169" s="59">
        <f>SUM('ADVANCE:ELECTION DAY'!M166)</f>
        <v>3</v>
      </c>
      <c r="N169" s="59">
        <f>SUM('ADVANCE:ELECTION DAY'!N166)</f>
        <v>10</v>
      </c>
      <c r="O169" s="56" t="s">
        <v>129</v>
      </c>
      <c r="P169" s="56" t="s">
        <v>124</v>
      </c>
      <c r="Q169" s="59">
        <f>SUM('ADVANCE:ELECTION DAY'!Q166)</f>
        <v>15</v>
      </c>
      <c r="R169" s="59">
        <f>SUM('ADVANCE:ELECTION DAY'!R166)</f>
        <v>1</v>
      </c>
      <c r="S169" s="59">
        <f>SUM('ADVANCE:ELECTION DAY'!S166)</f>
        <v>21</v>
      </c>
      <c r="T169" s="59">
        <f>SUM('ADVANCE:ELECTION DAY'!T166)</f>
        <v>9</v>
      </c>
      <c r="U169" s="59">
        <f>SUM('ADVANCE:ELECTION DAY'!U166)</f>
        <v>8</v>
      </c>
      <c r="V169" s="59">
        <f>SUM('ADVANCE:ELECTION DAY'!V166)</f>
        <v>2</v>
      </c>
      <c r="W169" s="59">
        <f>SUM('ADVANCE:ELECTION DAY'!W166)</f>
        <v>24</v>
      </c>
      <c r="X169" s="59">
        <f>SUM('ADVANCE:ELECTION DAY'!X166)</f>
        <v>32</v>
      </c>
      <c r="Y169" s="16">
        <f t="shared" si="9"/>
        <v>322</v>
      </c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</row>
    <row r="170" spans="2:84" ht="13.5" thickBot="1" x14ac:dyDescent="0.25">
      <c r="B170" s="15"/>
      <c r="C170" s="15"/>
      <c r="D170" s="15" t="s">
        <v>125</v>
      </c>
      <c r="E170" s="32">
        <f>SUM('ADVANCE:ELECTION DAY'!E167)</f>
        <v>9</v>
      </c>
      <c r="F170" s="32">
        <f>SUM('ADVANCE:ELECTION DAY'!F167)</f>
        <v>22</v>
      </c>
      <c r="G170" s="32">
        <f>SUM('ADVANCE:ELECTION DAY'!G167)</f>
        <v>26</v>
      </c>
      <c r="H170" s="32">
        <f>SUM('ADVANCE:ELECTION DAY'!H167)</f>
        <v>17</v>
      </c>
      <c r="I170" s="32">
        <f>SUM('ADVANCE:ELECTION DAY'!I167)</f>
        <v>12</v>
      </c>
      <c r="J170" s="32">
        <f>SUM('ADVANCE:ELECTION DAY'!J167)</f>
        <v>39</v>
      </c>
      <c r="K170" s="32">
        <f>SUM('ADVANCE:ELECTION DAY'!K167)</f>
        <v>101</v>
      </c>
      <c r="L170" s="32">
        <f>SUM('ADVANCE:ELECTION DAY'!L167)</f>
        <v>61</v>
      </c>
      <c r="M170" s="32">
        <f>SUM('ADVANCE:ELECTION DAY'!M167)</f>
        <v>0</v>
      </c>
      <c r="N170" s="32">
        <f>SUM('ADVANCE:ELECTION DAY'!N167)</f>
        <v>14</v>
      </c>
      <c r="O170" s="15"/>
      <c r="P170" s="15" t="s">
        <v>125</v>
      </c>
      <c r="Q170" s="32">
        <f>SUM('ADVANCE:ELECTION DAY'!Q167)</f>
        <v>9</v>
      </c>
      <c r="R170" s="32">
        <f>SUM('ADVANCE:ELECTION DAY'!R167)</f>
        <v>5</v>
      </c>
      <c r="S170" s="32">
        <f>SUM('ADVANCE:ELECTION DAY'!S167)</f>
        <v>17</v>
      </c>
      <c r="T170" s="32">
        <f>SUM('ADVANCE:ELECTION DAY'!T167)</f>
        <v>15</v>
      </c>
      <c r="U170" s="32">
        <f>SUM('ADVANCE:ELECTION DAY'!U167)</f>
        <v>9</v>
      </c>
      <c r="V170" s="32">
        <f>SUM('ADVANCE:ELECTION DAY'!V167)</f>
        <v>2</v>
      </c>
      <c r="W170" s="32">
        <f>SUM('ADVANCE:ELECTION DAY'!W167)</f>
        <v>25</v>
      </c>
      <c r="X170" s="32">
        <f>SUM('ADVANCE:ELECTION DAY'!X167)</f>
        <v>39</v>
      </c>
      <c r="Y170" s="16">
        <f t="shared" si="9"/>
        <v>422</v>
      </c>
    </row>
    <row r="171" spans="2:84" ht="13.5" thickBot="1" x14ac:dyDescent="0.25">
      <c r="B171" s="15"/>
      <c r="C171" s="15"/>
      <c r="D171" s="15"/>
      <c r="E171" s="32">
        <f>SUM('ADVANCE:ELECTION DAY'!E168)</f>
        <v>4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32">
        <f>SUM('ADVANCE:ELECTION DAY'!Q168)</f>
        <v>4</v>
      </c>
      <c r="R171" s="15"/>
      <c r="S171" s="15"/>
      <c r="T171" s="15"/>
      <c r="U171" s="15"/>
      <c r="V171" s="15"/>
      <c r="W171" s="15"/>
      <c r="X171" s="15"/>
      <c r="Y171" s="16"/>
    </row>
    <row r="172" spans="2:84" ht="13.5" thickBot="1" x14ac:dyDescent="0.25">
      <c r="B172" s="15"/>
      <c r="C172" s="56" t="s">
        <v>130</v>
      </c>
      <c r="D172" s="56" t="s">
        <v>124</v>
      </c>
      <c r="E172" s="59">
        <f>SUM('ADVANCE:ELECTION DAY'!E169)</f>
        <v>7</v>
      </c>
      <c r="F172" s="59">
        <f>SUM('ADVANCE:ELECTION DAY'!F169)</f>
        <v>12</v>
      </c>
      <c r="G172" s="59">
        <f>SUM('ADVANCE:ELECTION DAY'!G169)</f>
        <v>8</v>
      </c>
      <c r="H172" s="59">
        <f>SUM('ADVANCE:ELECTION DAY'!H169)</f>
        <v>8</v>
      </c>
      <c r="I172" s="59">
        <f>SUM('ADVANCE:ELECTION DAY'!I169)</f>
        <v>6</v>
      </c>
      <c r="J172" s="59">
        <f>SUM('ADVANCE:ELECTION DAY'!J169)</f>
        <v>18</v>
      </c>
      <c r="K172" s="59">
        <f>SUM('ADVANCE:ELECTION DAY'!K169)</f>
        <v>119</v>
      </c>
      <c r="L172" s="59">
        <f>SUM('ADVANCE:ELECTION DAY'!L169)</f>
        <v>36</v>
      </c>
      <c r="M172" s="59">
        <f>SUM('ADVANCE:ELECTION DAY'!M169)</f>
        <v>3</v>
      </c>
      <c r="N172" s="59">
        <f>SUM('ADVANCE:ELECTION DAY'!N169)</f>
        <v>11</v>
      </c>
      <c r="O172" s="56" t="s">
        <v>130</v>
      </c>
      <c r="P172" s="56" t="s">
        <v>124</v>
      </c>
      <c r="Q172" s="59">
        <f>SUM('ADVANCE:ELECTION DAY'!Q169)</f>
        <v>15</v>
      </c>
      <c r="R172" s="59">
        <f>SUM('ADVANCE:ELECTION DAY'!R169)</f>
        <v>1</v>
      </c>
      <c r="S172" s="59">
        <f>SUM('ADVANCE:ELECTION DAY'!S169)</f>
        <v>23</v>
      </c>
      <c r="T172" s="59">
        <f>SUM('ADVANCE:ELECTION DAY'!T169)</f>
        <v>9</v>
      </c>
      <c r="U172" s="59">
        <f>SUM('ADVANCE:ELECTION DAY'!U169)</f>
        <v>7</v>
      </c>
      <c r="V172" s="59">
        <f>SUM('ADVANCE:ELECTION DAY'!V169)</f>
        <v>2</v>
      </c>
      <c r="W172" s="59">
        <f>SUM('ADVANCE:ELECTION DAY'!W169)</f>
        <v>26</v>
      </c>
      <c r="X172" s="59">
        <f>SUM('ADVANCE:ELECTION DAY'!X169)</f>
        <v>35</v>
      </c>
      <c r="Y172" s="16">
        <f t="shared" si="9"/>
        <v>346</v>
      </c>
    </row>
    <row r="173" spans="2:84" ht="13.5" thickBot="1" x14ac:dyDescent="0.25">
      <c r="B173" s="15"/>
      <c r="C173" s="15"/>
      <c r="D173" s="15" t="s">
        <v>125</v>
      </c>
      <c r="E173" s="32">
        <f>SUM('ADVANCE:ELECTION DAY'!E170)</f>
        <v>10</v>
      </c>
      <c r="F173" s="32">
        <f>SUM('ADVANCE:ELECTION DAY'!F170)</f>
        <v>21</v>
      </c>
      <c r="G173" s="32">
        <f>SUM('ADVANCE:ELECTION DAY'!G170)</f>
        <v>25</v>
      </c>
      <c r="H173" s="32">
        <f>SUM('ADVANCE:ELECTION DAY'!H170)</f>
        <v>18</v>
      </c>
      <c r="I173" s="32">
        <f>SUM('ADVANCE:ELECTION DAY'!I170)</f>
        <v>11</v>
      </c>
      <c r="J173" s="32">
        <f>SUM('ADVANCE:ELECTION DAY'!J170)</f>
        <v>40</v>
      </c>
      <c r="K173" s="32">
        <f>SUM('ADVANCE:ELECTION DAY'!K170)</f>
        <v>101</v>
      </c>
      <c r="L173" s="32">
        <f>SUM('ADVANCE:ELECTION DAY'!L170)</f>
        <v>58</v>
      </c>
      <c r="M173" s="32">
        <f>SUM('ADVANCE:ELECTION DAY'!M170)</f>
        <v>1</v>
      </c>
      <c r="N173" s="32">
        <f>SUM('ADVANCE:ELECTION DAY'!N170)</f>
        <v>15</v>
      </c>
      <c r="O173" s="15"/>
      <c r="P173" s="15" t="s">
        <v>125</v>
      </c>
      <c r="Q173" s="32">
        <f>SUM('ADVANCE:ELECTION DAY'!Q170)</f>
        <v>8</v>
      </c>
      <c r="R173" s="32">
        <f>SUM('ADVANCE:ELECTION DAY'!R170)</f>
        <v>7</v>
      </c>
      <c r="S173" s="32">
        <f>SUM('ADVANCE:ELECTION DAY'!S170)</f>
        <v>17</v>
      </c>
      <c r="T173" s="32">
        <f>SUM('ADVANCE:ELECTION DAY'!T170)</f>
        <v>13</v>
      </c>
      <c r="U173" s="32">
        <f>SUM('ADVANCE:ELECTION DAY'!U170)</f>
        <v>9</v>
      </c>
      <c r="V173" s="32">
        <f>SUM('ADVANCE:ELECTION DAY'!V170)</f>
        <v>2</v>
      </c>
      <c r="W173" s="32">
        <f>SUM('ADVANCE:ELECTION DAY'!W170)</f>
        <v>24</v>
      </c>
      <c r="X173" s="32">
        <f>SUM('ADVANCE:ELECTION DAY'!X170)</f>
        <v>36</v>
      </c>
      <c r="Y173" s="16">
        <f t="shared" si="9"/>
        <v>416</v>
      </c>
    </row>
    <row r="174" spans="2:84" x14ac:dyDescent="0.2"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</sheetData>
  <pageMargins left="0.5" right="0" top="0.75" bottom="0.75" header="0.3" footer="0.3"/>
  <pageSetup paperSize="5" scale="64" orientation="landscape" r:id="rId1"/>
  <rowBreaks count="4" manualBreakCount="4">
    <brk id="29" max="16383" man="1"/>
    <brk id="56" max="16383" man="1"/>
    <brk id="96" max="16383" man="1"/>
    <brk id="1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BB8B-BA15-4710-9C4E-9BCDCB7FC114}">
  <sheetPr>
    <pageSetUpPr fitToPage="1"/>
  </sheetPr>
  <dimension ref="A1:CF239"/>
  <sheetViews>
    <sheetView tabSelected="1" view="pageBreakPreview" topLeftCell="B205" zoomScale="90" zoomScaleNormal="80" zoomScaleSheetLayoutView="90" workbookViewId="0">
      <selection activeCell="L209" sqref="L209"/>
    </sheetView>
  </sheetViews>
  <sheetFormatPr defaultRowHeight="12.75" x14ac:dyDescent="0.2"/>
  <cols>
    <col min="1" max="1" width="3.28515625" hidden="1" customWidth="1"/>
    <col min="2" max="2" width="10.85546875" customWidth="1"/>
    <col min="3" max="3" width="23.28515625" customWidth="1"/>
    <col min="4" max="4" width="6.28515625" customWidth="1"/>
    <col min="5" max="5" width="8.140625" customWidth="1"/>
    <col min="6" max="6" width="8.28515625" customWidth="1"/>
    <col min="7" max="7" width="7.7109375" customWidth="1"/>
    <col min="8" max="9" width="7.5703125" customWidth="1"/>
    <col min="10" max="10" width="8.140625" customWidth="1"/>
    <col min="11" max="11" width="8.28515625" customWidth="1"/>
    <col min="12" max="12" width="7.42578125" customWidth="1"/>
    <col min="13" max="13" width="7.85546875" customWidth="1"/>
    <col min="14" max="14" width="7.5703125" customWidth="1"/>
    <col min="15" max="15" width="21.42578125" customWidth="1"/>
    <col min="16" max="16" width="6.140625" style="37" customWidth="1"/>
    <col min="17" max="17" width="6.85546875" customWidth="1"/>
    <col min="18" max="18" width="8.140625" customWidth="1"/>
    <col min="19" max="19" width="7.85546875" style="37" customWidth="1"/>
    <col min="20" max="21" width="7.85546875" customWidth="1"/>
    <col min="22" max="22" width="7" customWidth="1"/>
    <col min="23" max="23" width="7.7109375" customWidth="1"/>
    <col min="24" max="24" width="8.28515625" customWidth="1"/>
    <col min="25" max="25" width="7.28515625" customWidth="1"/>
    <col min="26" max="26" width="6.85546875" customWidth="1"/>
    <col min="27" max="27" width="7.28515625" customWidth="1"/>
  </cols>
  <sheetData>
    <row r="1" spans="2:29" ht="27" x14ac:dyDescent="0.35"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39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2:29" ht="27" x14ac:dyDescent="0.35"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 t="s">
        <v>133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ht="45" x14ac:dyDescent="0.25">
      <c r="B3" s="70" t="s">
        <v>100</v>
      </c>
      <c r="C3" s="51">
        <v>1317</v>
      </c>
      <c r="D3" s="3"/>
      <c r="E3" s="4"/>
      <c r="F3" s="4"/>
      <c r="G3" s="4"/>
      <c r="H3" s="4"/>
      <c r="I3" s="4"/>
      <c r="J3" s="4"/>
      <c r="K3" s="4"/>
      <c r="L3" s="4"/>
      <c r="M3" s="4"/>
      <c r="N3" s="3"/>
      <c r="O3" s="51"/>
      <c r="P3" s="4"/>
      <c r="Q3" s="4"/>
      <c r="R3" s="36"/>
      <c r="S3" s="4"/>
      <c r="T3" s="4"/>
      <c r="U3" s="4"/>
      <c r="V3" s="4"/>
      <c r="W3" s="4"/>
      <c r="X3" s="4"/>
      <c r="Y3" s="4"/>
      <c r="Z3" s="4"/>
      <c r="AA3" s="5"/>
      <c r="AB3" s="5"/>
      <c r="AC3" s="5"/>
    </row>
    <row r="4" spans="2:29" ht="26.25" x14ac:dyDescent="0.25">
      <c r="B4" s="71" t="s">
        <v>99</v>
      </c>
      <c r="C4" s="4">
        <v>1808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6"/>
      <c r="Q4" s="4"/>
      <c r="R4" s="4"/>
      <c r="S4" s="36"/>
      <c r="T4" s="4"/>
      <c r="U4" s="4"/>
      <c r="V4" s="4"/>
      <c r="W4" s="4"/>
      <c r="X4" s="4"/>
      <c r="Y4" s="4"/>
      <c r="Z4" s="4"/>
      <c r="AA4" s="5"/>
      <c r="AB4" s="5"/>
      <c r="AC4" s="5"/>
    </row>
    <row r="5" spans="2:29" ht="16.5" thickBot="1" x14ac:dyDescent="0.3">
      <c r="B5" s="4" t="s">
        <v>96</v>
      </c>
      <c r="C5" s="50">
        <v>0.73</v>
      </c>
      <c r="D5" s="4"/>
      <c r="E5" s="4"/>
      <c r="F5" s="4"/>
      <c r="N5" s="4"/>
      <c r="O5" s="50"/>
      <c r="AA5" s="5"/>
      <c r="AB5" s="5"/>
      <c r="AC5" s="5"/>
    </row>
    <row r="6" spans="2:29" ht="101.25" thickBot="1" x14ac:dyDescent="0.25">
      <c r="B6" s="63" t="s">
        <v>0</v>
      </c>
      <c r="C6" s="63" t="s">
        <v>1</v>
      </c>
      <c r="D6" s="8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41</v>
      </c>
      <c r="K6" s="9" t="s">
        <v>42</v>
      </c>
      <c r="L6" s="9" t="s">
        <v>43</v>
      </c>
      <c r="M6" s="31" t="s">
        <v>44</v>
      </c>
      <c r="N6" s="9" t="s">
        <v>45</v>
      </c>
      <c r="O6" s="64" t="s">
        <v>1</v>
      </c>
      <c r="P6" s="67" t="s">
        <v>2</v>
      </c>
      <c r="Q6" s="9" t="s">
        <v>46</v>
      </c>
      <c r="R6" s="9" t="s">
        <v>8</v>
      </c>
      <c r="S6" s="9" t="s">
        <v>9</v>
      </c>
      <c r="T6" s="9" t="s">
        <v>10</v>
      </c>
      <c r="U6" s="9" t="s">
        <v>47</v>
      </c>
      <c r="V6" s="9" t="s">
        <v>11</v>
      </c>
      <c r="W6" s="9" t="s">
        <v>12</v>
      </c>
      <c r="X6" s="9" t="s">
        <v>13</v>
      </c>
      <c r="Y6" s="9" t="s">
        <v>14</v>
      </c>
      <c r="Z6" s="9" t="s">
        <v>149</v>
      </c>
      <c r="AA6" s="9" t="s">
        <v>14</v>
      </c>
    </row>
    <row r="7" spans="2:29" ht="13.5" thickBot="1" x14ac:dyDescent="0.25">
      <c r="B7" s="10" t="s">
        <v>102</v>
      </c>
      <c r="C7" s="11"/>
      <c r="D7" s="11"/>
      <c r="E7" s="12"/>
      <c r="F7" s="12"/>
      <c r="G7" s="11"/>
      <c r="H7" s="11"/>
      <c r="I7" s="11"/>
      <c r="J7" s="11"/>
      <c r="K7" s="11"/>
      <c r="L7" s="11"/>
      <c r="M7" s="11"/>
      <c r="N7" s="52"/>
      <c r="O7" s="66" t="s">
        <v>102</v>
      </c>
      <c r="P7" s="43"/>
      <c r="Q7" s="43"/>
      <c r="R7" s="11"/>
      <c r="S7" s="12"/>
      <c r="T7" s="11"/>
      <c r="U7" s="11"/>
      <c r="V7" s="11"/>
      <c r="W7" s="11"/>
      <c r="X7" s="11"/>
      <c r="Y7" s="52"/>
      <c r="Z7" s="52"/>
      <c r="AA7" s="52"/>
    </row>
    <row r="8" spans="2:29" ht="13.5" thickBot="1" x14ac:dyDescent="0.25">
      <c r="B8" s="8"/>
      <c r="C8" s="15" t="s">
        <v>103</v>
      </c>
      <c r="D8" s="49" t="s">
        <v>15</v>
      </c>
      <c r="E8" s="16">
        <f>SUM('ADVANCE &amp; ELECTION DAY TOTAL'!E5)</f>
        <v>20</v>
      </c>
      <c r="F8" s="16">
        <f>SUM('ADVANCE &amp; ELECTION DAY TOTAL'!F5)</f>
        <v>47</v>
      </c>
      <c r="G8" s="16">
        <f>SUM('ADVANCE &amp; ELECTION DAY TOTAL'!G5)</f>
        <v>37</v>
      </c>
      <c r="H8" s="16">
        <f>SUM('ADVANCE &amp; ELECTION DAY TOTAL'!H5)</f>
        <v>29</v>
      </c>
      <c r="I8" s="16">
        <f>SUM('ADVANCE &amp; ELECTION DAY TOTAL'!I5)</f>
        <v>22</v>
      </c>
      <c r="J8" s="16">
        <f>SUM('ADVANCE &amp; ELECTION DAY TOTAL'!J5)</f>
        <v>70</v>
      </c>
      <c r="K8" s="16">
        <v>318</v>
      </c>
      <c r="L8" s="16">
        <v>114</v>
      </c>
      <c r="M8" s="32">
        <f>SUM('ADVANCE &amp; ELECTION DAY TOTAL'!M5)</f>
        <v>6</v>
      </c>
      <c r="N8" s="16">
        <f>SUM('ADVANCE &amp; ELECTION DAY TOTAL'!N5)</f>
        <v>37</v>
      </c>
      <c r="O8" s="38" t="s">
        <v>103</v>
      </c>
      <c r="P8" s="68" t="s">
        <v>15</v>
      </c>
      <c r="Q8" s="16">
        <f>SUM('ADVANCE &amp; ELECTION DAY TOTAL'!Q5)</f>
        <v>29</v>
      </c>
      <c r="R8" s="16">
        <f>SUM('ADVANCE &amp; ELECTION DAY TOTAL'!R5)</f>
        <v>15</v>
      </c>
      <c r="S8" s="16">
        <f>SUM('ADVANCE &amp; ELECTION DAY TOTAL'!S5)</f>
        <v>62</v>
      </c>
      <c r="T8" s="16">
        <f>SUM('ADVANCE &amp; ELECTION DAY TOTAL'!T5)</f>
        <v>30</v>
      </c>
      <c r="U8" s="16">
        <f>SUM('ADVANCE &amp; ELECTION DAY TOTAL'!U5)</f>
        <v>12</v>
      </c>
      <c r="V8" s="16">
        <v>17</v>
      </c>
      <c r="W8" s="16">
        <f>SUM('ADVANCE &amp; ELECTION DAY TOTAL'!W5)</f>
        <v>76</v>
      </c>
      <c r="X8" s="16">
        <f>SUM('ADVANCE &amp; ELECTION DAY TOTAL'!X5)</f>
        <v>92</v>
      </c>
      <c r="Y8" s="16">
        <f>SUM(E8:X8)</f>
        <v>1033</v>
      </c>
      <c r="Z8" s="16">
        <v>22</v>
      </c>
      <c r="AA8" s="16">
        <f>SUM(Y8:Z8)</f>
        <v>1055</v>
      </c>
    </row>
    <row r="9" spans="2:29" ht="13.5" thickBot="1" x14ac:dyDescent="0.25">
      <c r="B9" s="8"/>
      <c r="C9" s="15" t="s">
        <v>104</v>
      </c>
      <c r="D9" s="49" t="s">
        <v>16</v>
      </c>
      <c r="E9" s="16">
        <f>SUM('ADVANCE &amp; ELECTION DAY TOTAL'!E6)</f>
        <v>0</v>
      </c>
      <c r="F9" s="16">
        <f>SUM('ADVANCE &amp; ELECTION DAY TOTAL'!F6)</f>
        <v>5</v>
      </c>
      <c r="G9" s="16">
        <f>SUM('ADVANCE &amp; ELECTION DAY TOTAL'!G6)</f>
        <v>5</v>
      </c>
      <c r="H9" s="16">
        <f>SUM('ADVANCE &amp; ELECTION DAY TOTAL'!H6)</f>
        <v>7</v>
      </c>
      <c r="I9" s="16">
        <f>SUM('ADVANCE &amp; ELECTION DAY TOTAL'!I6)</f>
        <v>8</v>
      </c>
      <c r="J9" s="16">
        <f>SUM('ADVANCE &amp; ELECTION DAY TOTAL'!J6)</f>
        <v>15</v>
      </c>
      <c r="K9" s="16">
        <v>84</v>
      </c>
      <c r="L9" s="16">
        <f>SUM('ADVANCE &amp; ELECTION DAY TOTAL'!L6)</f>
        <v>28</v>
      </c>
      <c r="M9" s="32">
        <f>SUM('ADVANCE &amp; ELECTION DAY TOTAL'!M6)</f>
        <v>0</v>
      </c>
      <c r="N9" s="16">
        <f>SUM('ADVANCE &amp; ELECTION DAY TOTAL'!N6)</f>
        <v>7</v>
      </c>
      <c r="O9" s="38" t="s">
        <v>104</v>
      </c>
      <c r="P9" s="68" t="s">
        <v>16</v>
      </c>
      <c r="Q9" s="16">
        <f>SUM('ADVANCE &amp; ELECTION DAY TOTAL'!Q6)</f>
        <v>3</v>
      </c>
      <c r="R9" s="16">
        <f>SUM('ADVANCE &amp; ELECTION DAY TOTAL'!R6)</f>
        <v>1</v>
      </c>
      <c r="S9" s="16">
        <f>SUM('ADVANCE &amp; ELECTION DAY TOTAL'!S6)</f>
        <v>8</v>
      </c>
      <c r="T9" s="16">
        <f>SUM('ADVANCE &amp; ELECTION DAY TOTAL'!T6)</f>
        <v>1</v>
      </c>
      <c r="U9" s="16">
        <f>SUM('ADVANCE &amp; ELECTION DAY TOTAL'!U6)</f>
        <v>9</v>
      </c>
      <c r="V9" s="16">
        <f>SUM('ADVANCE &amp; ELECTION DAY TOTAL'!V6)</f>
        <v>0</v>
      </c>
      <c r="W9" s="16">
        <f>SUM('ADVANCE &amp; ELECTION DAY TOTAL'!W6)</f>
        <v>9</v>
      </c>
      <c r="X9" s="16">
        <f>SUM('ADVANCE &amp; ELECTION DAY TOTAL'!X6)</f>
        <v>16</v>
      </c>
      <c r="Y9" s="16">
        <f t="shared" ref="Y9:Y25" si="0">SUM(E9:X9)</f>
        <v>206</v>
      </c>
      <c r="Z9" s="16">
        <v>4</v>
      </c>
      <c r="AA9" s="16">
        <f t="shared" ref="AA9:AA27" si="1">SUM(Y9:Z9)</f>
        <v>210</v>
      </c>
    </row>
    <row r="10" spans="2:29" ht="13.5" thickBot="1" x14ac:dyDescent="0.25">
      <c r="B10" s="8"/>
      <c r="C10" s="15" t="s">
        <v>105</v>
      </c>
      <c r="D10" s="49" t="s">
        <v>108</v>
      </c>
      <c r="E10" s="16">
        <f>SUM('ADVANCE &amp; ELECTION DAY TOTAL'!E7)</f>
        <v>0</v>
      </c>
      <c r="F10" s="16">
        <f>SUM('ADVANCE &amp; ELECTION DAY TOTAL'!F7)</f>
        <v>0</v>
      </c>
      <c r="G10" s="16">
        <f>SUM('ADVANCE &amp; ELECTION DAY TOTAL'!G7)</f>
        <v>1</v>
      </c>
      <c r="H10" s="16">
        <f>SUM('ADVANCE &amp; ELECTION DAY TOTAL'!H7)</f>
        <v>0</v>
      </c>
      <c r="I10" s="16">
        <f>SUM('ADVANCE &amp; ELECTION DAY TOTAL'!I7)</f>
        <v>0</v>
      </c>
      <c r="J10" s="16">
        <f>SUM('ADVANCE &amp; ELECTION DAY TOTAL'!J7)</f>
        <v>3</v>
      </c>
      <c r="K10" s="16">
        <v>12</v>
      </c>
      <c r="L10" s="16">
        <f>SUM('ADVANCE &amp; ELECTION DAY TOTAL'!L7)</f>
        <v>1</v>
      </c>
      <c r="M10" s="32">
        <f>SUM('ADVANCE &amp; ELECTION DAY TOTAL'!M7)</f>
        <v>0</v>
      </c>
      <c r="N10" s="16">
        <f>SUM('ADVANCE &amp; ELECTION DAY TOTAL'!N7)</f>
        <v>0</v>
      </c>
      <c r="O10" s="38" t="s">
        <v>105</v>
      </c>
      <c r="P10" s="68" t="s">
        <v>108</v>
      </c>
      <c r="Q10" s="16">
        <f>SUM('ADVANCE &amp; ELECTION DAY TOTAL'!Q7)</f>
        <v>0</v>
      </c>
      <c r="R10" s="16">
        <f>SUM('ADVANCE &amp; ELECTION DAY TOTAL'!R7)</f>
        <v>1</v>
      </c>
      <c r="S10" s="16">
        <f>SUM('ADVANCE &amp; ELECTION DAY TOTAL'!S7)</f>
        <v>0</v>
      </c>
      <c r="T10" s="16">
        <f>SUM('ADVANCE &amp; ELECTION DAY TOTAL'!T7)</f>
        <v>0</v>
      </c>
      <c r="U10" s="16">
        <f>SUM('ADVANCE &amp; ELECTION DAY TOTAL'!U7)</f>
        <v>0</v>
      </c>
      <c r="V10" s="16">
        <f>SUM('ADVANCE &amp; ELECTION DAY TOTAL'!V7)</f>
        <v>0</v>
      </c>
      <c r="W10" s="16">
        <f>SUM('ADVANCE &amp; ELECTION DAY TOTAL'!W7)</f>
        <v>1</v>
      </c>
      <c r="X10" s="16">
        <f>SUM('ADVANCE &amp; ELECTION DAY TOTAL'!X7)</f>
        <v>0</v>
      </c>
      <c r="Y10" s="16">
        <f t="shared" si="0"/>
        <v>19</v>
      </c>
      <c r="Z10" s="16">
        <v>1</v>
      </c>
      <c r="AA10" s="16">
        <f t="shared" si="1"/>
        <v>20</v>
      </c>
    </row>
    <row r="11" spans="2:29" ht="13.5" thickBot="1" x14ac:dyDescent="0.25">
      <c r="B11" s="8"/>
      <c r="C11" s="15" t="s">
        <v>106</v>
      </c>
      <c r="D11" s="49" t="s">
        <v>107</v>
      </c>
      <c r="E11" s="16">
        <f>SUM('ADVANCE &amp; ELECTION DAY TOTAL'!E8)</f>
        <v>0</v>
      </c>
      <c r="F11" s="16">
        <f>SUM('ADVANCE &amp; ELECTION DAY TOTAL'!F8)</f>
        <v>0</v>
      </c>
      <c r="G11" s="16">
        <f>SUM('ADVANCE &amp; ELECTION DAY TOTAL'!G8)</f>
        <v>0</v>
      </c>
      <c r="H11" s="16">
        <f>SUM('ADVANCE &amp; ELECTION DAY TOTAL'!H8)</f>
        <v>0</v>
      </c>
      <c r="I11" s="16">
        <f>SUM('ADVANCE &amp; ELECTION DAY TOTAL'!I8)</f>
        <v>0</v>
      </c>
      <c r="J11" s="16">
        <f>SUM('ADVANCE &amp; ELECTION DAY TOTAL'!J8)</f>
        <v>0</v>
      </c>
      <c r="K11" s="16">
        <f>SUM('ADVANCE &amp; ELECTION DAY TOTAL'!K8)</f>
        <v>1</v>
      </c>
      <c r="L11" s="16">
        <f>SUM('ADVANCE &amp; ELECTION DAY TOTAL'!L8)</f>
        <v>0</v>
      </c>
      <c r="M11" s="32">
        <f>SUM('ADVANCE &amp; ELECTION DAY TOTAL'!M8)</f>
        <v>0</v>
      </c>
      <c r="N11" s="16">
        <f>SUM('ADVANCE &amp; ELECTION DAY TOTAL'!N8)</f>
        <v>0</v>
      </c>
      <c r="O11" s="38" t="s">
        <v>106</v>
      </c>
      <c r="P11" s="68" t="s">
        <v>107</v>
      </c>
      <c r="Q11" s="16">
        <f>SUM('ADVANCE &amp; ELECTION DAY TOTAL'!Q8)</f>
        <v>0</v>
      </c>
      <c r="R11" s="16">
        <f>SUM('ADVANCE &amp; ELECTION DAY TOTAL'!R8)</f>
        <v>0</v>
      </c>
      <c r="S11" s="16">
        <f>SUM('ADVANCE &amp; ELECTION DAY TOTAL'!S8)</f>
        <v>0</v>
      </c>
      <c r="T11" s="16">
        <f>SUM('ADVANCE &amp; ELECTION DAY TOTAL'!T8)</f>
        <v>0</v>
      </c>
      <c r="U11" s="16">
        <f>SUM('ADVANCE &amp; ELECTION DAY TOTAL'!U8)</f>
        <v>0</v>
      </c>
      <c r="V11" s="16">
        <f>SUM('ADVANCE &amp; ELECTION DAY TOTAL'!V8)</f>
        <v>0</v>
      </c>
      <c r="W11" s="16">
        <f>SUM('ADVANCE &amp; ELECTION DAY TOTAL'!W8)</f>
        <v>0</v>
      </c>
      <c r="X11" s="16">
        <f>SUM('ADVANCE &amp; ELECTION DAY TOTAL'!X8)</f>
        <v>0</v>
      </c>
      <c r="Y11" s="16">
        <f t="shared" si="0"/>
        <v>1</v>
      </c>
      <c r="Z11" s="16">
        <v>1</v>
      </c>
      <c r="AA11" s="16">
        <f t="shared" si="1"/>
        <v>2</v>
      </c>
    </row>
    <row r="12" spans="2:29" ht="13.5" thickBot="1" x14ac:dyDescent="0.25">
      <c r="B12" s="10" t="s">
        <v>17</v>
      </c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11"/>
      <c r="N12" s="52"/>
      <c r="O12" s="66" t="s">
        <v>17</v>
      </c>
      <c r="P12" s="43"/>
      <c r="Q12" s="12"/>
      <c r="R12" s="11"/>
      <c r="S12" s="12"/>
      <c r="T12" s="11"/>
      <c r="U12" s="11"/>
      <c r="V12" s="11"/>
      <c r="W12" s="11"/>
      <c r="X12" s="11"/>
      <c r="Y12" s="52"/>
      <c r="Z12" s="52"/>
      <c r="AA12" s="52"/>
    </row>
    <row r="13" spans="2:29" ht="13.5" thickBot="1" x14ac:dyDescent="0.25">
      <c r="B13" s="40"/>
      <c r="C13" s="14" t="s">
        <v>48</v>
      </c>
      <c r="D13" s="15" t="s">
        <v>16</v>
      </c>
      <c r="E13" s="32">
        <f>SUM('ADVANCE &amp; ELECTION DAY TOTAL'!E10)</f>
        <v>0</v>
      </c>
      <c r="F13" s="16">
        <f>SUM('ADVANCE &amp; ELECTION DAY TOTAL'!F10)</f>
        <v>4</v>
      </c>
      <c r="G13" s="16">
        <f>SUM('ADVANCE &amp; ELECTION DAY TOTAL'!G10)</f>
        <v>4</v>
      </c>
      <c r="H13" s="16">
        <f>SUM('ADVANCE &amp; ELECTION DAY TOTAL'!H10)</f>
        <v>7</v>
      </c>
      <c r="I13" s="16">
        <f>SUM('ADVANCE &amp; ELECTION DAY TOTAL'!I10)</f>
        <v>6</v>
      </c>
      <c r="J13" s="16">
        <f>SUM('ADVANCE &amp; ELECTION DAY TOTAL'!J10)</f>
        <v>10</v>
      </c>
      <c r="K13" s="16">
        <v>71</v>
      </c>
      <c r="L13" s="16">
        <f>SUM('ADVANCE &amp; ELECTION DAY TOTAL'!L10)</f>
        <v>19</v>
      </c>
      <c r="M13" s="32">
        <f>SUM('ADVANCE &amp; ELECTION DAY TOTAL'!M10)</f>
        <v>0</v>
      </c>
      <c r="N13" s="16">
        <f>SUM('ADVANCE &amp; ELECTION DAY TOTAL'!N10)</f>
        <v>4</v>
      </c>
      <c r="O13" s="49" t="s">
        <v>48</v>
      </c>
      <c r="P13" s="65" t="s">
        <v>16</v>
      </c>
      <c r="Q13" s="16">
        <f>SUM('ADVANCE &amp; ELECTION DAY TOTAL'!Q10)</f>
        <v>0</v>
      </c>
      <c r="R13" s="16">
        <f>SUM('ADVANCE &amp; ELECTION DAY TOTAL'!R10)</f>
        <v>0</v>
      </c>
      <c r="S13" s="16">
        <f>SUM('ADVANCE &amp; ELECTION DAY TOTAL'!S10)</f>
        <v>6</v>
      </c>
      <c r="T13" s="16">
        <f>SUM('ADVANCE &amp; ELECTION DAY TOTAL'!T10)</f>
        <v>0</v>
      </c>
      <c r="U13" s="16">
        <f>SUM('ADVANCE &amp; ELECTION DAY TOTAL'!U10)</f>
        <v>8</v>
      </c>
      <c r="V13" s="16">
        <f>SUM('ADVANCE &amp; ELECTION DAY TOTAL'!V10)</f>
        <v>0</v>
      </c>
      <c r="W13" s="16">
        <f>SUM('ADVANCE &amp; ELECTION DAY TOTAL'!W10)</f>
        <v>6</v>
      </c>
      <c r="X13" s="16">
        <v>14</v>
      </c>
      <c r="Y13" s="16">
        <f t="shared" si="0"/>
        <v>159</v>
      </c>
      <c r="Z13" s="16">
        <v>1</v>
      </c>
      <c r="AA13" s="16">
        <f t="shared" si="1"/>
        <v>160</v>
      </c>
    </row>
    <row r="14" spans="2:29" ht="13.5" thickBot="1" x14ac:dyDescent="0.25">
      <c r="B14" s="40"/>
      <c r="C14" s="14" t="s">
        <v>49</v>
      </c>
      <c r="D14" s="15" t="s">
        <v>15</v>
      </c>
      <c r="E14" s="32">
        <f>SUM('ADVANCE &amp; ELECTION DAY TOTAL'!E11)</f>
        <v>20</v>
      </c>
      <c r="F14" s="16">
        <f>SUM('ADVANCE &amp; ELECTION DAY TOTAL'!F11)</f>
        <v>48</v>
      </c>
      <c r="G14" s="16">
        <f>SUM('ADVANCE &amp; ELECTION DAY TOTAL'!G11)</f>
        <v>39</v>
      </c>
      <c r="H14" s="16">
        <f>SUM('ADVANCE &amp; ELECTION DAY TOTAL'!H11)</f>
        <v>27</v>
      </c>
      <c r="I14" s="16">
        <f>SUM('ADVANCE &amp; ELECTION DAY TOTAL'!I11)</f>
        <v>24</v>
      </c>
      <c r="J14" s="16">
        <f>SUM('ADVANCE &amp; ELECTION DAY TOTAL'!J11)</f>
        <v>75</v>
      </c>
      <c r="K14" s="16">
        <v>330</v>
      </c>
      <c r="L14" s="16">
        <v>116</v>
      </c>
      <c r="M14" s="32">
        <f>SUM('ADVANCE &amp; ELECTION DAY TOTAL'!M11)</f>
        <v>6</v>
      </c>
      <c r="N14" s="16">
        <f>SUM('ADVANCE &amp; ELECTION DAY TOTAL'!N11)</f>
        <v>41</v>
      </c>
      <c r="O14" s="49" t="s">
        <v>49</v>
      </c>
      <c r="P14" s="65" t="s">
        <v>15</v>
      </c>
      <c r="Q14" s="16">
        <f>SUM('ADVANCE &amp; ELECTION DAY TOTAL'!Q11)</f>
        <v>32</v>
      </c>
      <c r="R14" s="16">
        <f>SUM('ADVANCE &amp; ELECTION DAY TOTAL'!R11)</f>
        <v>17</v>
      </c>
      <c r="S14" s="16">
        <f>SUM('ADVANCE &amp; ELECTION DAY TOTAL'!S11)</f>
        <v>63</v>
      </c>
      <c r="T14" s="16">
        <f>SUM('ADVANCE &amp; ELECTION DAY TOTAL'!T11)</f>
        <v>30</v>
      </c>
      <c r="U14" s="16">
        <f>SUM('ADVANCE &amp; ELECTION DAY TOTAL'!U11)</f>
        <v>13</v>
      </c>
      <c r="V14" s="16">
        <f>SUM('ADVANCE &amp; ELECTION DAY TOTAL'!V11)</f>
        <v>14</v>
      </c>
      <c r="W14" s="16">
        <f>SUM('ADVANCE &amp; ELECTION DAY TOTAL'!W11)</f>
        <v>79</v>
      </c>
      <c r="X14" s="16">
        <f>SUM('ADVANCE &amp; ELECTION DAY TOTAL'!X11)</f>
        <v>94</v>
      </c>
      <c r="Y14" s="16">
        <f t="shared" si="0"/>
        <v>1068</v>
      </c>
      <c r="Z14" s="16">
        <v>27</v>
      </c>
      <c r="AA14" s="16">
        <f t="shared" si="1"/>
        <v>1095</v>
      </c>
    </row>
    <row r="15" spans="2:29" ht="13.5" thickBot="1" x14ac:dyDescent="0.25">
      <c r="B15" s="14"/>
      <c r="C15" s="14"/>
      <c r="D15" s="15"/>
      <c r="E15" s="32">
        <f>SUM('ADVANCE &amp; ELECTION DAY TOTAL'!E12)</f>
        <v>0</v>
      </c>
      <c r="F15" s="16">
        <f>SUM('ADVANCE:ELECTION DAY'!F12)</f>
        <v>0</v>
      </c>
      <c r="G15" s="16">
        <f>SUM('ADVANCE:ELECTION DAY'!G12)</f>
        <v>0</v>
      </c>
      <c r="H15" s="16">
        <f>SUM('ADVANCE:ELECTION DAY'!H12)</f>
        <v>0</v>
      </c>
      <c r="I15" s="16">
        <f>SUM('ADVANCE:ELECTION DAY'!I12)</f>
        <v>0</v>
      </c>
      <c r="J15" s="16">
        <f>SUM('ADVANCE:ELECTION DAY'!J12)</f>
        <v>0</v>
      </c>
      <c r="K15" s="16">
        <f>SUM('ADVANCE:ELECTION DAY'!K12)</f>
        <v>0</v>
      </c>
      <c r="L15" s="16">
        <f>SUM('ADVANCE:ELECTION DAY'!L12)</f>
        <v>0</v>
      </c>
      <c r="M15" s="32">
        <f>SUM('ADVANCE:ELECTION DAY'!M12)</f>
        <v>0</v>
      </c>
      <c r="N15" s="16">
        <f>SUM('ADVANCE:ELECTION DAY'!N12)</f>
        <v>0</v>
      </c>
      <c r="O15" s="49"/>
      <c r="P15" s="69"/>
      <c r="Q15" s="16">
        <f>SUM('ADVANCE &amp; ELECTION DAY TOTAL'!Q12)</f>
        <v>0</v>
      </c>
      <c r="R15" s="16">
        <f>SUM('ADVANCE &amp; ELECTION DAY TOTAL'!R12)</f>
        <v>0</v>
      </c>
      <c r="S15" s="16">
        <f>SUM('ADVANCE &amp; ELECTION DAY TOTAL'!S12)</f>
        <v>0</v>
      </c>
      <c r="T15" s="16">
        <f>SUM('ADVANCE &amp; ELECTION DAY TOTAL'!T12)</f>
        <v>0</v>
      </c>
      <c r="U15" s="16">
        <f>SUM('ADVANCE &amp; ELECTION DAY TOTAL'!U12)</f>
        <v>0</v>
      </c>
      <c r="V15" s="16">
        <f>SUM('ADVANCE &amp; ELECTION DAY TOTAL'!V12)</f>
        <v>0</v>
      </c>
      <c r="W15" s="16">
        <f>SUM('ADVANCE &amp; ELECTION DAY TOTAL'!W12)</f>
        <v>0</v>
      </c>
      <c r="X15" s="16">
        <f>SUM('ADVANCE &amp; ELECTION DAY TOTAL'!X12)</f>
        <v>0</v>
      </c>
      <c r="Y15" s="16"/>
      <c r="Z15" s="16"/>
      <c r="AA15" s="16"/>
    </row>
    <row r="16" spans="2:29" ht="13.5" thickBot="1" x14ac:dyDescent="0.25">
      <c r="B16" s="17" t="s">
        <v>56</v>
      </c>
      <c r="C16" s="18"/>
      <c r="D16" s="18"/>
      <c r="E16" s="19"/>
      <c r="F16" s="11"/>
      <c r="G16" s="11"/>
      <c r="H16" s="11"/>
      <c r="I16" s="11"/>
      <c r="J16" s="11"/>
      <c r="K16" s="11"/>
      <c r="L16" s="11"/>
      <c r="M16" s="11"/>
      <c r="N16" s="52"/>
      <c r="O16" s="66" t="s">
        <v>56</v>
      </c>
      <c r="P16" s="18"/>
      <c r="Q16" s="19"/>
      <c r="R16" s="18"/>
      <c r="S16" s="19"/>
      <c r="T16" s="18"/>
      <c r="U16" s="18"/>
      <c r="V16" s="18"/>
      <c r="W16" s="18"/>
      <c r="X16" s="18"/>
      <c r="Y16" s="52"/>
      <c r="Z16" s="52"/>
      <c r="AA16" s="52"/>
    </row>
    <row r="17" spans="2:27" ht="13.5" thickBot="1" x14ac:dyDescent="0.25">
      <c r="B17" s="40"/>
      <c r="C17" s="15" t="s">
        <v>55</v>
      </c>
      <c r="D17" s="15" t="s">
        <v>15</v>
      </c>
      <c r="E17" s="32">
        <f>SUM('ADVANCE &amp; ELECTION DAY TOTAL'!E14)</f>
        <v>20</v>
      </c>
      <c r="F17" s="16">
        <f>SUM('ADVANCE &amp; ELECTION DAY TOTAL'!F14)</f>
        <v>48</v>
      </c>
      <c r="G17" s="16">
        <f>SUM('ADVANCE &amp; ELECTION DAY TOTAL'!G14)</f>
        <v>41</v>
      </c>
      <c r="H17" s="16">
        <f>SUM('ADVANCE &amp; ELECTION DAY TOTAL'!H14)</f>
        <v>31</v>
      </c>
      <c r="I17" s="16">
        <f>SUM('ADVANCE &amp; ELECTION DAY TOTAL'!I14)</f>
        <v>28</v>
      </c>
      <c r="J17" s="16">
        <f>SUM('ADVANCE &amp; ELECTION DAY TOTAL'!J14)</f>
        <v>72</v>
      </c>
      <c r="K17" s="16">
        <v>351</v>
      </c>
      <c r="L17" s="16">
        <v>118</v>
      </c>
      <c r="M17" s="32">
        <f>SUM('ADVANCE &amp; ELECTION DAY TOTAL'!M14)</f>
        <v>5</v>
      </c>
      <c r="N17" s="16">
        <f>SUM('ADVANCE &amp; ELECTION DAY TOTAL'!N14)</f>
        <v>44</v>
      </c>
      <c r="O17" s="38" t="s">
        <v>55</v>
      </c>
      <c r="P17" s="69"/>
      <c r="Q17" s="16">
        <f>SUM('ADVANCE &amp; ELECTION DAY TOTAL'!Q14)</f>
        <v>32</v>
      </c>
      <c r="R17" s="16">
        <f>SUM('ADVANCE &amp; ELECTION DAY TOTAL'!R14)</f>
        <v>16</v>
      </c>
      <c r="S17" s="16">
        <v>67</v>
      </c>
      <c r="T17" s="16">
        <f>SUM('ADVANCE &amp; ELECTION DAY TOTAL'!T14)</f>
        <v>31</v>
      </c>
      <c r="U17" s="16">
        <f>SUM('ADVANCE &amp; ELECTION DAY TOTAL'!U14)</f>
        <v>18</v>
      </c>
      <c r="V17" s="16">
        <f>SUM('ADVANCE &amp; ELECTION DAY TOTAL'!V14)</f>
        <v>15</v>
      </c>
      <c r="W17" s="16">
        <f>SUM('ADVANCE &amp; ELECTION DAY TOTAL'!W14)</f>
        <v>76</v>
      </c>
      <c r="X17" s="16">
        <v>99</v>
      </c>
      <c r="Y17" s="16">
        <f t="shared" si="0"/>
        <v>1112</v>
      </c>
      <c r="Z17" s="16">
        <v>24</v>
      </c>
      <c r="AA17" s="16">
        <f t="shared" si="1"/>
        <v>1136</v>
      </c>
    </row>
    <row r="18" spans="2:27" ht="13.5" thickBot="1" x14ac:dyDescent="0.25">
      <c r="B18" s="17" t="s">
        <v>57</v>
      </c>
      <c r="C18" s="18"/>
      <c r="D18" s="18"/>
      <c r="E18" s="19"/>
      <c r="F18" s="11"/>
      <c r="G18" s="11"/>
      <c r="H18" s="11"/>
      <c r="I18" s="11"/>
      <c r="J18" s="11"/>
      <c r="K18" s="11"/>
      <c r="L18" s="11"/>
      <c r="M18" s="11"/>
      <c r="N18" s="52"/>
      <c r="O18" s="66" t="s">
        <v>57</v>
      </c>
      <c r="P18" s="18"/>
      <c r="Q18" s="19"/>
      <c r="R18" s="18"/>
      <c r="S18" s="19"/>
      <c r="T18" s="18"/>
      <c r="U18" s="18"/>
      <c r="V18" s="18"/>
      <c r="W18" s="18"/>
      <c r="X18" s="18"/>
      <c r="Y18" s="52"/>
      <c r="Z18" s="52"/>
      <c r="AA18" s="52"/>
    </row>
    <row r="19" spans="2:27" ht="13.5" thickBot="1" x14ac:dyDescent="0.25">
      <c r="B19" s="40"/>
      <c r="C19" s="15" t="s">
        <v>58</v>
      </c>
      <c r="D19" s="15" t="s">
        <v>16</v>
      </c>
      <c r="E19" s="32">
        <f>SUM('ADVANCE &amp; ELECTION DAY TOTAL'!E16)</f>
        <v>0</v>
      </c>
      <c r="F19" s="16">
        <f>SUM('ADVANCE &amp; ELECTION DAY TOTAL'!F16)</f>
        <v>7</v>
      </c>
      <c r="G19" s="16">
        <f>SUM('ADVANCE &amp; ELECTION DAY TOTAL'!G16)</f>
        <v>5</v>
      </c>
      <c r="H19" s="16">
        <f>SUM('ADVANCE &amp; ELECTION DAY TOTAL'!H16)</f>
        <v>6</v>
      </c>
      <c r="I19" s="16">
        <f>SUM('ADVANCE &amp; ELECTION DAY TOTAL'!I16)</f>
        <v>7</v>
      </c>
      <c r="J19" s="16">
        <f>SUM('ADVANCE &amp; ELECTION DAY TOTAL'!J16)</f>
        <v>16</v>
      </c>
      <c r="K19" s="16">
        <v>72</v>
      </c>
      <c r="L19" s="16">
        <f>SUM('ADVANCE &amp; ELECTION DAY TOTAL'!L16)</f>
        <v>24</v>
      </c>
      <c r="M19" s="32">
        <f>SUM('ADVANCE &amp; ELECTION DAY TOTAL'!M16)</f>
        <v>0</v>
      </c>
      <c r="N19" s="16">
        <f>SUM('ADVANCE &amp; ELECTION DAY TOTAL'!N16)</f>
        <v>5</v>
      </c>
      <c r="O19" s="38" t="s">
        <v>58</v>
      </c>
      <c r="P19" s="65" t="s">
        <v>16</v>
      </c>
      <c r="Q19" s="16">
        <f>SUM('ADVANCE &amp; ELECTION DAY TOTAL'!Q16)</f>
        <v>1</v>
      </c>
      <c r="R19" s="16">
        <f>SUM('ADVANCE &amp; ELECTION DAY TOTAL'!R16)</f>
        <v>2</v>
      </c>
      <c r="S19" s="16">
        <f>SUM('ADVANCE &amp; ELECTION DAY TOTAL'!S16)</f>
        <v>9</v>
      </c>
      <c r="T19" s="16">
        <f>SUM('ADVANCE &amp; ELECTION DAY TOTAL'!T16)</f>
        <v>0</v>
      </c>
      <c r="U19" s="16">
        <f>SUM('ADVANCE &amp; ELECTION DAY TOTAL'!U16)</f>
        <v>9</v>
      </c>
      <c r="V19" s="16">
        <f>SUM('ADVANCE &amp; ELECTION DAY TOTAL'!V16)</f>
        <v>1</v>
      </c>
      <c r="W19" s="16">
        <f>SUM('ADVANCE &amp; ELECTION DAY TOTAL'!W16)</f>
        <v>8</v>
      </c>
      <c r="X19" s="16">
        <f>SUM('ADVANCE &amp; ELECTION DAY TOTAL'!X16)</f>
        <v>13</v>
      </c>
      <c r="Y19" s="16">
        <f t="shared" si="0"/>
        <v>185</v>
      </c>
      <c r="Z19" s="16">
        <v>3</v>
      </c>
      <c r="AA19" s="16">
        <f t="shared" si="1"/>
        <v>188</v>
      </c>
    </row>
    <row r="20" spans="2:27" ht="13.5" thickBot="1" x14ac:dyDescent="0.25">
      <c r="B20" s="40"/>
      <c r="C20" s="15" t="s">
        <v>40</v>
      </c>
      <c r="D20" s="15" t="s">
        <v>15</v>
      </c>
      <c r="E20" s="32">
        <f>SUM('ADVANCE &amp; ELECTION DAY TOTAL'!E17)</f>
        <v>20</v>
      </c>
      <c r="F20" s="16">
        <f>SUM('ADVANCE &amp; ELECTION DAY TOTAL'!F17)</f>
        <v>38</v>
      </c>
      <c r="G20" s="16">
        <f>SUM('ADVANCE &amp; ELECTION DAY TOTAL'!G17)</f>
        <v>39</v>
      </c>
      <c r="H20" s="16">
        <f>SUM('ADVANCE &amp; ELECTION DAY TOTAL'!H17)</f>
        <v>28</v>
      </c>
      <c r="I20" s="16">
        <f>SUM('ADVANCE &amp; ELECTION DAY TOTAL'!I17)</f>
        <v>23</v>
      </c>
      <c r="J20" s="16">
        <f>SUM('ADVANCE &amp; ELECTION DAY TOTAL'!J17)</f>
        <v>67</v>
      </c>
      <c r="K20" s="16">
        <v>310</v>
      </c>
      <c r="L20" s="16">
        <v>104</v>
      </c>
      <c r="M20" s="32">
        <f>SUM('ADVANCE &amp; ELECTION DAY TOTAL'!M17)</f>
        <v>5</v>
      </c>
      <c r="N20" s="16">
        <f>SUM('ADVANCE &amp; ELECTION DAY TOTAL'!N17)</f>
        <v>39</v>
      </c>
      <c r="O20" s="38" t="s">
        <v>40</v>
      </c>
      <c r="P20" s="65" t="s">
        <v>15</v>
      </c>
      <c r="Q20" s="16">
        <f>SUM('ADVANCE &amp; ELECTION DAY TOTAL'!Q17)</f>
        <v>30</v>
      </c>
      <c r="R20" s="16">
        <f>SUM('ADVANCE &amp; ELECTION DAY TOTAL'!R17)</f>
        <v>15</v>
      </c>
      <c r="S20" s="16">
        <f>SUM('ADVANCE &amp; ELECTION DAY TOTAL'!S17)</f>
        <v>58</v>
      </c>
      <c r="T20" s="16">
        <f>SUM('ADVANCE &amp; ELECTION DAY TOTAL'!T17)</f>
        <v>31</v>
      </c>
      <c r="U20" s="16">
        <f>SUM('ADVANCE &amp; ELECTION DAY TOTAL'!U17)</f>
        <v>12</v>
      </c>
      <c r="V20" s="16">
        <f>SUM('ADVANCE &amp; ELECTION DAY TOTAL'!V17)</f>
        <v>13</v>
      </c>
      <c r="W20" s="16">
        <f>SUM('ADVANCE &amp; ELECTION DAY TOTAL'!W17)</f>
        <v>76</v>
      </c>
      <c r="X20" s="16">
        <f>SUM('ADVANCE &amp; ELECTION DAY TOTAL'!X17)</f>
        <v>92</v>
      </c>
      <c r="Y20" s="16">
        <f t="shared" si="0"/>
        <v>1000</v>
      </c>
      <c r="Z20" s="16">
        <v>22</v>
      </c>
      <c r="AA20" s="16">
        <f t="shared" si="1"/>
        <v>1022</v>
      </c>
    </row>
    <row r="21" spans="2:27" ht="13.5" thickBot="1" x14ac:dyDescent="0.25">
      <c r="B21" s="17" t="s">
        <v>59</v>
      </c>
      <c r="C21" s="18"/>
      <c r="D21" s="18"/>
      <c r="E21" s="19"/>
      <c r="F21" s="11"/>
      <c r="G21" s="11"/>
      <c r="H21" s="11"/>
      <c r="I21" s="11"/>
      <c r="J21" s="11"/>
      <c r="K21" s="11"/>
      <c r="L21" s="11"/>
      <c r="M21" s="11"/>
      <c r="N21" s="52"/>
      <c r="O21" s="66" t="s">
        <v>59</v>
      </c>
      <c r="P21" s="18"/>
      <c r="Q21" s="19"/>
      <c r="R21" s="18"/>
      <c r="S21" s="19"/>
      <c r="T21" s="18"/>
      <c r="U21" s="18"/>
      <c r="V21" s="18"/>
      <c r="W21" s="18"/>
      <c r="X21" s="18"/>
      <c r="Y21" s="52"/>
      <c r="Z21" s="52"/>
      <c r="AA21" s="52"/>
    </row>
    <row r="22" spans="2:27" ht="13.5" thickBot="1" x14ac:dyDescent="0.25">
      <c r="B22" s="40"/>
      <c r="C22" s="15" t="s">
        <v>60</v>
      </c>
      <c r="D22" s="15" t="s">
        <v>15</v>
      </c>
      <c r="E22" s="32">
        <v>18</v>
      </c>
      <c r="F22" s="16">
        <f>SUM('ADVANCE &amp; ELECTION DAY TOTAL'!F19)</f>
        <v>43</v>
      </c>
      <c r="G22" s="16">
        <f>SUM('ADVANCE &amp; ELECTION DAY TOTAL'!G19)</f>
        <v>42</v>
      </c>
      <c r="H22" s="16">
        <f>SUM('ADVANCE &amp; ELECTION DAY TOTAL'!H19)</f>
        <v>31</v>
      </c>
      <c r="I22" s="16">
        <f>SUM('ADVANCE &amp; ELECTION DAY TOTAL'!I19)</f>
        <v>27</v>
      </c>
      <c r="J22" s="16">
        <f>SUM('ADVANCE &amp; ELECTION DAY TOTAL'!J19)</f>
        <v>72</v>
      </c>
      <c r="K22" s="16">
        <v>361</v>
      </c>
      <c r="L22" s="16">
        <f>SUM('ADVANCE &amp; ELECTION DAY TOTAL'!L19)</f>
        <v>127</v>
      </c>
      <c r="M22" s="32">
        <f>SUM('ADVANCE &amp; ELECTION DAY TOTAL'!M19)</f>
        <v>3</v>
      </c>
      <c r="N22" s="16">
        <v>41</v>
      </c>
      <c r="O22" s="38" t="s">
        <v>60</v>
      </c>
      <c r="P22" s="65" t="s">
        <v>15</v>
      </c>
      <c r="Q22" s="16">
        <f>SUM('ADVANCE &amp; ELECTION DAY TOTAL'!Q19)</f>
        <v>30</v>
      </c>
      <c r="R22" s="16">
        <f>SUM('ADVANCE &amp; ELECTION DAY TOTAL'!R19)</f>
        <v>16</v>
      </c>
      <c r="S22" s="16">
        <v>67</v>
      </c>
      <c r="T22" s="16">
        <f>SUM('ADVANCE &amp; ELECTION DAY TOTAL'!T19)</f>
        <v>26</v>
      </c>
      <c r="U22" s="16">
        <f>SUM('ADVANCE &amp; ELECTION DAY TOTAL'!U19)</f>
        <v>18</v>
      </c>
      <c r="V22" s="16">
        <f>SUM('ADVANCE &amp; ELECTION DAY TOTAL'!V19)</f>
        <v>15</v>
      </c>
      <c r="W22" s="16">
        <f>SUM('ADVANCE &amp; ELECTION DAY TOTAL'!W19)</f>
        <v>75</v>
      </c>
      <c r="X22" s="16">
        <f>SUM('ADVANCE &amp; ELECTION DAY TOTAL'!X19)</f>
        <v>99</v>
      </c>
      <c r="Y22" s="16">
        <f t="shared" si="0"/>
        <v>1111</v>
      </c>
      <c r="Z22" s="16">
        <v>26</v>
      </c>
      <c r="AA22" s="16">
        <f t="shared" si="1"/>
        <v>1137</v>
      </c>
    </row>
    <row r="23" spans="2:27" ht="13.5" thickBot="1" x14ac:dyDescent="0.25">
      <c r="B23" s="40"/>
      <c r="C23" s="15"/>
      <c r="D23" s="15"/>
      <c r="E23" s="32">
        <f>SUM('ADVANCE &amp; ELECTION DAY TOTAL'!E20)</f>
        <v>0</v>
      </c>
      <c r="F23" s="16">
        <f>SUM('ADVANCE:ELECTION DAY'!F20)</f>
        <v>0</v>
      </c>
      <c r="G23" s="16">
        <f>SUM('ADVANCE:ELECTION DAY'!G20)</f>
        <v>0</v>
      </c>
      <c r="H23" s="16">
        <f>SUM('ADVANCE:ELECTION DAY'!H20)</f>
        <v>0</v>
      </c>
      <c r="I23" s="16">
        <f>SUM('ADVANCE:ELECTION DAY'!I20)</f>
        <v>0</v>
      </c>
      <c r="J23" s="16">
        <f>SUM('ADVANCE:ELECTION DAY'!J20)</f>
        <v>0</v>
      </c>
      <c r="K23" s="16">
        <f>SUM('ADVANCE:ELECTION DAY'!K20)</f>
        <v>0</v>
      </c>
      <c r="L23" s="16">
        <f>SUM('ADVANCE:ELECTION DAY'!L20)</f>
        <v>0</v>
      </c>
      <c r="M23" s="32">
        <f>SUM('ADVANCE:ELECTION DAY'!M20)</f>
        <v>0</v>
      </c>
      <c r="N23" s="16">
        <f>SUM('ADVANCE:ELECTION DAY'!N20)</f>
        <v>0</v>
      </c>
      <c r="O23" s="38"/>
      <c r="P23" s="65"/>
      <c r="Q23" s="16">
        <f>SUM('ADVANCE &amp; ELECTION DAY TOTAL'!Q20)</f>
        <v>0</v>
      </c>
      <c r="R23" s="16">
        <f>SUM('ADVANCE &amp; ELECTION DAY TOTAL'!R20)</f>
        <v>0</v>
      </c>
      <c r="S23" s="16">
        <f>SUM('ADVANCE &amp; ELECTION DAY TOTAL'!S20)</f>
        <v>0</v>
      </c>
      <c r="T23" s="16">
        <f>SUM('ADVANCE &amp; ELECTION DAY TOTAL'!T20)</f>
        <v>0</v>
      </c>
      <c r="U23" s="16">
        <f>SUM('ADVANCE &amp; ELECTION DAY TOTAL'!U20)</f>
        <v>0</v>
      </c>
      <c r="V23" s="16">
        <f>SUM('ADVANCE &amp; ELECTION DAY TOTAL'!V20)</f>
        <v>0</v>
      </c>
      <c r="W23" s="16">
        <f>SUM('ADVANCE &amp; ELECTION DAY TOTAL'!W20)</f>
        <v>0</v>
      </c>
      <c r="X23" s="16">
        <f>SUM('ADVANCE &amp; ELECTION DAY TOTAL'!X20)</f>
        <v>0</v>
      </c>
      <c r="Y23" s="16"/>
      <c r="Z23" s="16"/>
      <c r="AA23" s="16"/>
    </row>
    <row r="24" spans="2:27" ht="13.5" thickBot="1" x14ac:dyDescent="0.25">
      <c r="B24" s="22" t="s">
        <v>61</v>
      </c>
      <c r="C24" s="23"/>
      <c r="D24" s="23"/>
      <c r="E24" s="60"/>
      <c r="F24" s="11"/>
      <c r="G24" s="11"/>
      <c r="H24" s="11"/>
      <c r="I24" s="11"/>
      <c r="J24" s="11"/>
      <c r="K24" s="11"/>
      <c r="L24" s="11"/>
      <c r="M24" s="11"/>
      <c r="N24" s="52"/>
      <c r="O24" s="66" t="s">
        <v>61</v>
      </c>
      <c r="P24" s="23"/>
      <c r="Q24" s="60"/>
      <c r="R24" s="23"/>
      <c r="S24" s="24"/>
      <c r="T24" s="23"/>
      <c r="U24" s="23"/>
      <c r="V24" s="23"/>
      <c r="W24" s="23"/>
      <c r="X24" s="23"/>
      <c r="Y24" s="52"/>
      <c r="Z24" s="52"/>
      <c r="AA24" s="52"/>
    </row>
    <row r="25" spans="2:27" ht="13.5" thickBot="1" x14ac:dyDescent="0.25">
      <c r="B25" s="41"/>
      <c r="C25" s="15" t="s">
        <v>62</v>
      </c>
      <c r="D25" s="15" t="s">
        <v>15</v>
      </c>
      <c r="E25" s="32">
        <v>19</v>
      </c>
      <c r="F25" s="16">
        <f>SUM('ADVANCE &amp; ELECTION DAY TOTAL'!F22)</f>
        <v>42</v>
      </c>
      <c r="G25" s="16">
        <f>SUM('ADVANCE &amp; ELECTION DAY TOTAL'!G22)</f>
        <v>40</v>
      </c>
      <c r="H25" s="16">
        <f>SUM('ADVANCE &amp; ELECTION DAY TOTAL'!H22)</f>
        <v>30</v>
      </c>
      <c r="I25" s="16">
        <f>SUM('ADVANCE &amp; ELECTION DAY TOTAL'!I22)</f>
        <v>25</v>
      </c>
      <c r="J25" s="16">
        <f>SUM('ADVANCE &amp; ELECTION DAY TOTAL'!J22)</f>
        <v>67</v>
      </c>
      <c r="K25" s="16">
        <v>342</v>
      </c>
      <c r="L25" s="16">
        <v>115</v>
      </c>
      <c r="M25" s="32">
        <f>SUM('ADVANCE &amp; ELECTION DAY TOTAL'!M22)</f>
        <v>4</v>
      </c>
      <c r="N25" s="16">
        <f>SUM('ADVANCE &amp; ELECTION DAY TOTAL'!N22)</f>
        <v>43</v>
      </c>
      <c r="O25" s="38" t="s">
        <v>62</v>
      </c>
      <c r="P25" s="65" t="s">
        <v>15</v>
      </c>
      <c r="Q25" s="16">
        <f>SUM('ADVANCE &amp; ELECTION DAY TOTAL'!Q22)</f>
        <v>29</v>
      </c>
      <c r="R25" s="16">
        <f>SUM('ADVANCE &amp; ELECTION DAY TOTAL'!R22)</f>
        <v>17</v>
      </c>
      <c r="S25" s="16">
        <v>64</v>
      </c>
      <c r="T25" s="16">
        <f>SUM('ADVANCE &amp; ELECTION DAY TOTAL'!T22)</f>
        <v>29</v>
      </c>
      <c r="U25" s="16">
        <f>SUM('ADVANCE &amp; ELECTION DAY TOTAL'!U22)</f>
        <v>17</v>
      </c>
      <c r="V25" s="16">
        <v>12</v>
      </c>
      <c r="W25" s="16">
        <f>SUM('ADVANCE &amp; ELECTION DAY TOTAL'!W22)</f>
        <v>74</v>
      </c>
      <c r="X25" s="16">
        <f>SUM('ADVANCE &amp; ELECTION DAY TOTAL'!X22)</f>
        <v>98</v>
      </c>
      <c r="Y25" s="16">
        <f t="shared" si="0"/>
        <v>1067</v>
      </c>
      <c r="Z25" s="16">
        <v>22</v>
      </c>
      <c r="AA25" s="16">
        <f t="shared" si="1"/>
        <v>1089</v>
      </c>
    </row>
    <row r="26" spans="2:27" ht="13.5" thickBot="1" x14ac:dyDescent="0.25">
      <c r="B26" s="22" t="s">
        <v>63</v>
      </c>
      <c r="C26" s="23"/>
      <c r="D26" s="23"/>
      <c r="E26" s="60"/>
      <c r="F26" s="11"/>
      <c r="G26" s="11"/>
      <c r="H26" s="11"/>
      <c r="I26" s="11"/>
      <c r="J26" s="11"/>
      <c r="K26" s="11"/>
      <c r="L26" s="11"/>
      <c r="M26" s="11"/>
      <c r="N26" s="52"/>
      <c r="O26" s="66" t="s">
        <v>63</v>
      </c>
      <c r="P26" s="23"/>
      <c r="Q26" s="60"/>
      <c r="R26" s="23"/>
      <c r="S26" s="24"/>
      <c r="T26" s="23"/>
      <c r="U26" s="23"/>
      <c r="V26" s="23"/>
      <c r="W26" s="23"/>
      <c r="X26" s="23"/>
      <c r="Y26" s="52"/>
      <c r="Z26" s="52"/>
      <c r="AA26" s="52"/>
    </row>
    <row r="27" spans="2:27" ht="13.5" thickBot="1" x14ac:dyDescent="0.25">
      <c r="B27" s="41"/>
      <c r="C27" s="15" t="s">
        <v>64</v>
      </c>
      <c r="D27" s="15" t="s">
        <v>15</v>
      </c>
      <c r="E27" s="32">
        <f>SUM('ADVANCE &amp; ELECTION DAY TOTAL'!E24)</f>
        <v>19</v>
      </c>
      <c r="F27" s="16">
        <f>SUM('ADVANCE &amp; ELECTION DAY TOTAL'!F24)</f>
        <v>41</v>
      </c>
      <c r="G27" s="16">
        <f>SUM('ADVANCE &amp; ELECTION DAY TOTAL'!G24)</f>
        <v>41</v>
      </c>
      <c r="H27" s="16">
        <f>SUM('ADVANCE &amp; ELECTION DAY TOTAL'!H24)</f>
        <v>31</v>
      </c>
      <c r="I27" s="16">
        <f>SUM('ADVANCE &amp; ELECTION DAY TOTAL'!I24)</f>
        <v>25</v>
      </c>
      <c r="J27" s="16">
        <f>SUM('ADVANCE &amp; ELECTION DAY TOTAL'!J24)</f>
        <v>74</v>
      </c>
      <c r="K27" s="16">
        <v>366</v>
      </c>
      <c r="L27" s="16">
        <v>129</v>
      </c>
      <c r="M27" s="32">
        <f>SUM('ADVANCE &amp; ELECTION DAY TOTAL'!M24)</f>
        <v>5</v>
      </c>
      <c r="N27" s="16">
        <f>SUM('ADVANCE &amp; ELECTION DAY TOTAL'!N24)</f>
        <v>38</v>
      </c>
      <c r="O27" s="38" t="s">
        <v>64</v>
      </c>
      <c r="P27" s="65" t="s">
        <v>15</v>
      </c>
      <c r="Q27" s="16">
        <f>SUM('ADVANCE &amp; ELECTION DAY TOTAL'!Q24)</f>
        <v>30</v>
      </c>
      <c r="R27" s="16">
        <f>SUM('ADVANCE &amp; ELECTION DAY TOTAL'!R24)</f>
        <v>16</v>
      </c>
      <c r="S27" s="16">
        <f>SUM('ADVANCE &amp; ELECTION DAY TOTAL'!S24)</f>
        <v>58</v>
      </c>
      <c r="T27" s="16">
        <f>SUM('ADVANCE &amp; ELECTION DAY TOTAL'!T24)</f>
        <v>26</v>
      </c>
      <c r="U27" s="16">
        <f>SUM('ADVANCE &amp; ELECTION DAY TOTAL'!U24)</f>
        <v>15</v>
      </c>
      <c r="V27" s="16">
        <v>17</v>
      </c>
      <c r="W27" s="16">
        <f>SUM('ADVANCE &amp; ELECTION DAY TOTAL'!W24)</f>
        <v>74</v>
      </c>
      <c r="X27" s="16">
        <f>SUM('ADVANCE &amp; ELECTION DAY TOTAL'!X24)</f>
        <v>99</v>
      </c>
      <c r="Y27" s="16">
        <f>SUM(E27:X27)</f>
        <v>1104</v>
      </c>
      <c r="Z27" s="16">
        <v>26</v>
      </c>
      <c r="AA27" s="16">
        <f t="shared" si="1"/>
        <v>1130</v>
      </c>
    </row>
    <row r="28" spans="2:27" ht="13.5" thickBot="1" x14ac:dyDescent="0.25">
      <c r="B28" s="40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32"/>
      <c r="N28" s="16"/>
      <c r="O28" s="38"/>
      <c r="P28" s="65"/>
      <c r="Q28" s="32"/>
      <c r="R28" s="16"/>
      <c r="S28" s="16"/>
      <c r="T28" s="16"/>
      <c r="U28" s="16"/>
      <c r="V28" s="16"/>
      <c r="W28" s="16"/>
      <c r="X28" s="32"/>
      <c r="Y28" s="16"/>
      <c r="Z28" s="16"/>
      <c r="AA28" s="16"/>
    </row>
    <row r="29" spans="2:27" ht="13.5" thickBot="1" x14ac:dyDescent="0.25">
      <c r="B29" s="40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32"/>
      <c r="N29" s="16"/>
      <c r="O29" s="38"/>
      <c r="P29" s="65"/>
      <c r="Q29" s="32"/>
      <c r="R29" s="16"/>
      <c r="S29" s="16"/>
      <c r="T29" s="16"/>
      <c r="U29" s="16"/>
      <c r="V29" s="16"/>
      <c r="W29" s="16"/>
      <c r="X29" s="32"/>
      <c r="Y29" s="16"/>
      <c r="Z29" s="16"/>
      <c r="AA29" s="16"/>
    </row>
    <row r="30" spans="2:27" ht="27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O30" s="28" t="s">
        <v>18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2:27" ht="27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O31" s="28" t="s">
        <v>19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2:27" ht="27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O32" s="28"/>
      <c r="P32" s="28" t="s">
        <v>20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9" ht="2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O33" s="28" t="s">
        <v>147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2:29" ht="2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O34" s="28" t="s">
        <v>21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2:29" ht="2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O35" s="28" t="s">
        <v>150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2:29" ht="2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O36" s="28" t="s">
        <v>151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2:29" ht="27.75" x14ac:dyDescent="0.4"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O37" s="28" t="s">
        <v>22</v>
      </c>
      <c r="P37" s="28"/>
      <c r="Q37" s="28"/>
      <c r="R37" s="28"/>
      <c r="S37" s="29" t="s">
        <v>23</v>
      </c>
      <c r="T37" s="28"/>
      <c r="U37" s="28"/>
      <c r="V37" s="28"/>
      <c r="W37" s="28"/>
      <c r="X37" s="28"/>
      <c r="Y37" s="28"/>
      <c r="Z37" s="28"/>
    </row>
    <row r="38" spans="2:29" ht="27.75" x14ac:dyDescent="0.4"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O38" s="6" t="s">
        <v>24</v>
      </c>
      <c r="Q38" s="6"/>
      <c r="R38" s="6"/>
      <c r="S38" s="29" t="s">
        <v>23</v>
      </c>
      <c r="T38" s="29"/>
      <c r="U38" s="29"/>
      <c r="V38" s="29"/>
      <c r="W38" s="29"/>
      <c r="X38" s="29"/>
      <c r="Y38" s="29"/>
      <c r="Z38" s="29"/>
    </row>
    <row r="39" spans="2:29" ht="27.75" x14ac:dyDescent="0.4"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O39" s="30" t="s">
        <v>101</v>
      </c>
      <c r="Q39" s="6"/>
      <c r="R39" s="6"/>
      <c r="S39" s="29" t="s">
        <v>23</v>
      </c>
      <c r="T39" s="29"/>
      <c r="U39" s="29"/>
      <c r="V39" s="29"/>
      <c r="W39" s="29"/>
      <c r="X39" s="29"/>
      <c r="Y39" s="29"/>
      <c r="Z39" s="29"/>
    </row>
    <row r="40" spans="2:29" ht="27.75" x14ac:dyDescent="0.4"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O40" s="29"/>
      <c r="Q40" s="6"/>
      <c r="R40" s="6"/>
      <c r="S40" s="6"/>
      <c r="T40" s="30" t="s">
        <v>25</v>
      </c>
      <c r="U40" s="29"/>
      <c r="V40" s="29"/>
      <c r="W40" s="29"/>
      <c r="X40" s="29"/>
      <c r="Y40" s="29"/>
      <c r="Z40" s="29"/>
      <c r="AA40" s="29"/>
    </row>
    <row r="41" spans="2:29" ht="27.75" x14ac:dyDescent="0.4"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  <c r="S41" s="1"/>
      <c r="T41" s="1"/>
      <c r="U41" s="1"/>
      <c r="V41" s="1"/>
      <c r="W41" s="1"/>
      <c r="X41" s="1"/>
      <c r="Y41" s="1"/>
    </row>
    <row r="42" spans="2:29" ht="27" x14ac:dyDescent="0.35"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 t="s">
        <v>39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 ht="27" x14ac:dyDescent="0.35">
      <c r="B43" s="1" t="s">
        <v>133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 t="s">
        <v>133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 ht="45" x14ac:dyDescent="0.25">
      <c r="B44" s="70" t="s">
        <v>100</v>
      </c>
      <c r="C44" s="51">
        <v>1317</v>
      </c>
      <c r="D44" s="3"/>
      <c r="E44" s="4"/>
      <c r="F44" s="4"/>
      <c r="G44" s="4"/>
      <c r="H44" s="4"/>
      <c r="I44" s="4"/>
      <c r="J44" s="4"/>
      <c r="K44" s="4"/>
      <c r="L44" s="4"/>
      <c r="M44" s="4"/>
      <c r="N44" s="3"/>
      <c r="O44" s="51"/>
      <c r="P44" s="4"/>
      <c r="Q44" s="4"/>
      <c r="R44" s="36"/>
      <c r="S44" s="4"/>
      <c r="T44" s="4"/>
      <c r="U44" s="4"/>
      <c r="V44" s="4"/>
      <c r="W44" s="4"/>
      <c r="X44" s="4"/>
      <c r="Y44" s="4"/>
      <c r="Z44" s="4"/>
      <c r="AA44" s="5"/>
      <c r="AB44" s="5"/>
      <c r="AC44" s="5"/>
    </row>
    <row r="45" spans="2:29" ht="26.25" x14ac:dyDescent="0.25">
      <c r="B45" s="71" t="s">
        <v>99</v>
      </c>
      <c r="C45" s="4">
        <v>1808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6"/>
      <c r="Q45" s="4"/>
      <c r="R45" s="4"/>
      <c r="S45" s="36"/>
      <c r="T45" s="4"/>
      <c r="U45" s="4"/>
      <c r="V45" s="4"/>
      <c r="W45" s="4"/>
      <c r="X45" s="4"/>
      <c r="Y45" s="4"/>
      <c r="Z45" s="4"/>
      <c r="AA45" s="5"/>
      <c r="AB45" s="5"/>
      <c r="AC45" s="5"/>
    </row>
    <row r="46" spans="2:29" ht="16.5" thickBot="1" x14ac:dyDescent="0.3">
      <c r="B46" s="4" t="s">
        <v>96</v>
      </c>
      <c r="C46" s="50">
        <v>0.73</v>
      </c>
      <c r="D46" s="4"/>
      <c r="E46" s="4"/>
      <c r="F46" s="4"/>
      <c r="N46" s="4"/>
      <c r="O46" s="50"/>
      <c r="AA46" s="5"/>
      <c r="AB46" s="5"/>
      <c r="AC46" s="5"/>
    </row>
    <row r="47" spans="2:29" ht="101.25" thickBot="1" x14ac:dyDescent="0.25">
      <c r="B47" s="63" t="s">
        <v>0</v>
      </c>
      <c r="C47" s="63" t="s">
        <v>1</v>
      </c>
      <c r="D47" s="8" t="s">
        <v>2</v>
      </c>
      <c r="E47" s="9" t="s">
        <v>3</v>
      </c>
      <c r="F47" s="9" t="s">
        <v>4</v>
      </c>
      <c r="G47" s="9" t="s">
        <v>5</v>
      </c>
      <c r="H47" s="9" t="s">
        <v>6</v>
      </c>
      <c r="I47" s="9" t="s">
        <v>7</v>
      </c>
      <c r="J47" s="9" t="s">
        <v>41</v>
      </c>
      <c r="K47" s="9" t="s">
        <v>42</v>
      </c>
      <c r="L47" s="9" t="s">
        <v>43</v>
      </c>
      <c r="M47" s="31" t="s">
        <v>44</v>
      </c>
      <c r="N47" s="9" t="s">
        <v>45</v>
      </c>
      <c r="O47" s="64" t="s">
        <v>1</v>
      </c>
      <c r="P47" s="8" t="s">
        <v>2</v>
      </c>
      <c r="Q47" s="9" t="s">
        <v>46</v>
      </c>
      <c r="R47" s="9" t="s">
        <v>8</v>
      </c>
      <c r="S47" s="9" t="s">
        <v>9</v>
      </c>
      <c r="T47" s="9" t="s">
        <v>10</v>
      </c>
      <c r="U47" s="9" t="s">
        <v>47</v>
      </c>
      <c r="V47" s="9" t="s">
        <v>11</v>
      </c>
      <c r="W47" s="9" t="s">
        <v>12</v>
      </c>
      <c r="X47" s="31" t="s">
        <v>13</v>
      </c>
      <c r="Y47" s="9" t="s">
        <v>14</v>
      </c>
      <c r="Z47" s="9" t="s">
        <v>149</v>
      </c>
      <c r="AA47" s="9" t="s">
        <v>14</v>
      </c>
    </row>
    <row r="48" spans="2:29" ht="13.5" thickBot="1" x14ac:dyDescent="0.25">
      <c r="B48" s="17" t="s">
        <v>75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52"/>
      <c r="O48" s="17" t="s">
        <v>75</v>
      </c>
      <c r="P48" s="44"/>
      <c r="Q48" s="11"/>
      <c r="R48" s="34"/>
      <c r="S48" s="19"/>
      <c r="T48" s="18"/>
      <c r="U48" s="18"/>
      <c r="V48" s="18"/>
      <c r="W48" s="18"/>
      <c r="X48" s="18"/>
      <c r="Y48" s="54"/>
      <c r="Z48" s="52"/>
      <c r="AA48" s="52"/>
    </row>
    <row r="49" spans="2:27" ht="13.5" thickBot="1" x14ac:dyDescent="0.25">
      <c r="B49" s="40"/>
      <c r="C49" s="15" t="s">
        <v>76</v>
      </c>
      <c r="D49" s="15" t="s">
        <v>51</v>
      </c>
      <c r="E49" s="16">
        <f>SUM('ADVANCE:ELECTION DAY'!E35)</f>
        <v>0</v>
      </c>
      <c r="F49" s="16">
        <f>SUM('ADVANCE:ELECTION DAY'!F35)</f>
        <v>0</v>
      </c>
      <c r="G49" s="16">
        <f>SUM('ADVANCE:ELECTION DAY'!G35)</f>
        <v>0</v>
      </c>
      <c r="H49" s="16">
        <f>SUM('ADVANCE:ELECTION DAY'!H35)</f>
        <v>32</v>
      </c>
      <c r="I49" s="16">
        <f>SUM('ADVANCE:ELECTION DAY'!I35)</f>
        <v>0</v>
      </c>
      <c r="J49" s="16">
        <f>SUM('ADVANCE:ELECTION DAY'!J35)</f>
        <v>0</v>
      </c>
      <c r="K49" s="16">
        <v>325</v>
      </c>
      <c r="L49" s="16">
        <f>SUM('ADVANCE:ELECTION DAY'!L35)</f>
        <v>0</v>
      </c>
      <c r="M49" s="32">
        <f>SUM('ADVANCE:ELECTION DAY'!M35)</f>
        <v>0</v>
      </c>
      <c r="N49" s="16">
        <f>SUM('ADVANCE:ELECTION DAY'!N35)</f>
        <v>35</v>
      </c>
      <c r="O49" s="15" t="s">
        <v>76</v>
      </c>
      <c r="P49" s="15" t="s">
        <v>51</v>
      </c>
      <c r="Q49" s="16">
        <f>SUM('ADVANCE:ELECTION DAY'!Q35)</f>
        <v>0</v>
      </c>
      <c r="R49" s="16">
        <f>SUM('ADVANCE:ELECTION DAY'!R35)</f>
        <v>0</v>
      </c>
      <c r="S49" s="16">
        <f>SUM('ADVANCE:ELECTION DAY'!S35)</f>
        <v>0</v>
      </c>
      <c r="T49" s="16">
        <f>SUM('ADVANCE:ELECTION DAY'!T35)</f>
        <v>0</v>
      </c>
      <c r="U49" s="16">
        <f>SUM('ADVANCE:ELECTION DAY'!U35)</f>
        <v>16</v>
      </c>
      <c r="V49" s="16">
        <f>SUM('ADVANCE:ELECTION DAY'!V35)</f>
        <v>17</v>
      </c>
      <c r="W49" s="16">
        <f>SUM('ADVANCE:ELECTION DAY'!W35)</f>
        <v>0</v>
      </c>
      <c r="X49" s="32">
        <f>SUM('ADVANCE:ELECTION DAY'!X35)</f>
        <v>0</v>
      </c>
      <c r="Y49" s="16">
        <f>E49+F49+G49+H49+I49+J49+K49+L49+M49+N49+Q49+R49+S49+T49+U49+V49+W49+X49</f>
        <v>425</v>
      </c>
      <c r="Z49" s="16">
        <v>15</v>
      </c>
      <c r="AA49" s="16">
        <f>SUM(Y49:Z49)</f>
        <v>440</v>
      </c>
    </row>
    <row r="50" spans="2:27" ht="13.5" thickBot="1" x14ac:dyDescent="0.25">
      <c r="B50" s="40"/>
      <c r="C50" s="15"/>
      <c r="D50" s="15"/>
      <c r="E50" s="16">
        <f>SUM('ADVANCE:ELECTION DAY'!E36)</f>
        <v>0</v>
      </c>
      <c r="F50" s="16">
        <f>SUM('ADVANCE:ELECTION DAY'!F36)</f>
        <v>0</v>
      </c>
      <c r="G50" s="16">
        <f>SUM('ADVANCE:ELECTION DAY'!G36)</f>
        <v>0</v>
      </c>
      <c r="H50" s="16">
        <f>SUM('ADVANCE:ELECTION DAY'!H36)</f>
        <v>0</v>
      </c>
      <c r="I50" s="16">
        <f>SUM('ADVANCE:ELECTION DAY'!I36)</f>
        <v>0</v>
      </c>
      <c r="J50" s="16">
        <f>SUM('ADVANCE:ELECTION DAY'!J36)</f>
        <v>0</v>
      </c>
      <c r="K50" s="16">
        <f>SUM('ADVANCE:ELECTION DAY'!K36)</f>
        <v>0</v>
      </c>
      <c r="L50" s="16">
        <f>SUM('ADVANCE:ELECTION DAY'!L36)</f>
        <v>0</v>
      </c>
      <c r="M50" s="32">
        <f>SUM('ADVANCE:ELECTION DAY'!M36)</f>
        <v>0</v>
      </c>
      <c r="N50" s="16">
        <f>SUM('ADVANCE:ELECTION DAY'!N36)</f>
        <v>0</v>
      </c>
      <c r="O50" s="15"/>
      <c r="P50" s="15"/>
      <c r="Q50" s="16">
        <f>SUM('ADVANCE:ELECTION DAY'!Q36)</f>
        <v>0</v>
      </c>
      <c r="R50" s="16">
        <f>SUM('ADVANCE:ELECTION DAY'!R36)</f>
        <v>0</v>
      </c>
      <c r="S50" s="16">
        <f>SUM('ADVANCE:ELECTION DAY'!S36)</f>
        <v>0</v>
      </c>
      <c r="T50" s="16">
        <f>SUM('ADVANCE:ELECTION DAY'!T36)</f>
        <v>0</v>
      </c>
      <c r="U50" s="16">
        <f>SUM('ADVANCE:ELECTION DAY'!U36)</f>
        <v>0</v>
      </c>
      <c r="V50" s="16">
        <f>SUM('ADVANCE:ELECTION DAY'!V36)</f>
        <v>0</v>
      </c>
      <c r="W50" s="16">
        <f>SUM('ADVANCE:ELECTION DAY'!W36)</f>
        <v>0</v>
      </c>
      <c r="X50" s="32">
        <f>SUM('ADVANCE:ELECTION DAY'!X36)</f>
        <v>0</v>
      </c>
      <c r="Y50" s="16">
        <f>E50+F50+G50+H50+I50+J50+K50+L50+M50+N50+Q50+R50+S50+T50+U50+V50+W50+X50</f>
        <v>0</v>
      </c>
      <c r="Z50" s="16"/>
      <c r="AA50" s="16"/>
    </row>
    <row r="51" spans="2:27" ht="13.5" thickBot="1" x14ac:dyDescent="0.25">
      <c r="B51" s="17" t="s">
        <v>77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52"/>
      <c r="O51" s="17" t="s">
        <v>77</v>
      </c>
      <c r="P51" s="18"/>
      <c r="Q51" s="11"/>
      <c r="R51" s="34"/>
      <c r="S51" s="19"/>
      <c r="T51" s="18"/>
      <c r="U51" s="18"/>
      <c r="V51" s="18"/>
      <c r="W51" s="18"/>
      <c r="X51" s="18"/>
      <c r="Y51" s="54"/>
      <c r="Z51" s="54"/>
      <c r="AA51" s="54"/>
    </row>
    <row r="52" spans="2:27" ht="13.5" thickBot="1" x14ac:dyDescent="0.25">
      <c r="B52" s="40"/>
      <c r="C52" s="15" t="s">
        <v>54</v>
      </c>
      <c r="D52" s="15" t="s">
        <v>51</v>
      </c>
      <c r="E52" s="16">
        <f>SUM('ADVANCE:ELECTION DAY'!E38)</f>
        <v>0</v>
      </c>
      <c r="F52" s="16">
        <f>SUM('ADVANCE:ELECTION DAY'!F38)</f>
        <v>0</v>
      </c>
      <c r="G52" s="16">
        <f>SUM('ADVANCE:ELECTION DAY'!G38)</f>
        <v>0</v>
      </c>
      <c r="H52" s="16">
        <f>SUM('ADVANCE:ELECTION DAY'!H38)</f>
        <v>0</v>
      </c>
      <c r="I52" s="16">
        <f>SUM('ADVANCE:ELECTION DAY'!I38)</f>
        <v>30</v>
      </c>
      <c r="J52" s="16">
        <f>SUM('ADVANCE:ELECTION DAY'!J38)</f>
        <v>0</v>
      </c>
      <c r="K52" s="16">
        <f>SUM('ADVANCE:ELECTION DAY'!K38)</f>
        <v>0</v>
      </c>
      <c r="L52" s="16">
        <f>SUM('ADVANCE:ELECTION DAY'!L38)</f>
        <v>122</v>
      </c>
      <c r="M52" s="32">
        <f>SUM('ADVANCE:ELECTION DAY'!M38)</f>
        <v>0</v>
      </c>
      <c r="N52" s="16">
        <f>SUM('ADVANCE:ELECTION DAY'!N38)</f>
        <v>0</v>
      </c>
      <c r="O52" s="15" t="s">
        <v>54</v>
      </c>
      <c r="P52" s="15" t="s">
        <v>51</v>
      </c>
      <c r="Q52" s="16">
        <f>SUM('ADVANCE:ELECTION DAY'!Q38)</f>
        <v>29</v>
      </c>
      <c r="R52" s="16">
        <f>SUM('ADVANCE:ELECTION DAY'!R38)</f>
        <v>0</v>
      </c>
      <c r="S52" s="16">
        <f>SUM('ADVANCE:ELECTION DAY'!S38)</f>
        <v>60</v>
      </c>
      <c r="T52" s="16">
        <f>SUM('ADVANCE:ELECTION DAY'!T38)</f>
        <v>30</v>
      </c>
      <c r="U52" s="16">
        <f>SUM('ADVANCE:ELECTION DAY'!U38)</f>
        <v>0</v>
      </c>
      <c r="V52" s="16">
        <f>SUM('ADVANCE:ELECTION DAY'!V38)</f>
        <v>0</v>
      </c>
      <c r="W52" s="16">
        <f>SUM('ADVANCE:ELECTION DAY'!W38)</f>
        <v>0</v>
      </c>
      <c r="X52" s="32">
        <f>SUM('ADVANCE:ELECTION DAY'!X38)</f>
        <v>96</v>
      </c>
      <c r="Y52" s="16">
        <f>E52+F52+G52+H52+I52+J52+K52+L52+M52+N52+Q52+R52+S52+T52+U52+V52+W52+X52</f>
        <v>367</v>
      </c>
      <c r="Z52" s="16">
        <v>4</v>
      </c>
      <c r="AA52" s="16">
        <f t="shared" ref="AA52:AA65" si="2">SUM(Y52:Z52)</f>
        <v>371</v>
      </c>
    </row>
    <row r="53" spans="2:27" ht="13.5" thickBot="1" x14ac:dyDescent="0.25">
      <c r="B53" s="40"/>
      <c r="C53" s="15"/>
      <c r="D53" s="15"/>
      <c r="E53" s="16">
        <f>SUM('ADVANCE:ELECTION DAY'!E39)</f>
        <v>0</v>
      </c>
      <c r="F53" s="16">
        <f>SUM('ADVANCE:ELECTION DAY'!F39)</f>
        <v>0</v>
      </c>
      <c r="G53" s="16">
        <f>SUM('ADVANCE:ELECTION DAY'!G39)</f>
        <v>0</v>
      </c>
      <c r="H53" s="16">
        <f>SUM('ADVANCE:ELECTION DAY'!H39)</f>
        <v>0</v>
      </c>
      <c r="I53" s="16">
        <f>SUM('ADVANCE:ELECTION DAY'!I39)</f>
        <v>0</v>
      </c>
      <c r="J53" s="16">
        <f>SUM('ADVANCE:ELECTION DAY'!J39)</f>
        <v>0</v>
      </c>
      <c r="K53" s="16">
        <f>SUM('ADVANCE:ELECTION DAY'!K39)</f>
        <v>0</v>
      </c>
      <c r="L53" s="16">
        <f>SUM('ADVANCE:ELECTION DAY'!L39)</f>
        <v>0</v>
      </c>
      <c r="M53" s="32">
        <f>SUM('ADVANCE:ELECTION DAY'!M39)</f>
        <v>0</v>
      </c>
      <c r="N53" s="16">
        <f>SUM('ADVANCE:ELECTION DAY'!N39)</f>
        <v>0</v>
      </c>
      <c r="O53" s="15"/>
      <c r="P53" s="15"/>
      <c r="Q53" s="16">
        <f>SUM('ADVANCE:ELECTION DAY'!Q39)</f>
        <v>0</v>
      </c>
      <c r="R53" s="16">
        <f>SUM('ADVANCE:ELECTION DAY'!R39)</f>
        <v>0</v>
      </c>
      <c r="S53" s="16">
        <f>SUM('ADVANCE:ELECTION DAY'!S39)</f>
        <v>0</v>
      </c>
      <c r="T53" s="16">
        <f>SUM('ADVANCE:ELECTION DAY'!T39)</f>
        <v>0</v>
      </c>
      <c r="U53" s="16">
        <f>SUM('ADVANCE:ELECTION DAY'!U39)</f>
        <v>0</v>
      </c>
      <c r="V53" s="16">
        <f>SUM('ADVANCE:ELECTION DAY'!V39)</f>
        <v>0</v>
      </c>
      <c r="W53" s="16">
        <f>SUM('ADVANCE:ELECTION DAY'!W39)</f>
        <v>0</v>
      </c>
      <c r="X53" s="32">
        <f>SUM('ADVANCE:ELECTION DAY'!X39)</f>
        <v>0</v>
      </c>
      <c r="Y53" s="16">
        <f>E53+F53+G53+H53+I53+J53+K53+L53+M53+N53+Q53+R53+S53+T53+U53+V53+W53+X53</f>
        <v>0</v>
      </c>
      <c r="Z53" s="16"/>
      <c r="AA53" s="16"/>
    </row>
    <row r="54" spans="2:27" ht="13.5" thickBot="1" x14ac:dyDescent="0.25">
      <c r="B54" s="17" t="s">
        <v>65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52"/>
      <c r="O54" s="17" t="s">
        <v>65</v>
      </c>
      <c r="P54" s="18"/>
      <c r="Q54" s="11"/>
      <c r="R54" s="34"/>
      <c r="S54" s="19"/>
      <c r="T54" s="18"/>
      <c r="U54" s="18"/>
      <c r="V54" s="18"/>
      <c r="W54" s="18"/>
      <c r="X54" s="18"/>
      <c r="Y54" s="54"/>
      <c r="Z54" s="54"/>
      <c r="AA54" s="54"/>
    </row>
    <row r="55" spans="2:27" ht="13.5" thickBot="1" x14ac:dyDescent="0.25">
      <c r="B55" s="40"/>
      <c r="C55" s="15" t="s">
        <v>66</v>
      </c>
      <c r="D55" s="15" t="s">
        <v>15</v>
      </c>
      <c r="E55" s="16">
        <f>SUM('ADVANCE:ELECTION DAY'!E41)</f>
        <v>20</v>
      </c>
      <c r="F55" s="16">
        <f>SUM('ADVANCE:ELECTION DAY'!F41)</f>
        <v>46</v>
      </c>
      <c r="G55" s="16">
        <f>SUM('ADVANCE:ELECTION DAY'!G41)</f>
        <v>40</v>
      </c>
      <c r="H55" s="16">
        <f>SUM('ADVANCE:ELECTION DAY'!H41)</f>
        <v>28</v>
      </c>
      <c r="I55" s="16">
        <f>SUM('ADVANCE:ELECTION DAY'!I41)</f>
        <v>29</v>
      </c>
      <c r="J55" s="16">
        <f>SUM('ADVANCE:ELECTION DAY'!J41)</f>
        <v>74</v>
      </c>
      <c r="K55" s="16">
        <v>361</v>
      </c>
      <c r="L55" s="16">
        <v>118</v>
      </c>
      <c r="M55" s="32">
        <f>SUM('ADVANCE:ELECTION DAY'!M41)</f>
        <v>4</v>
      </c>
      <c r="N55" s="16">
        <f>SUM('ADVANCE:ELECTION DAY'!N41)</f>
        <v>43</v>
      </c>
      <c r="O55" s="15" t="s">
        <v>66</v>
      </c>
      <c r="P55" s="15" t="s">
        <v>15</v>
      </c>
      <c r="Q55" s="16">
        <f>SUM('ADVANCE:ELECTION DAY'!Q41)</f>
        <v>30</v>
      </c>
      <c r="R55" s="16">
        <f>SUM('ADVANCE:ELECTION DAY'!R41)</f>
        <v>16</v>
      </c>
      <c r="S55" s="16">
        <f>SUM('ADVANCE:ELECTION DAY'!S41)</f>
        <v>62</v>
      </c>
      <c r="T55" s="16">
        <f>SUM('ADVANCE:ELECTION DAY'!T41)</f>
        <v>30</v>
      </c>
      <c r="U55" s="16">
        <f>SUM('ADVANCE:ELECTION DAY'!U41)</f>
        <v>18</v>
      </c>
      <c r="V55" s="16">
        <v>16</v>
      </c>
      <c r="W55" s="16">
        <f>SUM('ADVANCE:ELECTION DAY'!W41)</f>
        <v>80</v>
      </c>
      <c r="X55" s="32">
        <f>SUM('ADVANCE:ELECTION DAY'!X41)</f>
        <v>99</v>
      </c>
      <c r="Y55" s="16">
        <f>E55+F55+G55+H55+I55+J55+K55+L55+M55+N55+Q55+R55+S55+T55+U55+V55+W55+X55</f>
        <v>1114</v>
      </c>
      <c r="Z55" s="16">
        <v>24</v>
      </c>
      <c r="AA55" s="16">
        <f t="shared" si="2"/>
        <v>1138</v>
      </c>
    </row>
    <row r="56" spans="2:27" ht="13.5" thickBot="1" x14ac:dyDescent="0.25">
      <c r="B56" s="17" t="s">
        <v>67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52"/>
      <c r="O56" s="17" t="s">
        <v>67</v>
      </c>
      <c r="P56" s="18"/>
      <c r="Q56" s="11"/>
      <c r="R56" s="34"/>
      <c r="S56" s="19"/>
      <c r="T56" s="18"/>
      <c r="U56" s="18"/>
      <c r="V56" s="18"/>
      <c r="W56" s="18"/>
      <c r="X56" s="18"/>
      <c r="Y56" s="54"/>
      <c r="Z56" s="54"/>
      <c r="AA56" s="54"/>
    </row>
    <row r="57" spans="2:27" ht="13.5" thickBot="1" x14ac:dyDescent="0.25">
      <c r="B57" s="40"/>
      <c r="C57" s="15" t="s">
        <v>68</v>
      </c>
      <c r="D57" s="15" t="s">
        <v>51</v>
      </c>
      <c r="E57" s="16">
        <f>SUM('ADVANCE:ELECTION DAY'!E43)</f>
        <v>20</v>
      </c>
      <c r="F57" s="16">
        <f>SUM('ADVANCE:ELECTION DAY'!F43)</f>
        <v>46</v>
      </c>
      <c r="G57" s="16">
        <f>SUM('ADVANCE:ELECTION DAY'!G43)</f>
        <v>42</v>
      </c>
      <c r="H57" s="16">
        <f>SUM('ADVANCE:ELECTION DAY'!H43)</f>
        <v>32</v>
      </c>
      <c r="I57" s="16">
        <f>SUM('ADVANCE:ELECTION DAY'!I43)</f>
        <v>29</v>
      </c>
      <c r="J57" s="16">
        <v>75</v>
      </c>
      <c r="K57" s="16">
        <v>373</v>
      </c>
      <c r="L57" s="16">
        <f>SUM('ADVANCE:ELECTION DAY'!L43)</f>
        <v>125</v>
      </c>
      <c r="M57" s="32">
        <f>SUM('ADVANCE:ELECTION DAY'!M43)</f>
        <v>5</v>
      </c>
      <c r="N57" s="16">
        <f>SUM('ADVANCE:ELECTION DAY'!N43)</f>
        <v>44</v>
      </c>
      <c r="O57" s="15" t="s">
        <v>68</v>
      </c>
      <c r="P57" s="15" t="s">
        <v>51</v>
      </c>
      <c r="Q57" s="16">
        <f>SUM('ADVANCE:ELECTION DAY'!Q43)</f>
        <v>29</v>
      </c>
      <c r="R57" s="16">
        <f>SUM('ADVANCE:ELECTION DAY'!R43)</f>
        <v>17</v>
      </c>
      <c r="S57" s="16">
        <f>SUM('ADVANCE:ELECTION DAY'!S43)</f>
        <v>65</v>
      </c>
      <c r="T57" s="16">
        <f>SUM('ADVANCE:ELECTION DAY'!T43)</f>
        <v>30</v>
      </c>
      <c r="U57" s="16">
        <f>SUM('ADVANCE:ELECTION DAY'!U43)</f>
        <v>18</v>
      </c>
      <c r="V57" s="16">
        <f>SUM('ADVANCE:ELECTION DAY'!V43)</f>
        <v>16</v>
      </c>
      <c r="W57" s="16">
        <f>SUM('ADVANCE:ELECTION DAY'!W43)</f>
        <v>77</v>
      </c>
      <c r="X57" s="32">
        <v>101</v>
      </c>
      <c r="Y57" s="16">
        <f>E57+F57+G57+H57+I57+J57+K57+L57+M57+N57+Q57+R57+S57+T57+U57+V57+W57+X57</f>
        <v>1144</v>
      </c>
      <c r="Z57" s="16">
        <v>25</v>
      </c>
      <c r="AA57" s="16">
        <f t="shared" si="2"/>
        <v>1169</v>
      </c>
    </row>
    <row r="58" spans="2:27" ht="13.5" thickBot="1" x14ac:dyDescent="0.25">
      <c r="B58" s="40"/>
      <c r="C58" s="15"/>
      <c r="D58" s="15"/>
      <c r="E58" s="16">
        <f>SUM('ADVANCE:ELECTION DAY'!E44)</f>
        <v>0</v>
      </c>
      <c r="F58" s="16">
        <f>SUM('ADVANCE:ELECTION DAY'!F44)</f>
        <v>0</v>
      </c>
      <c r="G58" s="16">
        <f>SUM('ADVANCE:ELECTION DAY'!G44)</f>
        <v>0</v>
      </c>
      <c r="H58" s="16">
        <f>SUM('ADVANCE:ELECTION DAY'!H44)</f>
        <v>0</v>
      </c>
      <c r="I58" s="16">
        <f>SUM('ADVANCE:ELECTION DAY'!I44)</f>
        <v>0</v>
      </c>
      <c r="J58" s="16">
        <f>SUM('ADVANCE:ELECTION DAY'!J44)</f>
        <v>0</v>
      </c>
      <c r="K58" s="16">
        <f>SUM('ADVANCE:ELECTION DAY'!K44)</f>
        <v>0</v>
      </c>
      <c r="L58" s="16">
        <f>SUM('ADVANCE:ELECTION DAY'!L44)</f>
        <v>0</v>
      </c>
      <c r="M58" s="32">
        <f>SUM('ADVANCE:ELECTION DAY'!M44)</f>
        <v>0</v>
      </c>
      <c r="N58" s="16">
        <f>SUM('ADVANCE:ELECTION DAY'!N44)</f>
        <v>0</v>
      </c>
      <c r="O58" s="15"/>
      <c r="P58" s="15"/>
      <c r="Q58" s="16">
        <f>SUM('ADVANCE:ELECTION DAY'!Q44)</f>
        <v>0</v>
      </c>
      <c r="R58" s="16">
        <f>SUM('ADVANCE:ELECTION DAY'!R44)</f>
        <v>0</v>
      </c>
      <c r="S58" s="16">
        <f>SUM('ADVANCE:ELECTION DAY'!S44)</f>
        <v>0</v>
      </c>
      <c r="T58" s="16">
        <f>SUM('ADVANCE:ELECTION DAY'!T44)</f>
        <v>0</v>
      </c>
      <c r="U58" s="16">
        <f>SUM('ADVANCE:ELECTION DAY'!U44)</f>
        <v>0</v>
      </c>
      <c r="V58" s="16">
        <f>SUM('ADVANCE:ELECTION DAY'!V44)</f>
        <v>0</v>
      </c>
      <c r="W58" s="16">
        <f>SUM('ADVANCE:ELECTION DAY'!W44)</f>
        <v>0</v>
      </c>
      <c r="X58" s="32">
        <f>SUM('ADVANCE:ELECTION DAY'!X44)</f>
        <v>0</v>
      </c>
      <c r="Y58" s="16">
        <f>E58+F58+G58+H58+I58+J58+K58+L58+M58+N58+Q58+R58+S58+T58+U58+V58+W58+X58</f>
        <v>0</v>
      </c>
      <c r="Z58" s="16"/>
      <c r="AA58" s="16"/>
    </row>
    <row r="59" spans="2:27" ht="13.5" thickBot="1" x14ac:dyDescent="0.25">
      <c r="B59" s="17" t="s">
        <v>69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52"/>
      <c r="O59" s="17" t="s">
        <v>69</v>
      </c>
      <c r="P59" s="18"/>
      <c r="Q59" s="11"/>
      <c r="R59" s="34"/>
      <c r="S59" s="19"/>
      <c r="T59" s="18"/>
      <c r="U59" s="18"/>
      <c r="V59" s="18"/>
      <c r="W59" s="18"/>
      <c r="X59" s="18"/>
      <c r="Y59" s="54"/>
      <c r="Z59" s="54"/>
      <c r="AA59" s="54"/>
    </row>
    <row r="60" spans="2:27" ht="13.5" thickBot="1" x14ac:dyDescent="0.25">
      <c r="B60" s="40"/>
      <c r="C60" s="15" t="s">
        <v>70</v>
      </c>
      <c r="D60" s="15" t="s">
        <v>51</v>
      </c>
      <c r="E60" s="16">
        <f>SUM('ADVANCE:ELECTION DAY'!E46)</f>
        <v>15</v>
      </c>
      <c r="F60" s="16">
        <f>SUM('ADVANCE:ELECTION DAY'!F46)</f>
        <v>38</v>
      </c>
      <c r="G60" s="16">
        <f>SUM('ADVANCE:ELECTION DAY'!G46)</f>
        <v>29</v>
      </c>
      <c r="H60" s="16">
        <f>SUM('ADVANCE:ELECTION DAY'!H46)</f>
        <v>23</v>
      </c>
      <c r="I60" s="16">
        <f>SUM('ADVANCE:ELECTION DAY'!I46)</f>
        <v>24</v>
      </c>
      <c r="J60" s="16">
        <f>SUM('ADVANCE:ELECTION DAY'!J46)</f>
        <v>46</v>
      </c>
      <c r="K60" s="16">
        <v>293</v>
      </c>
      <c r="L60" s="16">
        <v>88</v>
      </c>
      <c r="M60" s="32">
        <f>SUM('ADVANCE:ELECTION DAY'!M46)</f>
        <v>0</v>
      </c>
      <c r="N60" s="16">
        <f>SUM('ADVANCE:ELECTION DAY'!N46)</f>
        <v>16</v>
      </c>
      <c r="O60" s="15" t="s">
        <v>70</v>
      </c>
      <c r="P60" s="15" t="s">
        <v>51</v>
      </c>
      <c r="Q60" s="16">
        <f>SUM('ADVANCE:ELECTION DAY'!Q46)</f>
        <v>25</v>
      </c>
      <c r="R60" s="16">
        <f>SUM('ADVANCE:ELECTION DAY'!R46)</f>
        <v>12</v>
      </c>
      <c r="S60" s="16">
        <f>SUM('ADVANCE:ELECTION DAY'!S46)</f>
        <v>41</v>
      </c>
      <c r="T60" s="16">
        <f>SUM('ADVANCE:ELECTION DAY'!T46)</f>
        <v>29</v>
      </c>
      <c r="U60" s="16">
        <f>SUM('ADVANCE:ELECTION DAY'!U46)</f>
        <v>17</v>
      </c>
      <c r="V60" s="16">
        <v>5</v>
      </c>
      <c r="W60" s="16">
        <f>SUM('ADVANCE:ELECTION DAY'!W46)</f>
        <v>54</v>
      </c>
      <c r="X60" s="32">
        <f>SUM('ADVANCE:ELECTION DAY'!X46)</f>
        <v>87</v>
      </c>
      <c r="Y60" s="16">
        <f>E60+F60+G60+H60+I60+J60+K60+L60+M60+N60+Q60+R60+S60+T60+U60+V60+W60+X60</f>
        <v>842</v>
      </c>
      <c r="Z60" s="16">
        <v>22</v>
      </c>
      <c r="AA60" s="16">
        <f t="shared" si="2"/>
        <v>864</v>
      </c>
    </row>
    <row r="61" spans="2:27" ht="13.5" thickBot="1" x14ac:dyDescent="0.25">
      <c r="B61" s="40"/>
      <c r="C61" s="15" t="s">
        <v>148</v>
      </c>
      <c r="D61" s="15"/>
      <c r="E61" s="16">
        <f>SUM('ADVANCE:ELECTION DAY'!E47)</f>
        <v>5</v>
      </c>
      <c r="F61" s="16">
        <f>SUM('ADVANCE:ELECTION DAY'!F47)</f>
        <v>3</v>
      </c>
      <c r="G61" s="16">
        <f>SUM('ADVANCE:ELECTION DAY'!G47)</f>
        <v>13</v>
      </c>
      <c r="H61" s="16">
        <f>SUM('ADVANCE:ELECTION DAY'!H47)</f>
        <v>11</v>
      </c>
      <c r="I61" s="16">
        <f>SUM('ADVANCE:ELECTION DAY'!I47)</f>
        <v>4</v>
      </c>
      <c r="J61" s="16">
        <f>SUM('ADVANCE:ELECTION DAY'!J47)</f>
        <v>33</v>
      </c>
      <c r="K61" s="16">
        <f>SUM('ADVANCE:ELECTION DAY'!K47)</f>
        <v>86</v>
      </c>
      <c r="L61" s="16">
        <f>SUM('ADVANCE:ELECTION DAY'!L47)</f>
        <v>39</v>
      </c>
      <c r="M61" s="32">
        <f>SUM('ADVANCE:ELECTION DAY'!M47)</f>
        <v>6</v>
      </c>
      <c r="N61" s="16">
        <f>SUM('ADVANCE:ELECTION DAY'!N47)</f>
        <v>22</v>
      </c>
      <c r="O61" s="15" t="s">
        <v>148</v>
      </c>
      <c r="P61" s="15"/>
      <c r="Q61" s="16">
        <f>SUM('ADVANCE:ELECTION DAY'!Q47)</f>
        <v>4</v>
      </c>
      <c r="R61" s="16">
        <f>SUM('ADVANCE:ELECTION DAY'!R47)</f>
        <v>4</v>
      </c>
      <c r="S61" s="16">
        <f>SUM('ADVANCE:ELECTION DAY'!S47)</f>
        <v>26</v>
      </c>
      <c r="T61" s="16">
        <f>SUM('ADVANCE:ELECTION DAY'!T47)</f>
        <v>2</v>
      </c>
      <c r="U61" s="16">
        <f>SUM('ADVANCE:ELECTION DAY'!U47)</f>
        <v>2</v>
      </c>
      <c r="V61" s="16">
        <f>SUM('ADVANCE:ELECTION DAY'!V47)</f>
        <v>9</v>
      </c>
      <c r="W61" s="16">
        <v>21</v>
      </c>
      <c r="X61" s="32">
        <f>SUM('ADVANCE:ELECTION DAY'!X47)</f>
        <v>18</v>
      </c>
      <c r="Y61" s="16">
        <f>E61+F61+G61+H61+I61+J61+K61+L61+M61+N61+Q61+R61+S61+T61+U61+V61+W61+X61</f>
        <v>308</v>
      </c>
      <c r="Z61" s="16">
        <v>4</v>
      </c>
      <c r="AA61" s="16">
        <f t="shared" si="2"/>
        <v>312</v>
      </c>
    </row>
    <row r="62" spans="2:27" ht="13.5" thickBot="1" x14ac:dyDescent="0.25">
      <c r="B62" s="17" t="s">
        <v>71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52"/>
      <c r="O62" s="17" t="s">
        <v>71</v>
      </c>
      <c r="P62" s="18"/>
      <c r="Q62" s="11"/>
      <c r="R62" s="34"/>
      <c r="S62" s="19"/>
      <c r="T62" s="18"/>
      <c r="U62" s="18"/>
      <c r="V62" s="18"/>
      <c r="W62" s="18"/>
      <c r="X62" s="18"/>
      <c r="Y62" s="54"/>
      <c r="Z62" s="54"/>
      <c r="AA62" s="54"/>
    </row>
    <row r="63" spans="2:27" ht="13.5" thickBot="1" x14ac:dyDescent="0.25">
      <c r="B63" s="40"/>
      <c r="C63" s="15" t="s">
        <v>72</v>
      </c>
      <c r="D63" s="15" t="s">
        <v>51</v>
      </c>
      <c r="E63" s="16">
        <f>SUM('ADVANCE:ELECTION DAY'!E49)</f>
        <v>20</v>
      </c>
      <c r="F63" s="16">
        <f>SUM('ADVANCE:ELECTION DAY'!F49)</f>
        <v>42</v>
      </c>
      <c r="G63" s="16">
        <f>SUM('ADVANCE:ELECTION DAY'!G49)</f>
        <v>40</v>
      </c>
      <c r="H63" s="16">
        <f>SUM('ADVANCE:ELECTION DAY'!H49)</f>
        <v>31</v>
      </c>
      <c r="I63" s="16">
        <f>SUM('ADVANCE:ELECTION DAY'!I49)</f>
        <v>23</v>
      </c>
      <c r="J63" s="16">
        <f>SUM('ADVANCE:ELECTION DAY'!J49)</f>
        <v>71</v>
      </c>
      <c r="K63" s="16">
        <v>342</v>
      </c>
      <c r="L63" s="16">
        <v>113</v>
      </c>
      <c r="M63" s="32">
        <f>SUM('ADVANCE:ELECTION DAY'!M49)</f>
        <v>3</v>
      </c>
      <c r="N63" s="16">
        <f>SUM('ADVANCE:ELECTION DAY'!N49)</f>
        <v>42</v>
      </c>
      <c r="O63" s="15" t="s">
        <v>72</v>
      </c>
      <c r="P63" s="15" t="s">
        <v>51</v>
      </c>
      <c r="Q63" s="16">
        <f>SUM('ADVANCE:ELECTION DAY'!Q49)</f>
        <v>30</v>
      </c>
      <c r="R63" s="16">
        <f>SUM('ADVANCE:ELECTION DAY'!R49)</f>
        <v>16</v>
      </c>
      <c r="S63" s="16">
        <f>SUM('ADVANCE:ELECTION DAY'!S49)</f>
        <v>62</v>
      </c>
      <c r="T63" s="16">
        <v>29</v>
      </c>
      <c r="U63" s="16">
        <f>SUM('ADVANCE:ELECTION DAY'!U49)</f>
        <v>18</v>
      </c>
      <c r="V63" s="16">
        <f>SUM('ADVANCE:ELECTION DAY'!V49)</f>
        <v>11</v>
      </c>
      <c r="W63" s="16">
        <f>SUM('ADVANCE:ELECTION DAY'!W49)</f>
        <v>76</v>
      </c>
      <c r="X63" s="32">
        <f>SUM('ADVANCE:ELECTION DAY'!X49)</f>
        <v>96</v>
      </c>
      <c r="Y63" s="16">
        <f>E63+F63+G63+H63+I63+J63+K63+L63+M63+N63+Q63+R63+S63+T63+U63+V63+W63+X63</f>
        <v>1065</v>
      </c>
      <c r="Z63" s="16">
        <v>22</v>
      </c>
      <c r="AA63" s="16">
        <f t="shared" si="2"/>
        <v>1087</v>
      </c>
    </row>
    <row r="64" spans="2:27" ht="13.5" thickBot="1" x14ac:dyDescent="0.25">
      <c r="B64" s="17" t="s">
        <v>73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52"/>
      <c r="O64" s="17" t="s">
        <v>73</v>
      </c>
      <c r="P64" s="18"/>
      <c r="Q64" s="11"/>
      <c r="R64" s="34"/>
      <c r="S64" s="19"/>
      <c r="T64" s="18"/>
      <c r="U64" s="18"/>
      <c r="V64" s="18"/>
      <c r="W64" s="18"/>
      <c r="X64" s="18"/>
      <c r="Y64" s="54"/>
      <c r="Z64" s="54"/>
      <c r="AA64" s="54"/>
    </row>
    <row r="65" spans="2:29" ht="13.5" thickBot="1" x14ac:dyDescent="0.25">
      <c r="B65" s="40"/>
      <c r="C65" s="15" t="s">
        <v>74</v>
      </c>
      <c r="D65" s="15" t="s">
        <v>51</v>
      </c>
      <c r="E65" s="16">
        <v>16</v>
      </c>
      <c r="F65" s="16">
        <v>46</v>
      </c>
      <c r="G65" s="16">
        <f>SUM('ADVANCE:ELECTION DAY'!G51)</f>
        <v>36</v>
      </c>
      <c r="H65" s="16">
        <f>SUM('ADVANCE:ELECTION DAY'!H51)</f>
        <v>31</v>
      </c>
      <c r="I65" s="16">
        <f>SUM('ADVANCE:ELECTION DAY'!I51)</f>
        <v>27</v>
      </c>
      <c r="J65" s="16">
        <f>SUM('ADVANCE:ELECTION DAY'!J51)</f>
        <v>72</v>
      </c>
      <c r="K65" s="16">
        <v>309</v>
      </c>
      <c r="L65" s="16">
        <f>SUM('ADVANCE:ELECTION DAY'!L51)</f>
        <v>113</v>
      </c>
      <c r="M65" s="32">
        <f>SUM('ADVANCE:ELECTION DAY'!M51)</f>
        <v>4</v>
      </c>
      <c r="N65" s="16">
        <f>SUM('ADVANCE:ELECTION DAY'!N51)</f>
        <v>43</v>
      </c>
      <c r="O65" s="15" t="s">
        <v>74</v>
      </c>
      <c r="P65" s="15" t="s">
        <v>51</v>
      </c>
      <c r="Q65" s="16">
        <f>SUM('ADVANCE:ELECTION DAY'!Q51)</f>
        <v>28</v>
      </c>
      <c r="R65" s="16">
        <f>SUM('ADVANCE:ELECTION DAY'!R51)</f>
        <v>16</v>
      </c>
      <c r="S65" s="16">
        <f>SUM('ADVANCE:ELECTION DAY'!S51)</f>
        <v>56</v>
      </c>
      <c r="T65" s="16">
        <f>SUM('ADVANCE:ELECTION DAY'!T51)</f>
        <v>25</v>
      </c>
      <c r="U65" s="16">
        <f>SUM('ADVANCE:ELECTION DAY'!U51)</f>
        <v>18</v>
      </c>
      <c r="V65" s="16">
        <f>SUM('ADVANCE:ELECTION DAY'!V51)</f>
        <v>16</v>
      </c>
      <c r="W65" s="16">
        <f>SUM('ADVANCE:ELECTION DAY'!W51)</f>
        <v>75</v>
      </c>
      <c r="X65" s="32">
        <f>SUM('ADVANCE:ELECTION DAY'!X51)</f>
        <v>87</v>
      </c>
      <c r="Y65" s="16">
        <f>E65+F65+G65+H65+I65+J65+K65+L65+M65+N65+Q65+R65+S65+T65+U65+V65+W65+X65</f>
        <v>1018</v>
      </c>
      <c r="Z65" s="16">
        <v>22</v>
      </c>
      <c r="AA65" s="16">
        <f t="shared" si="2"/>
        <v>1040</v>
      </c>
    </row>
    <row r="66" spans="2:29" ht="13.5" thickBot="1" x14ac:dyDescent="0.25">
      <c r="B66" s="40"/>
      <c r="C66" s="15"/>
      <c r="D66" s="15"/>
      <c r="E66" s="16">
        <f>SUM('ADVANCE:ELECTION DAY'!E52)</f>
        <v>0</v>
      </c>
      <c r="F66" s="16"/>
      <c r="G66" s="16"/>
      <c r="H66" s="16"/>
      <c r="I66" s="16"/>
      <c r="J66" s="16"/>
      <c r="K66" s="16"/>
      <c r="L66" s="16"/>
      <c r="M66" s="32"/>
      <c r="N66" s="16"/>
      <c r="O66" s="15"/>
      <c r="P66" s="14"/>
      <c r="Q66" s="16"/>
      <c r="R66" s="16"/>
      <c r="S66" s="16"/>
      <c r="T66" s="16"/>
      <c r="U66" s="16"/>
      <c r="V66" s="16"/>
      <c r="W66" s="16"/>
      <c r="X66" s="32"/>
      <c r="Y66" s="16">
        <f>E66+F66+G66+H66+I66+J66+K66+L66+M66+N66+Q66+R66+S66+T66+U66+V66+W66+X66</f>
        <v>0</v>
      </c>
      <c r="Z66" s="16"/>
      <c r="AA66" s="16"/>
    </row>
    <row r="67" spans="2:29" ht="27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O67" s="28" t="s">
        <v>18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2:29" ht="27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O68" s="28" t="s">
        <v>19</v>
      </c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2:29" ht="27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O69" s="28"/>
      <c r="P69" s="28" t="s">
        <v>20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2:29" ht="27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O70" s="28" t="s">
        <v>147</v>
      </c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2:29" ht="27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O71" s="28" t="s">
        <v>21</v>
      </c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2:29" ht="27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O72" s="28" t="s">
        <v>150</v>
      </c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2:29" ht="27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O73" s="28" t="s">
        <v>151</v>
      </c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2:29" ht="27.75" x14ac:dyDescent="0.4"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O74" s="28" t="s">
        <v>22</v>
      </c>
      <c r="P74" s="28"/>
      <c r="Q74" s="28"/>
      <c r="R74" s="28"/>
      <c r="S74" s="29" t="s">
        <v>23</v>
      </c>
      <c r="T74" s="28"/>
      <c r="U74" s="28"/>
      <c r="V74" s="28"/>
      <c r="W74" s="28"/>
      <c r="X74" s="28"/>
      <c r="Y74" s="28"/>
      <c r="Z74" s="28"/>
    </row>
    <row r="75" spans="2:29" ht="27.75" x14ac:dyDescent="0.4"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O75" s="6" t="s">
        <v>24</v>
      </c>
      <c r="Q75" s="6"/>
      <c r="R75" s="6"/>
      <c r="S75" s="29" t="s">
        <v>23</v>
      </c>
      <c r="T75" s="29"/>
      <c r="U75" s="29"/>
      <c r="V75" s="29"/>
      <c r="W75" s="29"/>
      <c r="X75" s="29"/>
      <c r="Y75" s="29"/>
      <c r="Z75" s="29"/>
    </row>
    <row r="76" spans="2:29" ht="27.75" x14ac:dyDescent="0.4"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O76" s="30" t="s">
        <v>101</v>
      </c>
      <c r="Q76" s="6"/>
      <c r="R76" s="6"/>
      <c r="S76" s="29" t="s">
        <v>23</v>
      </c>
      <c r="T76" s="29"/>
      <c r="U76" s="29"/>
      <c r="V76" s="29"/>
      <c r="W76" s="29"/>
      <c r="X76" s="29"/>
      <c r="Y76" s="29"/>
      <c r="Z76" s="29"/>
    </row>
    <row r="77" spans="2:29" ht="27.75" x14ac:dyDescent="0.4"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O77" s="29"/>
      <c r="Q77" s="6"/>
      <c r="R77" s="6"/>
      <c r="S77" s="6"/>
      <c r="T77" s="30" t="s">
        <v>25</v>
      </c>
      <c r="U77" s="29"/>
      <c r="V77" s="29"/>
      <c r="W77" s="29"/>
      <c r="X77" s="29"/>
      <c r="Y77" s="29"/>
      <c r="Z77" s="29"/>
      <c r="AA77" s="29"/>
    </row>
    <row r="78" spans="2:29" ht="27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9" ht="27.75" x14ac:dyDescent="0.4"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/>
      <c r="S79" s="1"/>
      <c r="T79" s="1"/>
      <c r="U79" s="1"/>
      <c r="V79" s="1"/>
      <c r="W79" s="1"/>
      <c r="X79" s="1"/>
      <c r="Y79" s="1"/>
    </row>
    <row r="80" spans="2:29" ht="27" x14ac:dyDescent="0.35">
      <c r="B80" s="1" t="s">
        <v>39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 t="s">
        <v>39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2:29" ht="27" x14ac:dyDescent="0.35">
      <c r="B81" s="1" t="s">
        <v>133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 t="s">
        <v>133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2:29" ht="45" x14ac:dyDescent="0.25">
      <c r="B82" s="70" t="s">
        <v>100</v>
      </c>
      <c r="C82" s="51">
        <v>1317</v>
      </c>
      <c r="D82" s="3"/>
      <c r="E82" s="4"/>
      <c r="F82" s="4"/>
      <c r="G82" s="4"/>
      <c r="H82" s="4"/>
      <c r="I82" s="4"/>
      <c r="J82" s="4"/>
      <c r="K82" s="4"/>
      <c r="L82" s="4"/>
      <c r="M82" s="4"/>
      <c r="N82" s="3"/>
      <c r="O82" s="51"/>
      <c r="P82" s="4"/>
      <c r="Q82" s="4"/>
      <c r="R82" s="36"/>
      <c r="S82" s="4"/>
      <c r="T82" s="4"/>
      <c r="U82" s="4"/>
      <c r="V82" s="4"/>
      <c r="W82" s="4"/>
      <c r="X82" s="4"/>
      <c r="Y82" s="4"/>
      <c r="Z82" s="4"/>
      <c r="AA82" s="5"/>
      <c r="AB82" s="5"/>
      <c r="AC82" s="5"/>
    </row>
    <row r="83" spans="2:29" ht="26.25" x14ac:dyDescent="0.25">
      <c r="B83" s="71" t="s">
        <v>99</v>
      </c>
      <c r="C83" s="4">
        <v>1808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6"/>
      <c r="Q83" s="4"/>
      <c r="R83" s="4"/>
      <c r="S83" s="36"/>
      <c r="T83" s="4"/>
      <c r="U83" s="4"/>
      <c r="V83" s="4"/>
      <c r="W83" s="4"/>
      <c r="X83" s="4"/>
      <c r="Y83" s="4"/>
      <c r="Z83" s="4"/>
      <c r="AA83" s="5"/>
      <c r="AB83" s="5"/>
      <c r="AC83" s="5"/>
    </row>
    <row r="84" spans="2:29" ht="16.5" thickBot="1" x14ac:dyDescent="0.3">
      <c r="B84" s="4" t="s">
        <v>96</v>
      </c>
      <c r="C84" s="50">
        <v>0.73</v>
      </c>
      <c r="D84" s="4"/>
      <c r="E84" s="4"/>
      <c r="F84" s="4"/>
      <c r="N84" s="4"/>
      <c r="O84" s="50"/>
      <c r="AA84" s="5"/>
      <c r="AB84" s="5"/>
      <c r="AC84" s="5"/>
    </row>
    <row r="85" spans="2:29" ht="101.25" thickBot="1" x14ac:dyDescent="0.25">
      <c r="B85" s="63" t="s">
        <v>0</v>
      </c>
      <c r="C85" s="63" t="s">
        <v>1</v>
      </c>
      <c r="D85" s="8" t="s">
        <v>2</v>
      </c>
      <c r="E85" s="9" t="s">
        <v>3</v>
      </c>
      <c r="F85" s="9" t="s">
        <v>4</v>
      </c>
      <c r="G85" s="9" t="s">
        <v>5</v>
      </c>
      <c r="H85" s="9" t="s">
        <v>6</v>
      </c>
      <c r="I85" s="9" t="s">
        <v>7</v>
      </c>
      <c r="J85" s="9" t="s">
        <v>41</v>
      </c>
      <c r="K85" s="9" t="s">
        <v>42</v>
      </c>
      <c r="L85" s="9" t="s">
        <v>43</v>
      </c>
      <c r="M85" s="31" t="s">
        <v>44</v>
      </c>
      <c r="N85" s="9" t="s">
        <v>45</v>
      </c>
      <c r="O85" s="64" t="s">
        <v>1</v>
      </c>
      <c r="P85" s="8" t="s">
        <v>2</v>
      </c>
      <c r="Q85" s="9" t="s">
        <v>46</v>
      </c>
      <c r="R85" s="9" t="s">
        <v>8</v>
      </c>
      <c r="S85" s="9" t="s">
        <v>9</v>
      </c>
      <c r="T85" s="9" t="s">
        <v>10</v>
      </c>
      <c r="U85" s="9" t="s">
        <v>47</v>
      </c>
      <c r="V85" s="9" t="s">
        <v>11</v>
      </c>
      <c r="W85" s="9" t="s">
        <v>12</v>
      </c>
      <c r="X85" s="31" t="s">
        <v>13</v>
      </c>
      <c r="Y85" s="9" t="s">
        <v>14</v>
      </c>
      <c r="Z85" s="9" t="s">
        <v>149</v>
      </c>
      <c r="AA85" s="9" t="s">
        <v>14</v>
      </c>
    </row>
    <row r="86" spans="2:29" ht="13.5" thickBot="1" x14ac:dyDescent="0.25">
      <c r="B86" s="22" t="s">
        <v>78</v>
      </c>
      <c r="C86" s="23"/>
      <c r="D86" s="23"/>
      <c r="E86" s="24"/>
      <c r="F86" s="23"/>
      <c r="G86" s="23"/>
      <c r="H86" s="23"/>
      <c r="I86" s="23"/>
      <c r="J86" s="23"/>
      <c r="K86" s="23"/>
      <c r="L86" s="23"/>
      <c r="M86" s="23"/>
      <c r="N86" s="66"/>
      <c r="O86" s="22" t="s">
        <v>78</v>
      </c>
      <c r="P86" s="24"/>
      <c r="Q86" s="23"/>
      <c r="R86" s="23"/>
      <c r="S86" s="24"/>
      <c r="T86" s="23"/>
      <c r="U86" s="23"/>
      <c r="V86" s="23"/>
      <c r="W86" s="23"/>
      <c r="X86" s="23"/>
      <c r="Y86" s="53"/>
      <c r="Z86" s="53"/>
      <c r="AA86" s="53"/>
    </row>
    <row r="87" spans="2:29" ht="13.5" thickBot="1" x14ac:dyDescent="0.25">
      <c r="B87" s="17" t="s">
        <v>26</v>
      </c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8"/>
      <c r="N87" s="52"/>
      <c r="O87" s="17" t="s">
        <v>26</v>
      </c>
      <c r="P87" s="19"/>
      <c r="Q87" s="18"/>
      <c r="R87" s="34"/>
      <c r="S87" s="19"/>
      <c r="T87" s="18"/>
      <c r="U87" s="18"/>
      <c r="V87" s="18"/>
      <c r="W87" s="18"/>
      <c r="X87" s="18"/>
      <c r="Y87" s="54"/>
      <c r="Z87" s="54"/>
      <c r="AA87" s="54"/>
    </row>
    <row r="88" spans="2:29" ht="13.5" thickBot="1" x14ac:dyDescent="0.25">
      <c r="B88" s="15"/>
      <c r="C88" s="15" t="s">
        <v>84</v>
      </c>
      <c r="D88" s="15" t="s">
        <v>15</v>
      </c>
      <c r="E88" s="32">
        <v>19</v>
      </c>
      <c r="F88" s="16">
        <f>SUM('ADVANCE:ELECTION DAY'!F63)</f>
        <v>0</v>
      </c>
      <c r="G88" s="16">
        <f>SUM('ADVANCE:ELECTION DAY'!G63)</f>
        <v>0</v>
      </c>
      <c r="H88" s="16">
        <f>SUM('ADVANCE:ELECTION DAY'!H63)</f>
        <v>0</v>
      </c>
      <c r="I88" s="16">
        <f>SUM('ADVANCE:ELECTION DAY'!I63)</f>
        <v>0</v>
      </c>
      <c r="J88" s="16">
        <f>SUM('ADVANCE:ELECTION DAY'!J63)</f>
        <v>0</v>
      </c>
      <c r="K88" s="16">
        <f>SUM('ADVANCE:ELECTION DAY'!K63)</f>
        <v>0</v>
      </c>
      <c r="L88" s="16">
        <f>SUM('ADVANCE:ELECTION DAY'!L63)</f>
        <v>0</v>
      </c>
      <c r="M88" s="32">
        <f>SUM('ADVANCE:ELECTION DAY'!M63)</f>
        <v>0</v>
      </c>
      <c r="N88" s="16">
        <f>SUM('ADVANCE:ELECTION DAY'!N63)</f>
        <v>0</v>
      </c>
      <c r="O88" s="15" t="s">
        <v>84</v>
      </c>
      <c r="P88" s="15" t="s">
        <v>15</v>
      </c>
      <c r="Q88" s="16">
        <f>SUM('ADVANCE:ELECTION DAY'!Q63)</f>
        <v>0</v>
      </c>
      <c r="R88" s="16">
        <f>SUM('ADVANCE:ELECTION DAY'!R63)</f>
        <v>0</v>
      </c>
      <c r="S88" s="16">
        <f>SUM('ADVANCE:ELECTION DAY'!S63)</f>
        <v>0</v>
      </c>
      <c r="T88" s="16">
        <f>SUM('ADVANCE:ELECTION DAY'!T63)</f>
        <v>0</v>
      </c>
      <c r="U88" s="16">
        <f>SUM('ADVANCE:ELECTION DAY'!U63)</f>
        <v>0</v>
      </c>
      <c r="V88" s="16">
        <f>SUM('ADVANCE:ELECTION DAY'!V63)</f>
        <v>0</v>
      </c>
      <c r="W88" s="16">
        <f>SUM('ADVANCE:ELECTION DAY'!W63)</f>
        <v>0</v>
      </c>
      <c r="X88" s="32">
        <f>SUM('ADVANCE:ELECTION DAY'!X63)</f>
        <v>0</v>
      </c>
      <c r="Y88" s="16">
        <f>E88+F88+G88+H88+I88+J88+K88+L88+M88+N88+Q88+R88+S88+T88+U88+V88+W88+X88</f>
        <v>19</v>
      </c>
      <c r="Z88" s="16">
        <v>0</v>
      </c>
      <c r="AA88" s="16">
        <f>SUM(Y88:Z88)</f>
        <v>19</v>
      </c>
    </row>
    <row r="89" spans="2:29" ht="13.5" thickBot="1" x14ac:dyDescent="0.25">
      <c r="B89" s="48"/>
      <c r="C89" s="15"/>
      <c r="D89" s="15"/>
      <c r="E89" s="32">
        <f>SUM('ADVANCE:ELECTION DAY'!E64)</f>
        <v>0</v>
      </c>
      <c r="F89" s="16">
        <f>SUM('ADVANCE:ELECTION DAY'!F64)</f>
        <v>0</v>
      </c>
      <c r="G89" s="16">
        <f>SUM('ADVANCE:ELECTION DAY'!G64)</f>
        <v>0</v>
      </c>
      <c r="H89" s="16">
        <f>SUM('ADVANCE:ELECTION DAY'!H64)</f>
        <v>0</v>
      </c>
      <c r="I89" s="16">
        <f>SUM('ADVANCE:ELECTION DAY'!I64)</f>
        <v>0</v>
      </c>
      <c r="J89" s="16">
        <f>SUM('ADVANCE:ELECTION DAY'!J64)</f>
        <v>0</v>
      </c>
      <c r="K89" s="16">
        <f>SUM('ADVANCE:ELECTION DAY'!K64)</f>
        <v>0</v>
      </c>
      <c r="L89" s="16">
        <f>SUM('ADVANCE:ELECTION DAY'!L64)</f>
        <v>0</v>
      </c>
      <c r="M89" s="32">
        <f>SUM('ADVANCE:ELECTION DAY'!M64)</f>
        <v>0</v>
      </c>
      <c r="N89" s="16">
        <f>SUM('ADVANCE:ELECTION DAY'!N64)</f>
        <v>0</v>
      </c>
      <c r="O89" s="16"/>
      <c r="P89" s="15"/>
      <c r="Q89" s="16">
        <f>SUM('ADVANCE:ELECTION DAY'!Q64)</f>
        <v>0</v>
      </c>
      <c r="R89" s="16">
        <f>SUM('ADVANCE:ELECTION DAY'!R64)</f>
        <v>0</v>
      </c>
      <c r="S89" s="16">
        <f>SUM('ADVANCE:ELECTION DAY'!S64)</f>
        <v>0</v>
      </c>
      <c r="T89" s="16">
        <f>SUM('ADVANCE:ELECTION DAY'!T64)</f>
        <v>0</v>
      </c>
      <c r="U89" s="16">
        <f>SUM('ADVANCE:ELECTION DAY'!U64)</f>
        <v>0</v>
      </c>
      <c r="V89" s="16">
        <f>SUM('ADVANCE:ELECTION DAY'!V64)</f>
        <v>0</v>
      </c>
      <c r="W89" s="16">
        <f>SUM('ADVANCE:ELECTION DAY'!W64)</f>
        <v>0</v>
      </c>
      <c r="X89" s="32">
        <f>SUM('ADVANCE:ELECTION DAY'!X64)</f>
        <v>0</v>
      </c>
      <c r="Y89" s="16">
        <f>E89+F89+G89+H89+I89+J89+K89+L89+M89+N89+Q89+R89+S89+T89+U89+V89+W89+X89</f>
        <v>0</v>
      </c>
      <c r="Z89" s="16"/>
      <c r="AA89" s="16"/>
    </row>
    <row r="90" spans="2:29" ht="13.5" thickBot="1" x14ac:dyDescent="0.25">
      <c r="B90" s="10" t="s">
        <v>27</v>
      </c>
      <c r="C90" s="11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55"/>
      <c r="O90" s="10" t="s">
        <v>27</v>
      </c>
      <c r="P90" s="11"/>
      <c r="Q90" s="12"/>
      <c r="R90" s="33"/>
      <c r="S90" s="12"/>
      <c r="T90" s="12"/>
      <c r="U90" s="12"/>
      <c r="V90" s="12"/>
      <c r="W90" s="12"/>
      <c r="X90" s="12"/>
      <c r="Y90" s="55"/>
      <c r="Z90" s="55"/>
      <c r="AA90" s="55"/>
    </row>
    <row r="91" spans="2:29" ht="13.5" thickBot="1" x14ac:dyDescent="0.25">
      <c r="B91" s="15"/>
      <c r="C91" s="15" t="s">
        <v>83</v>
      </c>
      <c r="D91" s="15" t="s">
        <v>15</v>
      </c>
      <c r="E91" s="32">
        <f>SUM('ADVANCE:ELECTION DAY'!E66)</f>
        <v>0</v>
      </c>
      <c r="F91" s="16">
        <v>41</v>
      </c>
      <c r="G91" s="16">
        <f>SUM('ADVANCE:ELECTION DAY'!G66)</f>
        <v>0</v>
      </c>
      <c r="H91" s="16">
        <f>SUM('ADVANCE:ELECTION DAY'!H66)</f>
        <v>0</v>
      </c>
      <c r="I91" s="16">
        <f>SUM('ADVANCE:ELECTION DAY'!I66)</f>
        <v>0</v>
      </c>
      <c r="J91" s="16">
        <f>SUM('ADVANCE:ELECTION DAY'!J66)</f>
        <v>0</v>
      </c>
      <c r="K91" s="16">
        <f>SUM('ADVANCE:ELECTION DAY'!K66)</f>
        <v>0</v>
      </c>
      <c r="L91" s="16">
        <f>SUM('ADVANCE:ELECTION DAY'!L66)</f>
        <v>0</v>
      </c>
      <c r="M91" s="32">
        <f>SUM('ADVANCE:ELECTION DAY'!M66)</f>
        <v>0</v>
      </c>
      <c r="N91" s="16">
        <f>SUM('ADVANCE:ELECTION DAY'!N66)</f>
        <v>0</v>
      </c>
      <c r="O91" s="15" t="s">
        <v>83</v>
      </c>
      <c r="P91" s="15" t="s">
        <v>15</v>
      </c>
      <c r="Q91" s="16">
        <f>SUM('ADVANCE:ELECTION DAY'!Q66)</f>
        <v>0</v>
      </c>
      <c r="R91" s="16">
        <f>SUM('ADVANCE:ELECTION DAY'!R66)</f>
        <v>0</v>
      </c>
      <c r="S91" s="16">
        <f>SUM('ADVANCE:ELECTION DAY'!S66)</f>
        <v>0</v>
      </c>
      <c r="T91" s="16">
        <f>SUM('ADVANCE:ELECTION DAY'!T66)</f>
        <v>0</v>
      </c>
      <c r="U91" s="16">
        <f>SUM('ADVANCE:ELECTION DAY'!U66)</f>
        <v>0</v>
      </c>
      <c r="V91" s="16">
        <f>SUM('ADVANCE:ELECTION DAY'!V66)</f>
        <v>0</v>
      </c>
      <c r="W91" s="16">
        <f>SUM('ADVANCE:ELECTION DAY'!W66)</f>
        <v>0</v>
      </c>
      <c r="X91" s="32">
        <f>SUM('ADVANCE:ELECTION DAY'!X66)</f>
        <v>0</v>
      </c>
      <c r="Y91" s="16">
        <f>E91+F91+G91+H91+I91+J91+K91+L91+M91+N91+Q91+R91+S91+T91+U91+V91+W91+X91</f>
        <v>41</v>
      </c>
      <c r="Z91" s="16">
        <v>0</v>
      </c>
      <c r="AA91" s="16">
        <f t="shared" ref="AA91:AA120" si="3">SUM(Y91:Z91)</f>
        <v>41</v>
      </c>
    </row>
    <row r="92" spans="2:29" ht="13.5" thickBot="1" x14ac:dyDescent="0.25">
      <c r="B92" s="21"/>
      <c r="C92" s="15"/>
      <c r="D92" s="15"/>
      <c r="E92" s="32">
        <f>SUM('ADVANCE:ELECTION DAY'!E67)</f>
        <v>0</v>
      </c>
      <c r="F92" s="16">
        <f>SUM('ADVANCE:ELECTION DAY'!F67)</f>
        <v>0</v>
      </c>
      <c r="G92" s="16">
        <f>SUM('ADVANCE:ELECTION DAY'!G67)</f>
        <v>0</v>
      </c>
      <c r="H92" s="16">
        <f>SUM('ADVANCE:ELECTION DAY'!H67)</f>
        <v>0</v>
      </c>
      <c r="I92" s="16">
        <f>SUM('ADVANCE:ELECTION DAY'!I67)</f>
        <v>0</v>
      </c>
      <c r="J92" s="16">
        <f>SUM('ADVANCE:ELECTION DAY'!J67)</f>
        <v>0</v>
      </c>
      <c r="K92" s="16">
        <f>SUM('ADVANCE:ELECTION DAY'!K67)</f>
        <v>0</v>
      </c>
      <c r="L92" s="16">
        <f>SUM('ADVANCE:ELECTION DAY'!L67)</f>
        <v>0</v>
      </c>
      <c r="M92" s="32">
        <f>SUM('ADVANCE:ELECTION DAY'!M67)</f>
        <v>0</v>
      </c>
      <c r="N92" s="16">
        <f>SUM('ADVANCE:ELECTION DAY'!N67)</f>
        <v>0</v>
      </c>
      <c r="O92" s="16"/>
      <c r="P92" s="15"/>
      <c r="Q92" s="16">
        <f>SUM('ADVANCE:ELECTION DAY'!Q67)</f>
        <v>0</v>
      </c>
      <c r="R92" s="16">
        <f>SUM('ADVANCE:ELECTION DAY'!R67)</f>
        <v>0</v>
      </c>
      <c r="S92" s="16">
        <f>SUM('ADVANCE:ELECTION DAY'!S67)</f>
        <v>0</v>
      </c>
      <c r="T92" s="16">
        <f>SUM('ADVANCE:ELECTION DAY'!T67)</f>
        <v>0</v>
      </c>
      <c r="U92" s="16">
        <f>SUM('ADVANCE:ELECTION DAY'!U67)</f>
        <v>0</v>
      </c>
      <c r="V92" s="16">
        <f>SUM('ADVANCE:ELECTION DAY'!V67)</f>
        <v>0</v>
      </c>
      <c r="W92" s="16">
        <f>SUM('ADVANCE:ELECTION DAY'!W67)</f>
        <v>0</v>
      </c>
      <c r="X92" s="32">
        <f>SUM('ADVANCE:ELECTION DAY'!X67)</f>
        <v>0</v>
      </c>
      <c r="Y92" s="16">
        <f>E92+F92+G92+H92+I92+J92+K92+L92+M92+N92+Q92+R92+S92+T92+U92+V92+W92+X92</f>
        <v>0</v>
      </c>
      <c r="Z92" s="16"/>
      <c r="AA92" s="16"/>
    </row>
    <row r="93" spans="2:29" ht="13.5" thickBot="1" x14ac:dyDescent="0.25">
      <c r="B93" s="10" t="s">
        <v>28</v>
      </c>
      <c r="C93" s="11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55"/>
      <c r="O93" s="10" t="s">
        <v>28</v>
      </c>
      <c r="P93" s="11"/>
      <c r="Q93" s="12"/>
      <c r="R93" s="33"/>
      <c r="S93" s="12"/>
      <c r="T93" s="12"/>
      <c r="U93" s="12"/>
      <c r="V93" s="12"/>
      <c r="W93" s="12"/>
      <c r="X93" s="12"/>
      <c r="Y93" s="55"/>
      <c r="Z93" s="55"/>
      <c r="AA93" s="55"/>
    </row>
    <row r="94" spans="2:29" ht="13.5" thickBot="1" x14ac:dyDescent="0.25">
      <c r="B94" s="21"/>
      <c r="C94" s="15" t="s">
        <v>53</v>
      </c>
      <c r="D94" s="15" t="s">
        <v>15</v>
      </c>
      <c r="E94" s="32">
        <f>SUM('ADVANCE:ELECTION DAY'!E69)</f>
        <v>0</v>
      </c>
      <c r="F94" s="16">
        <f>SUM('ADVANCE:ELECTION DAY'!F69)</f>
        <v>0</v>
      </c>
      <c r="G94" s="16">
        <v>43</v>
      </c>
      <c r="H94" s="16">
        <f>SUM('ADVANCE:ELECTION DAY'!H69)</f>
        <v>0</v>
      </c>
      <c r="I94" s="16">
        <f>SUM('ADVANCE:ELECTION DAY'!I69)</f>
        <v>0</v>
      </c>
      <c r="J94" s="16">
        <f>SUM('ADVANCE:ELECTION DAY'!J69)</f>
        <v>0</v>
      </c>
      <c r="K94" s="16">
        <f>SUM('ADVANCE:ELECTION DAY'!K69)</f>
        <v>0</v>
      </c>
      <c r="L94" s="16">
        <f>SUM('ADVANCE:ELECTION DAY'!L69)</f>
        <v>0</v>
      </c>
      <c r="M94" s="32">
        <f>SUM('ADVANCE:ELECTION DAY'!M69)</f>
        <v>0</v>
      </c>
      <c r="N94" s="16">
        <f>SUM('ADVANCE:ELECTION DAY'!N69)</f>
        <v>0</v>
      </c>
      <c r="O94" s="15" t="s">
        <v>53</v>
      </c>
      <c r="P94" s="15" t="s">
        <v>15</v>
      </c>
      <c r="Q94" s="16">
        <f>SUM('ADVANCE:ELECTION DAY'!Q69)</f>
        <v>0</v>
      </c>
      <c r="R94" s="16">
        <f>SUM('ADVANCE:ELECTION DAY'!R69)</f>
        <v>0</v>
      </c>
      <c r="S94" s="16">
        <f>SUM('ADVANCE:ELECTION DAY'!S69)</f>
        <v>0</v>
      </c>
      <c r="T94" s="16">
        <f>SUM('ADVANCE:ELECTION DAY'!T69)</f>
        <v>0</v>
      </c>
      <c r="U94" s="16">
        <f>SUM('ADVANCE:ELECTION DAY'!U69)</f>
        <v>0</v>
      </c>
      <c r="V94" s="16">
        <f>SUM('ADVANCE:ELECTION DAY'!V69)</f>
        <v>0</v>
      </c>
      <c r="W94" s="16">
        <f>SUM('ADVANCE:ELECTION DAY'!W69)</f>
        <v>0</v>
      </c>
      <c r="X94" s="32">
        <f>SUM('ADVANCE:ELECTION DAY'!X69)</f>
        <v>0</v>
      </c>
      <c r="Y94" s="16">
        <f>E94+F94+G94+H94+I94+J94+K94+L94+M94+N94+Q94+R94+S94+T94+U94+V94+W94+X94</f>
        <v>43</v>
      </c>
      <c r="Z94" s="16">
        <v>1</v>
      </c>
      <c r="AA94" s="16">
        <f t="shared" si="3"/>
        <v>44</v>
      </c>
    </row>
    <row r="95" spans="2:29" ht="13.5" thickBot="1" x14ac:dyDescent="0.25">
      <c r="B95" s="21"/>
      <c r="C95" s="15"/>
      <c r="D95" s="15"/>
      <c r="E95" s="32">
        <f>SUM('ADVANCE:ELECTION DAY'!E70)</f>
        <v>0</v>
      </c>
      <c r="F95" s="16">
        <f>SUM('ADVANCE:ELECTION DAY'!F70)</f>
        <v>0</v>
      </c>
      <c r="G95" s="16">
        <f>SUM('ADVANCE:ELECTION DAY'!G70)</f>
        <v>0</v>
      </c>
      <c r="H95" s="16">
        <f>SUM('ADVANCE:ELECTION DAY'!H70)</f>
        <v>0</v>
      </c>
      <c r="I95" s="16">
        <f>SUM('ADVANCE:ELECTION DAY'!I70)</f>
        <v>0</v>
      </c>
      <c r="J95" s="16">
        <f>SUM('ADVANCE:ELECTION DAY'!J70)</f>
        <v>0</v>
      </c>
      <c r="K95" s="16">
        <f>SUM('ADVANCE:ELECTION DAY'!K70)</f>
        <v>0</v>
      </c>
      <c r="L95" s="16">
        <f>SUM('ADVANCE:ELECTION DAY'!L70)</f>
        <v>0</v>
      </c>
      <c r="M95" s="32">
        <f>SUM('ADVANCE:ELECTION DAY'!M70)</f>
        <v>0</v>
      </c>
      <c r="N95" s="16">
        <f>SUM('ADVANCE:ELECTION DAY'!N70)</f>
        <v>0</v>
      </c>
      <c r="O95" s="16"/>
      <c r="P95" s="15"/>
      <c r="Q95" s="16">
        <f>SUM('ADVANCE:ELECTION DAY'!Q70)</f>
        <v>0</v>
      </c>
      <c r="R95" s="16">
        <f>SUM('ADVANCE:ELECTION DAY'!R70)</f>
        <v>0</v>
      </c>
      <c r="S95" s="16">
        <f>SUM('ADVANCE:ELECTION DAY'!S70)</f>
        <v>0</v>
      </c>
      <c r="T95" s="16">
        <f>SUM('ADVANCE:ELECTION DAY'!T70)</f>
        <v>0</v>
      </c>
      <c r="U95" s="16">
        <f>SUM('ADVANCE:ELECTION DAY'!U70)</f>
        <v>0</v>
      </c>
      <c r="V95" s="16">
        <f>SUM('ADVANCE:ELECTION DAY'!V70)</f>
        <v>0</v>
      </c>
      <c r="W95" s="16">
        <f>SUM('ADVANCE:ELECTION DAY'!W70)</f>
        <v>0</v>
      </c>
      <c r="X95" s="32">
        <f>SUM('ADVANCE:ELECTION DAY'!X70)</f>
        <v>0</v>
      </c>
      <c r="Y95" s="16">
        <f>E95+F95+G95+H95+I95+J95+K95+L95+M95+N95+Q95+R95+S95+T95+U95+V95+W95+X95</f>
        <v>0</v>
      </c>
      <c r="Z95" s="16"/>
      <c r="AA95" s="16"/>
    </row>
    <row r="96" spans="2:29" ht="13.5" thickBot="1" x14ac:dyDescent="0.25">
      <c r="B96" s="10" t="s">
        <v>29</v>
      </c>
      <c r="C96" s="11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55"/>
      <c r="O96" s="10" t="s">
        <v>29</v>
      </c>
      <c r="P96" s="11"/>
      <c r="Q96" s="12"/>
      <c r="R96" s="33"/>
      <c r="S96" s="12"/>
      <c r="T96" s="12"/>
      <c r="U96" s="12"/>
      <c r="V96" s="12"/>
      <c r="W96" s="12"/>
      <c r="X96" s="12"/>
      <c r="Y96" s="55"/>
      <c r="Z96" s="55"/>
      <c r="AA96" s="55"/>
    </row>
    <row r="97" spans="1:27" ht="13.5" thickBot="1" x14ac:dyDescent="0.25">
      <c r="B97" s="21"/>
      <c r="C97" s="15"/>
      <c r="D97" s="15"/>
      <c r="E97" s="32">
        <f>SUM('ADVANCE:ELECTION DAY'!E72)</f>
        <v>0</v>
      </c>
      <c r="F97" s="16">
        <f>SUM('ADVANCE:ELECTION DAY'!F72)</f>
        <v>0</v>
      </c>
      <c r="G97" s="16">
        <f>SUM('ADVANCE:ELECTION DAY'!G72)</f>
        <v>0</v>
      </c>
      <c r="H97" s="16">
        <f>SUM('ADVANCE:ELECTION DAY'!H72)</f>
        <v>0</v>
      </c>
      <c r="I97" s="16">
        <f>SUM('ADVANCE:ELECTION DAY'!I72)</f>
        <v>0</v>
      </c>
      <c r="J97" s="16">
        <f>SUM('ADVANCE:ELECTION DAY'!J72)</f>
        <v>0</v>
      </c>
      <c r="K97" s="16">
        <f>SUM('ADVANCE:ELECTION DAY'!K72)</f>
        <v>0</v>
      </c>
      <c r="L97" s="16">
        <f>SUM('ADVANCE:ELECTION DAY'!L72)</f>
        <v>0</v>
      </c>
      <c r="M97" s="32">
        <f>SUM('ADVANCE:ELECTION DAY'!M72)</f>
        <v>0</v>
      </c>
      <c r="N97" s="16">
        <f>SUM('ADVANCE:ELECTION DAY'!N72)</f>
        <v>0</v>
      </c>
      <c r="O97" s="16"/>
      <c r="P97" s="15"/>
      <c r="Q97" s="16">
        <f>SUM('ADVANCE:ELECTION DAY'!Q72)</f>
        <v>0</v>
      </c>
      <c r="R97" s="16">
        <f>SUM('ADVANCE:ELECTION DAY'!R72)</f>
        <v>0</v>
      </c>
      <c r="S97" s="16">
        <f>SUM('ADVANCE:ELECTION DAY'!S72)</f>
        <v>0</v>
      </c>
      <c r="T97" s="16">
        <f>SUM('ADVANCE:ELECTION DAY'!T72)</f>
        <v>0</v>
      </c>
      <c r="U97" s="16">
        <f>SUM('ADVANCE:ELECTION DAY'!U72)</f>
        <v>0</v>
      </c>
      <c r="V97" s="16">
        <f>SUM('ADVANCE:ELECTION DAY'!V72)</f>
        <v>0</v>
      </c>
      <c r="W97" s="16">
        <f>SUM('ADVANCE:ELECTION DAY'!W72)</f>
        <v>0</v>
      </c>
      <c r="X97" s="32">
        <f>SUM('ADVANCE:ELECTION DAY'!X72)</f>
        <v>0</v>
      </c>
      <c r="Y97" s="16">
        <f>E97+F97+G97+H97+I97+J97+K97+L97+M97+N97+Q97+R97+S97+T97+U97+V97+W97+X97</f>
        <v>0</v>
      </c>
      <c r="Z97" s="16"/>
      <c r="AA97" s="16"/>
    </row>
    <row r="98" spans="1:27" ht="20.100000000000001" customHeight="1" thickBot="1" x14ac:dyDescent="0.25">
      <c r="B98" s="10" t="s">
        <v>30</v>
      </c>
      <c r="C98" s="11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55"/>
      <c r="O98" s="10" t="s">
        <v>30</v>
      </c>
      <c r="P98" s="11"/>
      <c r="Q98" s="12"/>
      <c r="R98" s="33"/>
      <c r="S98" s="12"/>
      <c r="T98" s="12"/>
      <c r="U98" s="12"/>
      <c r="V98" s="12"/>
      <c r="W98" s="12"/>
      <c r="X98" s="12"/>
      <c r="Y98" s="55"/>
      <c r="Z98" s="55"/>
      <c r="AA98" s="55"/>
    </row>
    <row r="99" spans="1:27" ht="13.5" thickBot="1" x14ac:dyDescent="0.25">
      <c r="B99" s="15"/>
      <c r="C99" s="15" t="s">
        <v>98</v>
      </c>
      <c r="D99" s="15" t="s">
        <v>15</v>
      </c>
      <c r="E99" s="32">
        <f>SUM('ADVANCE:ELECTION DAY'!E74)</f>
        <v>0</v>
      </c>
      <c r="F99" s="16">
        <f>SUM('ADVANCE:ELECTION DAY'!F74)</f>
        <v>0</v>
      </c>
      <c r="G99" s="16">
        <f>SUM('ADVANCE:ELECTION DAY'!G74)</f>
        <v>0</v>
      </c>
      <c r="H99" s="16">
        <f>SUM('ADVANCE:ELECTION DAY'!H74)</f>
        <v>0</v>
      </c>
      <c r="I99" s="16">
        <v>30</v>
      </c>
      <c r="J99" s="16">
        <f>SUM('ADVANCE:ELECTION DAY'!J74)</f>
        <v>0</v>
      </c>
      <c r="K99" s="16">
        <f>SUM('ADVANCE:ELECTION DAY'!K74)</f>
        <v>0</v>
      </c>
      <c r="L99" s="16">
        <f>SUM('ADVANCE:ELECTION DAY'!L74)</f>
        <v>0</v>
      </c>
      <c r="M99" s="32">
        <f>SUM('ADVANCE:ELECTION DAY'!M74)</f>
        <v>0</v>
      </c>
      <c r="N99" s="16">
        <f>SUM('ADVANCE:ELECTION DAY'!N74)</f>
        <v>0</v>
      </c>
      <c r="O99" s="15" t="s">
        <v>98</v>
      </c>
      <c r="P99" s="15" t="s">
        <v>15</v>
      </c>
      <c r="Q99" s="16">
        <f>SUM('ADVANCE:ELECTION DAY'!Q74)</f>
        <v>0</v>
      </c>
      <c r="R99" s="16">
        <f>SUM('ADVANCE:ELECTION DAY'!R74)</f>
        <v>0</v>
      </c>
      <c r="S99" s="16">
        <f>SUM('ADVANCE:ELECTION DAY'!S74)</f>
        <v>0</v>
      </c>
      <c r="T99" s="16">
        <f>SUM('ADVANCE:ELECTION DAY'!T74)</f>
        <v>0</v>
      </c>
      <c r="U99" s="16">
        <f>SUM('ADVANCE:ELECTION DAY'!U74)</f>
        <v>0</v>
      </c>
      <c r="V99" s="16">
        <f>SUM('ADVANCE:ELECTION DAY'!V74)</f>
        <v>0</v>
      </c>
      <c r="W99" s="16">
        <f>SUM('ADVANCE:ELECTION DAY'!W74)</f>
        <v>0</v>
      </c>
      <c r="X99" s="32">
        <f>SUM('ADVANCE:ELECTION DAY'!X74)</f>
        <v>0</v>
      </c>
      <c r="Y99" s="16">
        <f>E99+F99+G99+H99+I99+J99+K99+L99+M99+N99+Q99+R99+S99+T99+U99+V99+W99+X99</f>
        <v>30</v>
      </c>
      <c r="Z99" s="16">
        <v>0</v>
      </c>
      <c r="AA99" s="16">
        <f t="shared" si="3"/>
        <v>30</v>
      </c>
    </row>
    <row r="100" spans="1:27" ht="13.5" thickBot="1" x14ac:dyDescent="0.25">
      <c r="B100" s="10" t="s">
        <v>31</v>
      </c>
      <c r="C100" s="11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55"/>
      <c r="O100" s="10" t="s">
        <v>31</v>
      </c>
      <c r="P100" s="11"/>
      <c r="Q100" s="12"/>
      <c r="R100" s="33"/>
      <c r="S100" s="12"/>
      <c r="T100" s="12"/>
      <c r="U100" s="12"/>
      <c r="V100" s="12"/>
      <c r="W100" s="12"/>
      <c r="X100" s="12"/>
      <c r="Y100" s="55"/>
      <c r="Z100" s="55"/>
      <c r="AA100" s="55"/>
    </row>
    <row r="101" spans="1:27" ht="13.5" thickBot="1" x14ac:dyDescent="0.25">
      <c r="B101" s="39"/>
      <c r="C101" s="15" t="s">
        <v>82</v>
      </c>
      <c r="D101" s="15" t="s">
        <v>15</v>
      </c>
      <c r="E101" s="32">
        <f>SUM('ADVANCE:ELECTION DAY'!E76)</f>
        <v>0</v>
      </c>
      <c r="F101" s="16">
        <f>SUM('ADVANCE:ELECTION DAY'!F76)</f>
        <v>0</v>
      </c>
      <c r="G101" s="16">
        <f>SUM('ADVANCE:ELECTION DAY'!G76)</f>
        <v>0</v>
      </c>
      <c r="H101" s="16">
        <f>SUM('ADVANCE:ELECTION DAY'!H76)</f>
        <v>0</v>
      </c>
      <c r="I101" s="16">
        <f>SUM('ADVANCE:ELECTION DAY'!I76)</f>
        <v>0</v>
      </c>
      <c r="J101" s="16">
        <v>78</v>
      </c>
      <c r="K101" s="16">
        <v>375</v>
      </c>
      <c r="L101" s="16">
        <v>124</v>
      </c>
      <c r="M101" s="32">
        <v>5</v>
      </c>
      <c r="N101" s="16">
        <v>40</v>
      </c>
      <c r="O101" s="15" t="s">
        <v>82</v>
      </c>
      <c r="P101" s="15" t="s">
        <v>15</v>
      </c>
      <c r="Q101" s="16">
        <v>32</v>
      </c>
      <c r="R101" s="16">
        <f>SUM('ADVANCE:ELECTION DAY'!R76)</f>
        <v>0</v>
      </c>
      <c r="S101" s="16">
        <f>SUM('ADVANCE:ELECTION DAY'!S76)</f>
        <v>0</v>
      </c>
      <c r="T101" s="16">
        <f>SUM('ADVANCE:ELECTION DAY'!T76)</f>
        <v>0</v>
      </c>
      <c r="U101" s="16">
        <f>SUM('ADVANCE:ELECTION DAY'!U76)</f>
        <v>0</v>
      </c>
      <c r="V101" s="16">
        <f>SUM('ADVANCE:ELECTION DAY'!V76)</f>
        <v>0</v>
      </c>
      <c r="W101" s="16">
        <f>SUM('ADVANCE:ELECTION DAY'!W76)</f>
        <v>0</v>
      </c>
      <c r="X101" s="32">
        <f>SUM('ADVANCE:ELECTION DAY'!X76)</f>
        <v>0</v>
      </c>
      <c r="Y101" s="16">
        <f>E101+F101+G101+H101+I101+J101+K101+L101+M101+N101+Q101+R101+S101+T101+U101+V101+W101+X101</f>
        <v>654</v>
      </c>
      <c r="Z101" s="16">
        <v>23</v>
      </c>
      <c r="AA101" s="16">
        <f t="shared" si="3"/>
        <v>677</v>
      </c>
    </row>
    <row r="102" spans="1:27" ht="15" customHeight="1" thickBot="1" x14ac:dyDescent="0.3">
      <c r="A102" s="6"/>
      <c r="B102" s="39"/>
      <c r="C102" s="15"/>
      <c r="D102" s="15"/>
      <c r="E102" s="32">
        <f>SUM('ADVANCE:ELECTION DAY'!E77)</f>
        <v>0</v>
      </c>
      <c r="F102" s="16"/>
      <c r="G102" s="16"/>
      <c r="H102" s="16"/>
      <c r="I102" s="16"/>
      <c r="J102" s="16"/>
      <c r="K102" s="16"/>
      <c r="L102" s="16"/>
      <c r="M102" s="32"/>
      <c r="N102" s="16"/>
      <c r="O102" s="15"/>
      <c r="P102" s="15"/>
      <c r="Q102" s="16"/>
      <c r="R102" s="16"/>
      <c r="S102" s="16"/>
      <c r="T102" s="16"/>
      <c r="U102" s="16"/>
      <c r="V102" s="16"/>
      <c r="W102" s="16"/>
      <c r="X102" s="32"/>
      <c r="Y102" s="16">
        <f>E102+F102+G102+H102+I102+J102+K102+L102+M102+N102+Q102+R102+S102+T102+U102+V102+W102+X102</f>
        <v>0</v>
      </c>
      <c r="Z102" s="16"/>
      <c r="AA102" s="16"/>
    </row>
    <row r="103" spans="1:27" ht="13.5" thickBot="1" x14ac:dyDescent="0.25">
      <c r="B103" s="10" t="s">
        <v>32</v>
      </c>
      <c r="C103" s="11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55"/>
      <c r="O103" s="10" t="s">
        <v>32</v>
      </c>
      <c r="P103" s="11"/>
      <c r="Q103" s="12"/>
      <c r="R103" s="33"/>
      <c r="S103" s="12"/>
      <c r="T103" s="12"/>
      <c r="U103" s="12"/>
      <c r="V103" s="12"/>
      <c r="W103" s="12"/>
      <c r="X103" s="12"/>
      <c r="Y103" s="55"/>
      <c r="Z103" s="55"/>
      <c r="AA103" s="55"/>
    </row>
    <row r="104" spans="1:27" ht="13.5" thickBot="1" x14ac:dyDescent="0.25">
      <c r="B104" s="39"/>
      <c r="C104" s="15" t="s">
        <v>81</v>
      </c>
      <c r="D104" s="15" t="s">
        <v>15</v>
      </c>
      <c r="E104" s="32">
        <f>SUM('ADVANCE:ELECTION DAY'!E79)</f>
        <v>0</v>
      </c>
      <c r="F104" s="16">
        <f>SUM('ADVANCE:ELECTION DAY'!F79)</f>
        <v>0</v>
      </c>
      <c r="G104" s="16">
        <f>SUM('ADVANCE:ELECTION DAY'!G79)</f>
        <v>0</v>
      </c>
      <c r="H104" s="16">
        <f>SUM('ADVANCE:ELECTION DAY'!H79)</f>
        <v>0</v>
      </c>
      <c r="I104" s="16">
        <f>SUM('ADVANCE:ELECTION DAY'!I79)</f>
        <v>0</v>
      </c>
      <c r="J104" s="16">
        <f>SUM('ADVANCE:ELECTION DAY'!J79)</f>
        <v>0</v>
      </c>
      <c r="K104" s="16">
        <f>SUM('ADVANCE:ELECTION DAY'!K79)</f>
        <v>0</v>
      </c>
      <c r="L104" s="16">
        <f>SUM('ADVANCE:ELECTION DAY'!L79)</f>
        <v>0</v>
      </c>
      <c r="M104" s="32">
        <f>SUM('ADVANCE:ELECTION DAY'!M79)</f>
        <v>0</v>
      </c>
      <c r="N104" s="16">
        <f>SUM('ADVANCE:ELECTION DAY'!N79)</f>
        <v>0</v>
      </c>
      <c r="O104" s="15" t="s">
        <v>81</v>
      </c>
      <c r="P104" s="15" t="s">
        <v>15</v>
      </c>
      <c r="Q104" s="16">
        <f>SUM('ADVANCE:ELECTION DAY'!Q79)</f>
        <v>0</v>
      </c>
      <c r="R104" s="16">
        <v>16</v>
      </c>
      <c r="S104" s="16">
        <f>SUM('ADVANCE:ELECTION DAY'!S79)</f>
        <v>0</v>
      </c>
      <c r="T104" s="16">
        <f>SUM('ADVANCE:ELECTION DAY'!T79)</f>
        <v>0</v>
      </c>
      <c r="U104" s="16">
        <f>SUM('ADVANCE:ELECTION DAY'!U79)</f>
        <v>0</v>
      </c>
      <c r="V104" s="16">
        <f>SUM('ADVANCE:ELECTION DAY'!V79)</f>
        <v>0</v>
      </c>
      <c r="W104" s="16">
        <f>SUM('ADVANCE:ELECTION DAY'!W79)</f>
        <v>0</v>
      </c>
      <c r="X104" s="32">
        <f>SUM('ADVANCE:ELECTION DAY'!X79)</f>
        <v>0</v>
      </c>
      <c r="Y104" s="16">
        <f>E104+F104+G104+H104+I104+J104+K104+L104+M104+N104+Q104+R104+S104+T104+U104+V104+W104+X104</f>
        <v>16</v>
      </c>
      <c r="Z104" s="16">
        <v>0</v>
      </c>
      <c r="AA104" s="16">
        <f t="shared" si="3"/>
        <v>16</v>
      </c>
    </row>
    <row r="105" spans="1:27" ht="13.5" thickBot="1" x14ac:dyDescent="0.25">
      <c r="B105" s="10" t="s">
        <v>33</v>
      </c>
      <c r="C105" s="11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55"/>
      <c r="O105" s="10" t="s">
        <v>33</v>
      </c>
      <c r="P105" s="11"/>
      <c r="Q105" s="12"/>
      <c r="R105" s="46"/>
      <c r="S105" s="12"/>
      <c r="T105" s="12"/>
      <c r="U105" s="12"/>
      <c r="V105" s="12"/>
      <c r="W105" s="12"/>
      <c r="X105" s="12"/>
      <c r="Y105" s="55"/>
      <c r="Z105" s="55"/>
      <c r="AA105" s="55"/>
    </row>
    <row r="106" spans="1:27" ht="13.5" thickBot="1" x14ac:dyDescent="0.25">
      <c r="B106" s="39"/>
      <c r="C106" s="15" t="s">
        <v>109</v>
      </c>
      <c r="D106" s="15" t="s">
        <v>15</v>
      </c>
      <c r="E106" s="32">
        <f>SUM('ADVANCE:ELECTION DAY'!E81)</f>
        <v>0</v>
      </c>
      <c r="F106" s="16">
        <f>SUM('ADVANCE:ELECTION DAY'!F81)</f>
        <v>0</v>
      </c>
      <c r="G106" s="16">
        <f>SUM('ADVANCE:ELECTION DAY'!G81)</f>
        <v>0</v>
      </c>
      <c r="H106" s="16">
        <f>SUM('ADVANCE:ELECTION DAY'!H81)</f>
        <v>0</v>
      </c>
      <c r="I106" s="16">
        <f>SUM('ADVANCE:ELECTION DAY'!I81)</f>
        <v>0</v>
      </c>
      <c r="J106" s="16">
        <f>SUM('ADVANCE:ELECTION DAY'!J81)</f>
        <v>0</v>
      </c>
      <c r="K106" s="16">
        <f>SUM('ADVANCE:ELECTION DAY'!K81)</f>
        <v>0</v>
      </c>
      <c r="L106" s="16">
        <f>SUM('ADVANCE:ELECTION DAY'!L81)</f>
        <v>0</v>
      </c>
      <c r="M106" s="32">
        <f>SUM('ADVANCE:ELECTION DAY'!M81)</f>
        <v>0</v>
      </c>
      <c r="N106" s="16">
        <f>SUM('ADVANCE:ELECTION DAY'!N81)</f>
        <v>0</v>
      </c>
      <c r="O106" s="15" t="s">
        <v>109</v>
      </c>
      <c r="P106" s="15" t="s">
        <v>15</v>
      </c>
      <c r="Q106" s="16">
        <f>SUM('ADVANCE:ELECTION DAY'!Q81)</f>
        <v>0</v>
      </c>
      <c r="R106" s="16">
        <f>SUM('ADVANCE:ELECTION DAY'!R81)</f>
        <v>0</v>
      </c>
      <c r="S106" s="16">
        <v>68</v>
      </c>
      <c r="T106" s="16">
        <f>SUM('ADVANCE:ELECTION DAY'!T81)</f>
        <v>0</v>
      </c>
      <c r="U106" s="16">
        <f>SUM('ADVANCE:ELECTION DAY'!U81)</f>
        <v>0</v>
      </c>
      <c r="V106" s="16">
        <f>SUM('ADVANCE:ELECTION DAY'!V81)</f>
        <v>0</v>
      </c>
      <c r="W106" s="16">
        <f>SUM('ADVANCE:ELECTION DAY'!W81)</f>
        <v>0</v>
      </c>
      <c r="X106" s="32">
        <f>SUM('ADVANCE:ELECTION DAY'!X81)</f>
        <v>0</v>
      </c>
      <c r="Y106" s="16">
        <f>E106+F106+G106+H106+I106+J106+K106+L106+M106+N106+Q106+R106+S106+T106+U106+V106+W106+X106</f>
        <v>68</v>
      </c>
      <c r="Z106" s="16">
        <v>0</v>
      </c>
      <c r="AA106" s="16">
        <f t="shared" si="3"/>
        <v>68</v>
      </c>
    </row>
    <row r="107" spans="1:27" ht="13.5" thickBot="1" x14ac:dyDescent="0.25">
      <c r="B107" s="39"/>
      <c r="C107" s="15"/>
      <c r="D107" s="15"/>
      <c r="E107" s="32">
        <f>SUM('ADVANCE:ELECTION DAY'!E82)</f>
        <v>0</v>
      </c>
      <c r="F107" s="16"/>
      <c r="G107" s="16"/>
      <c r="H107" s="16"/>
      <c r="I107" s="16"/>
      <c r="J107" s="16"/>
      <c r="K107" s="16"/>
      <c r="L107" s="16"/>
      <c r="M107" s="32"/>
      <c r="N107" s="16"/>
      <c r="O107" s="15"/>
      <c r="P107" s="15"/>
      <c r="Q107" s="16"/>
      <c r="R107" s="16"/>
      <c r="S107" s="16"/>
      <c r="T107" s="16"/>
      <c r="U107" s="16"/>
      <c r="V107" s="16"/>
      <c r="W107" s="16"/>
      <c r="X107" s="32"/>
      <c r="Y107" s="16">
        <f>E107+F107+G107+H107+I107+J107+K107+L107+M107+N107+Q107+R107+S107+T107+U107+V107+W107+X107</f>
        <v>0</v>
      </c>
      <c r="Z107" s="16"/>
      <c r="AA107" s="16"/>
    </row>
    <row r="108" spans="1:27" ht="13.5" thickBot="1" x14ac:dyDescent="0.25">
      <c r="B108" s="39"/>
      <c r="C108" s="15"/>
      <c r="D108" s="15"/>
      <c r="E108" s="32">
        <f>SUM('ADVANCE:ELECTION DAY'!E83)</f>
        <v>0</v>
      </c>
      <c r="F108" s="16"/>
      <c r="G108" s="16"/>
      <c r="H108" s="16"/>
      <c r="I108" s="16"/>
      <c r="J108" s="16"/>
      <c r="K108" s="16"/>
      <c r="L108" s="16"/>
      <c r="M108" s="32"/>
      <c r="N108" s="16"/>
      <c r="O108" s="15"/>
      <c r="P108" s="15"/>
      <c r="Q108" s="16"/>
      <c r="R108" s="16"/>
      <c r="S108" s="16"/>
      <c r="T108" s="16"/>
      <c r="U108" s="16"/>
      <c r="V108" s="16"/>
      <c r="W108" s="16"/>
      <c r="X108" s="32"/>
      <c r="Y108" s="16">
        <f>E108+F108+G108+H108+I108+J108+K108+L108+M108+N108+Q108+R108+S108+T108+U108+V108+W108+X108</f>
        <v>0</v>
      </c>
      <c r="Z108" s="16"/>
      <c r="AA108" s="16"/>
    </row>
    <row r="109" spans="1:27" ht="13.5" thickBot="1" x14ac:dyDescent="0.25">
      <c r="B109" s="10" t="s">
        <v>34</v>
      </c>
      <c r="C109" s="11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55"/>
      <c r="O109" s="10" t="s">
        <v>34</v>
      </c>
      <c r="P109" s="11"/>
      <c r="Q109" s="12"/>
      <c r="R109" s="46"/>
      <c r="S109" s="12"/>
      <c r="T109" s="12"/>
      <c r="U109" s="12"/>
      <c r="V109" s="12"/>
      <c r="W109" s="12"/>
      <c r="X109" s="12"/>
      <c r="Y109" s="55"/>
      <c r="Z109" s="55"/>
      <c r="AA109" s="55"/>
    </row>
    <row r="110" spans="1:27" ht="13.5" thickBot="1" x14ac:dyDescent="0.25">
      <c r="B110" s="39"/>
      <c r="C110" s="15" t="s">
        <v>110</v>
      </c>
      <c r="D110" s="15" t="s">
        <v>15</v>
      </c>
      <c r="E110" s="32">
        <f>SUM('ADVANCE:ELECTION DAY'!E85)</f>
        <v>0</v>
      </c>
      <c r="F110" s="16">
        <f>SUM('ADVANCE:ELECTION DAY'!F85)</f>
        <v>0</v>
      </c>
      <c r="G110" s="16">
        <f>SUM('ADVANCE:ELECTION DAY'!G85)</f>
        <v>0</v>
      </c>
      <c r="H110" s="16">
        <f>SUM('ADVANCE:ELECTION DAY'!H85)</f>
        <v>0</v>
      </c>
      <c r="I110" s="16">
        <f>SUM('ADVANCE:ELECTION DAY'!I85)</f>
        <v>0</v>
      </c>
      <c r="J110" s="16">
        <f>SUM('ADVANCE:ELECTION DAY'!J85)</f>
        <v>0</v>
      </c>
      <c r="K110" s="16">
        <f>SUM('ADVANCE:ELECTION DAY'!K85)</f>
        <v>0</v>
      </c>
      <c r="L110" s="16">
        <f>SUM('ADVANCE:ELECTION DAY'!L85)</f>
        <v>0</v>
      </c>
      <c r="M110" s="32">
        <f>SUM('ADVANCE:ELECTION DAY'!M85)</f>
        <v>0</v>
      </c>
      <c r="N110" s="16">
        <f>SUM('ADVANCE:ELECTION DAY'!N85)</f>
        <v>0</v>
      </c>
      <c r="O110" s="15" t="s">
        <v>110</v>
      </c>
      <c r="P110" s="15" t="s">
        <v>15</v>
      </c>
      <c r="Q110" s="16">
        <f>SUM('ADVANCE:ELECTION DAY'!Q85)</f>
        <v>0</v>
      </c>
      <c r="R110" s="16">
        <f>SUM('ADVANCE:ELECTION DAY'!R85)</f>
        <v>0</v>
      </c>
      <c r="S110" s="16">
        <f>SUM('ADVANCE:ELECTION DAY'!S85)</f>
        <v>0</v>
      </c>
      <c r="T110" s="16">
        <v>31</v>
      </c>
      <c r="U110" s="16">
        <f>SUM('ADVANCE:ELECTION DAY'!U85)</f>
        <v>0</v>
      </c>
      <c r="V110" s="16">
        <f>SUM('ADVANCE:ELECTION DAY'!V85)</f>
        <v>0</v>
      </c>
      <c r="W110" s="16">
        <f>SUM('ADVANCE:ELECTION DAY'!W85)</f>
        <v>0</v>
      </c>
      <c r="X110" s="32">
        <f>SUM('ADVANCE:ELECTION DAY'!X85)</f>
        <v>0</v>
      </c>
      <c r="Y110" s="16">
        <f>E110+F110+G110+H110+I110+J110+K110+L110+M110+N110+Q110+R110+S110+T110+U110+V110+W110+X110</f>
        <v>31</v>
      </c>
      <c r="Z110" s="16">
        <v>0</v>
      </c>
      <c r="AA110" s="16">
        <f t="shared" si="3"/>
        <v>31</v>
      </c>
    </row>
    <row r="111" spans="1:27" ht="13.5" thickBot="1" x14ac:dyDescent="0.25">
      <c r="B111" s="10" t="s">
        <v>35</v>
      </c>
      <c r="C111" s="11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55"/>
      <c r="O111" s="10" t="s">
        <v>35</v>
      </c>
      <c r="P111" s="11"/>
      <c r="Q111" s="12"/>
      <c r="R111" s="46"/>
      <c r="S111" s="12"/>
      <c r="T111" s="12"/>
      <c r="U111" s="12"/>
      <c r="V111" s="12"/>
      <c r="W111" s="12"/>
      <c r="X111" s="12"/>
      <c r="Y111" s="55"/>
      <c r="Z111" s="55"/>
      <c r="AA111" s="55"/>
    </row>
    <row r="112" spans="1:27" ht="13.5" thickBot="1" x14ac:dyDescent="0.25">
      <c r="B112" s="39"/>
      <c r="C112" s="15"/>
      <c r="D112" s="15"/>
      <c r="E112" s="32">
        <f>SUM('ADVANCE:ELECTION DAY'!E87)</f>
        <v>0</v>
      </c>
      <c r="F112" s="16"/>
      <c r="G112" s="16"/>
      <c r="H112" s="16"/>
      <c r="I112" s="16"/>
      <c r="J112" s="16"/>
      <c r="K112" s="16"/>
      <c r="L112" s="16"/>
      <c r="M112" s="32"/>
      <c r="N112" s="16"/>
      <c r="O112" s="15"/>
      <c r="P112" s="15"/>
      <c r="Q112" s="16"/>
      <c r="R112" s="16"/>
      <c r="S112" s="16"/>
      <c r="T112" s="16"/>
      <c r="U112" s="16"/>
      <c r="V112" s="16"/>
      <c r="W112" s="16"/>
      <c r="X112" s="32"/>
      <c r="Y112" s="16">
        <f>E112+F112+G112+H112+I112+J112+K112+L112+M112+N112+Q112+R112+S112+T112+U112+V112+W112+X112</f>
        <v>0</v>
      </c>
      <c r="Z112" s="16"/>
      <c r="AA112" s="16"/>
    </row>
    <row r="113" spans="2:84" ht="13.5" thickBot="1" x14ac:dyDescent="0.25">
      <c r="B113" s="39"/>
      <c r="C113" s="15"/>
      <c r="D113" s="15"/>
      <c r="E113" s="32">
        <f>SUM('ADVANCE:ELECTION DAY'!E88)</f>
        <v>0</v>
      </c>
      <c r="F113" s="16"/>
      <c r="G113" s="16"/>
      <c r="H113" s="16"/>
      <c r="I113" s="16"/>
      <c r="J113" s="16"/>
      <c r="K113" s="16"/>
      <c r="L113" s="16"/>
      <c r="M113" s="32"/>
      <c r="N113" s="16"/>
      <c r="O113" s="15"/>
      <c r="P113" s="15"/>
      <c r="Q113" s="16"/>
      <c r="R113" s="16"/>
      <c r="S113" s="16"/>
      <c r="T113" s="16"/>
      <c r="U113" s="16"/>
      <c r="V113" s="16"/>
      <c r="W113" s="16"/>
      <c r="X113" s="32"/>
      <c r="Y113" s="16">
        <f>E113+F113+G113+H113+I113+J113+K113+L113+M113+N113+Q113+R113+S113+T113+U113+V113+W113+X113</f>
        <v>0</v>
      </c>
      <c r="Z113" s="16"/>
      <c r="AA113" s="16"/>
    </row>
    <row r="114" spans="2:84" ht="13.5" thickBot="1" x14ac:dyDescent="0.25">
      <c r="B114" s="10" t="s">
        <v>36</v>
      </c>
      <c r="C114" s="11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55"/>
      <c r="O114" s="10" t="s">
        <v>36</v>
      </c>
      <c r="P114" s="11"/>
      <c r="Q114" s="12"/>
      <c r="R114" s="46"/>
      <c r="S114" s="12"/>
      <c r="T114" s="12"/>
      <c r="U114" s="12"/>
      <c r="V114" s="12"/>
      <c r="W114" s="12"/>
      <c r="X114" s="12"/>
      <c r="Y114" s="55"/>
      <c r="Z114" s="55"/>
      <c r="AA114" s="55"/>
    </row>
    <row r="115" spans="2:84" ht="13.5" thickBot="1" x14ac:dyDescent="0.25">
      <c r="B115" s="21"/>
      <c r="C115" s="15"/>
      <c r="D115" s="15"/>
      <c r="E115" s="32">
        <f>SUM('ADVANCE:ELECTION DAY'!E90)</f>
        <v>0</v>
      </c>
      <c r="F115" s="16"/>
      <c r="G115" s="16"/>
      <c r="H115" s="16"/>
      <c r="I115" s="16"/>
      <c r="J115" s="16"/>
      <c r="K115" s="16"/>
      <c r="L115" s="16"/>
      <c r="M115" s="32"/>
      <c r="N115" s="16"/>
      <c r="O115" s="15"/>
      <c r="P115" s="15"/>
      <c r="Q115" s="16"/>
      <c r="R115" s="16"/>
      <c r="S115" s="16"/>
      <c r="T115" s="16"/>
      <c r="U115" s="16"/>
      <c r="V115" s="16"/>
      <c r="W115" s="16"/>
      <c r="X115" s="32"/>
      <c r="Y115" s="16">
        <f>E115+F115+G115+H115+I115+J115+K115+L115+M115+N115+Q115+R115+S115+T115+U115+V115+W115+X115</f>
        <v>0</v>
      </c>
      <c r="Z115" s="16"/>
      <c r="AA115" s="16"/>
    </row>
    <row r="116" spans="2:84" ht="13.5" thickBot="1" x14ac:dyDescent="0.25">
      <c r="B116" s="10" t="s">
        <v>37</v>
      </c>
      <c r="C116" s="11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55"/>
      <c r="O116" s="10" t="s">
        <v>37</v>
      </c>
      <c r="P116" s="11"/>
      <c r="Q116" s="12"/>
      <c r="R116" s="46"/>
      <c r="S116" s="12"/>
      <c r="T116" s="12"/>
      <c r="U116" s="12"/>
      <c r="V116" s="12"/>
      <c r="W116" s="12"/>
      <c r="X116" s="12"/>
      <c r="Y116" s="55"/>
      <c r="Z116" s="55"/>
      <c r="AA116" s="55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</row>
    <row r="117" spans="2:84" ht="13.5" thickBot="1" x14ac:dyDescent="0.25">
      <c r="B117" s="21"/>
      <c r="C117" s="38" t="s">
        <v>80</v>
      </c>
      <c r="D117" s="14" t="s">
        <v>15</v>
      </c>
      <c r="E117" s="32">
        <f>SUM('ADVANCE:ELECTION DAY'!E92)</f>
        <v>0</v>
      </c>
      <c r="F117" s="16">
        <f>SUM('ADVANCE:ELECTION DAY'!F92)</f>
        <v>0</v>
      </c>
      <c r="G117" s="16">
        <f>SUM('ADVANCE:ELECTION DAY'!G92)</f>
        <v>0</v>
      </c>
      <c r="H117" s="16">
        <f>SUM('ADVANCE:ELECTION DAY'!H92)</f>
        <v>0</v>
      </c>
      <c r="I117" s="16">
        <f>SUM('ADVANCE:ELECTION DAY'!I92)</f>
        <v>0</v>
      </c>
      <c r="J117" s="16">
        <f>SUM('ADVANCE:ELECTION DAY'!J92)</f>
        <v>0</v>
      </c>
      <c r="K117" s="16">
        <f>SUM('ADVANCE:ELECTION DAY'!K92)</f>
        <v>0</v>
      </c>
      <c r="L117" s="16">
        <f>SUM('ADVANCE:ELECTION DAY'!L92)</f>
        <v>0</v>
      </c>
      <c r="M117" s="32">
        <f>SUM('ADVANCE:ELECTION DAY'!M92)</f>
        <v>0</v>
      </c>
      <c r="N117" s="16">
        <f>SUM('ADVANCE:ELECTION DAY'!N92)</f>
        <v>0</v>
      </c>
      <c r="O117" s="38" t="s">
        <v>80</v>
      </c>
      <c r="P117" s="14" t="s">
        <v>15</v>
      </c>
      <c r="Q117" s="16">
        <f>SUM('ADVANCE:ELECTION DAY'!Q92)</f>
        <v>0</v>
      </c>
      <c r="R117" s="16">
        <f>SUM('ADVANCE:ELECTION DAY'!R92)</f>
        <v>0</v>
      </c>
      <c r="S117" s="16">
        <f>SUM('ADVANCE:ELECTION DAY'!S92)</f>
        <v>0</v>
      </c>
      <c r="T117" s="16">
        <f>SUM('ADVANCE:ELECTION DAY'!T92)</f>
        <v>0</v>
      </c>
      <c r="U117" s="16">
        <f>SUM('ADVANCE:ELECTION DAY'!U92)</f>
        <v>0</v>
      </c>
      <c r="V117" s="16">
        <f>SUM('ADVANCE:ELECTION DAY'!V92)</f>
        <v>0</v>
      </c>
      <c r="W117" s="16">
        <v>77</v>
      </c>
      <c r="X117" s="32">
        <f>SUM('ADVANCE:ELECTION DAY'!X92)</f>
        <v>0</v>
      </c>
      <c r="Y117" s="16">
        <f>E117+F117+G117+H117+I117+J117+K117+L117+M117+N117+Q117+R117+S117+T117+U117+V117+W117+X117</f>
        <v>77</v>
      </c>
      <c r="Z117" s="16">
        <v>1</v>
      </c>
      <c r="AA117" s="16">
        <f t="shared" si="3"/>
        <v>78</v>
      </c>
    </row>
    <row r="118" spans="2:84" ht="13.5" thickBot="1" x14ac:dyDescent="0.25">
      <c r="B118" s="21"/>
      <c r="C118" s="38"/>
      <c r="D118" s="14"/>
      <c r="E118" s="32">
        <f>SUM('ADVANCE:ELECTION DAY'!E93)</f>
        <v>0</v>
      </c>
      <c r="F118" s="16"/>
      <c r="G118" s="16"/>
      <c r="H118" s="16"/>
      <c r="I118" s="16"/>
      <c r="J118" s="16"/>
      <c r="K118" s="16"/>
      <c r="L118" s="16"/>
      <c r="M118" s="32"/>
      <c r="N118" s="16"/>
      <c r="O118" s="15"/>
      <c r="P118" s="14"/>
      <c r="Q118" s="16"/>
      <c r="R118" s="16"/>
      <c r="S118" s="16"/>
      <c r="T118" s="16"/>
      <c r="U118" s="16"/>
      <c r="V118" s="16"/>
      <c r="W118" s="16"/>
      <c r="X118" s="32"/>
      <c r="Y118" s="16">
        <f>E118+F118+G118+H118+I118+J118+K118+L118+M118+N118+Q118+R118+S118+T118+U118+V118+W118+X118</f>
        <v>0</v>
      </c>
      <c r="Z118" s="16"/>
      <c r="AA118" s="16"/>
    </row>
    <row r="119" spans="2:84" ht="13.5" thickBot="1" x14ac:dyDescent="0.25">
      <c r="B119" s="10" t="s">
        <v>38</v>
      </c>
      <c r="C119" s="11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55"/>
      <c r="O119" s="10" t="s">
        <v>38</v>
      </c>
      <c r="P119" s="11"/>
      <c r="Q119" s="12"/>
      <c r="R119" s="46"/>
      <c r="S119" s="12"/>
      <c r="T119" s="12"/>
      <c r="U119" s="12"/>
      <c r="V119" s="12"/>
      <c r="W119" s="12"/>
      <c r="X119" s="12"/>
      <c r="Y119" s="55"/>
      <c r="Z119" s="55"/>
      <c r="AA119" s="55"/>
    </row>
    <row r="120" spans="2:84" ht="13.5" thickBot="1" x14ac:dyDescent="0.25">
      <c r="B120" s="21"/>
      <c r="C120" s="38" t="s">
        <v>79</v>
      </c>
      <c r="D120" s="15" t="s">
        <v>15</v>
      </c>
      <c r="E120" s="32">
        <f>SUM('ADVANCE:ELECTION DAY'!E95)</f>
        <v>0</v>
      </c>
      <c r="F120" s="16">
        <f>SUM('ADVANCE:ELECTION DAY'!F95)</f>
        <v>0</v>
      </c>
      <c r="G120" s="16">
        <f>SUM('ADVANCE:ELECTION DAY'!G95)</f>
        <v>0</v>
      </c>
      <c r="H120" s="16">
        <f>SUM('ADVANCE:ELECTION DAY'!H95)</f>
        <v>0</v>
      </c>
      <c r="I120" s="16">
        <f>SUM('ADVANCE:ELECTION DAY'!I95)</f>
        <v>0</v>
      </c>
      <c r="J120" s="16">
        <f>SUM('ADVANCE:ELECTION DAY'!J95)</f>
        <v>0</v>
      </c>
      <c r="K120" s="16">
        <f>SUM('ADVANCE:ELECTION DAY'!K95)</f>
        <v>0</v>
      </c>
      <c r="L120" s="16">
        <f>SUM('ADVANCE:ELECTION DAY'!L95)</f>
        <v>0</v>
      </c>
      <c r="M120" s="32">
        <f>SUM('ADVANCE:ELECTION DAY'!M95)</f>
        <v>0</v>
      </c>
      <c r="N120" s="16">
        <f>SUM('ADVANCE:ELECTION DAY'!N95)</f>
        <v>0</v>
      </c>
      <c r="O120" s="38" t="s">
        <v>79</v>
      </c>
      <c r="P120" s="15" t="s">
        <v>15</v>
      </c>
      <c r="Q120" s="16">
        <f>SUM('ADVANCE:ELECTION DAY'!Q95)</f>
        <v>0</v>
      </c>
      <c r="R120" s="16">
        <f>SUM('ADVANCE:ELECTION DAY'!R95)</f>
        <v>0</v>
      </c>
      <c r="S120" s="16">
        <f>SUM('ADVANCE:ELECTION DAY'!S95)</f>
        <v>0</v>
      </c>
      <c r="T120" s="16">
        <f>SUM('ADVANCE:ELECTION DAY'!T95)</f>
        <v>0</v>
      </c>
      <c r="U120" s="16">
        <f>SUM('ADVANCE:ELECTION DAY'!U95)</f>
        <v>0</v>
      </c>
      <c r="V120" s="16">
        <f>SUM('ADVANCE:ELECTION DAY'!V95)</f>
        <v>0</v>
      </c>
      <c r="W120" s="16">
        <f>SUM('ADVANCE:ELECTION DAY'!W95)</f>
        <v>0</v>
      </c>
      <c r="X120" s="32">
        <v>100</v>
      </c>
      <c r="Y120" s="16">
        <f>E120+F120+G120+H120+I120+J120+K120+L120+M120+N120+Q120+R120+S120+T120+U120+V120+W120+X120</f>
        <v>100</v>
      </c>
      <c r="Z120" s="16">
        <v>0</v>
      </c>
      <c r="AA120" s="16">
        <f t="shared" si="3"/>
        <v>100</v>
      </c>
    </row>
    <row r="121" spans="2:84" ht="27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O121" s="28" t="s">
        <v>18</v>
      </c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2:84" ht="27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O122" s="28" t="s">
        <v>19</v>
      </c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2:84" ht="27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O123" s="28"/>
      <c r="P123" s="28" t="s">
        <v>20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2:84" ht="27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O124" s="28" t="s">
        <v>147</v>
      </c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2:84" ht="27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O125" s="28" t="s">
        <v>21</v>
      </c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2:84" ht="27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O126" s="28" t="s">
        <v>150</v>
      </c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2:84" ht="27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O127" s="28" t="s">
        <v>151</v>
      </c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2:84" ht="27.75" x14ac:dyDescent="0.4"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O128" s="28" t="s">
        <v>22</v>
      </c>
      <c r="P128" s="28"/>
      <c r="Q128" s="28"/>
      <c r="R128" s="28"/>
      <c r="S128" s="29" t="s">
        <v>23</v>
      </c>
      <c r="T128" s="28"/>
      <c r="U128" s="28"/>
      <c r="V128" s="28"/>
      <c r="W128" s="28"/>
      <c r="X128" s="28"/>
      <c r="Y128" s="28"/>
      <c r="Z128" s="28"/>
    </row>
    <row r="129" spans="2:29" ht="27.75" x14ac:dyDescent="0.4"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O129" s="6" t="s">
        <v>24</v>
      </c>
      <c r="Q129" s="6"/>
      <c r="R129" s="6"/>
      <c r="S129" s="29" t="s">
        <v>23</v>
      </c>
      <c r="T129" s="29"/>
      <c r="U129" s="29"/>
      <c r="V129" s="29"/>
      <c r="W129" s="29"/>
      <c r="X129" s="29"/>
      <c r="Y129" s="29"/>
      <c r="Z129" s="29"/>
    </row>
    <row r="130" spans="2:29" ht="27.75" x14ac:dyDescent="0.4"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O130" s="30" t="s">
        <v>101</v>
      </c>
      <c r="Q130" s="6"/>
      <c r="R130" s="6"/>
      <c r="S130" s="29" t="s">
        <v>23</v>
      </c>
      <c r="T130" s="29"/>
      <c r="U130" s="29"/>
      <c r="V130" s="29"/>
      <c r="W130" s="29"/>
      <c r="X130" s="29"/>
      <c r="Y130" s="29"/>
      <c r="Z130" s="29"/>
    </row>
    <row r="131" spans="2:29" ht="27.75" x14ac:dyDescent="0.4"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O131" s="29"/>
      <c r="Q131" s="6"/>
      <c r="R131" s="6"/>
      <c r="S131" s="6"/>
      <c r="T131" s="30" t="s">
        <v>25</v>
      </c>
      <c r="U131" s="29"/>
      <c r="V131" s="29"/>
      <c r="W131" s="29"/>
      <c r="X131" s="29"/>
      <c r="Y131" s="29"/>
      <c r="Z131" s="29"/>
      <c r="AA131" s="29"/>
    </row>
    <row r="132" spans="2:29" x14ac:dyDescent="0.2">
      <c r="B132" s="5"/>
      <c r="C132" s="26"/>
      <c r="D132" s="26"/>
      <c r="E132" s="7"/>
      <c r="F132" s="7"/>
      <c r="G132" s="7"/>
      <c r="H132" s="7"/>
      <c r="I132" s="7"/>
      <c r="J132" s="7"/>
      <c r="K132" s="7"/>
      <c r="L132" s="7"/>
      <c r="O132" s="7"/>
      <c r="P132" s="7"/>
      <c r="Q132" s="26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2:29" x14ac:dyDescent="0.2">
      <c r="B133" s="5"/>
      <c r="C133" s="26"/>
      <c r="D133" s="2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26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2:29" ht="27" x14ac:dyDescent="0.35">
      <c r="B134" s="1" t="s">
        <v>39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 t="s">
        <v>39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2:29" ht="27" x14ac:dyDescent="0.35">
      <c r="B135" s="1" t="s">
        <v>133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 t="s">
        <v>133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2:29" ht="45" x14ac:dyDescent="0.25">
      <c r="B136" s="70" t="s">
        <v>100</v>
      </c>
      <c r="C136" s="51">
        <v>1317</v>
      </c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51"/>
      <c r="P136" s="4"/>
      <c r="Q136" s="4"/>
      <c r="R136" s="36"/>
      <c r="S136" s="4"/>
      <c r="T136" s="4"/>
      <c r="U136" s="4"/>
      <c r="V136" s="4"/>
      <c r="W136" s="4"/>
      <c r="X136" s="4"/>
      <c r="Y136" s="4"/>
      <c r="Z136" s="4"/>
      <c r="AA136" s="5"/>
      <c r="AB136" s="5"/>
      <c r="AC136" s="5"/>
    </row>
    <row r="137" spans="2:29" ht="26.25" x14ac:dyDescent="0.25">
      <c r="B137" s="71" t="s">
        <v>99</v>
      </c>
      <c r="C137" s="4">
        <v>1808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6"/>
      <c r="Q137" s="4"/>
      <c r="R137" s="4"/>
      <c r="S137" s="36"/>
      <c r="T137" s="4"/>
      <c r="U137" s="4"/>
      <c r="V137" s="4"/>
      <c r="W137" s="4"/>
      <c r="X137" s="4"/>
      <c r="Y137" s="4"/>
      <c r="Z137" s="4"/>
      <c r="AA137" s="5"/>
      <c r="AB137" s="5"/>
      <c r="AC137" s="5"/>
    </row>
    <row r="138" spans="2:29" ht="16.5" thickBot="1" x14ac:dyDescent="0.3">
      <c r="B138" s="4" t="s">
        <v>96</v>
      </c>
      <c r="C138" s="50">
        <v>0.73</v>
      </c>
      <c r="D138" s="4"/>
      <c r="E138" s="4"/>
      <c r="F138" s="4"/>
      <c r="N138" s="4"/>
      <c r="O138" s="50"/>
      <c r="AA138" s="5"/>
      <c r="AB138" s="5"/>
      <c r="AC138" s="5"/>
    </row>
    <row r="139" spans="2:29" ht="101.25" thickBot="1" x14ac:dyDescent="0.25">
      <c r="B139" s="63" t="s">
        <v>0</v>
      </c>
      <c r="C139" s="63" t="s">
        <v>1</v>
      </c>
      <c r="D139" s="42" t="s">
        <v>2</v>
      </c>
      <c r="E139" s="9" t="s">
        <v>3</v>
      </c>
      <c r="F139" s="9" t="s">
        <v>4</v>
      </c>
      <c r="G139" s="9" t="s">
        <v>5</v>
      </c>
      <c r="H139" s="9" t="s">
        <v>6</v>
      </c>
      <c r="I139" s="9" t="s">
        <v>7</v>
      </c>
      <c r="J139" s="9" t="s">
        <v>41</v>
      </c>
      <c r="K139" s="9" t="s">
        <v>42</v>
      </c>
      <c r="L139" s="9" t="s">
        <v>43</v>
      </c>
      <c r="M139" s="31" t="s">
        <v>44</v>
      </c>
      <c r="N139" s="9" t="s">
        <v>45</v>
      </c>
      <c r="O139" s="64" t="s">
        <v>1</v>
      </c>
      <c r="P139" s="8" t="s">
        <v>2</v>
      </c>
      <c r="Q139" s="9" t="s">
        <v>46</v>
      </c>
      <c r="R139" s="9" t="s">
        <v>8</v>
      </c>
      <c r="S139" s="9" t="s">
        <v>9</v>
      </c>
      <c r="T139" s="9" t="s">
        <v>10</v>
      </c>
      <c r="U139" s="9" t="s">
        <v>47</v>
      </c>
      <c r="V139" s="9" t="s">
        <v>11</v>
      </c>
      <c r="W139" s="9" t="s">
        <v>12</v>
      </c>
      <c r="X139" s="31" t="s">
        <v>13</v>
      </c>
      <c r="Y139" s="9" t="s">
        <v>14</v>
      </c>
      <c r="Z139" s="9" t="s">
        <v>149</v>
      </c>
      <c r="AA139" s="9" t="s">
        <v>14</v>
      </c>
    </row>
    <row r="140" spans="2:29" ht="13.5" thickBot="1" x14ac:dyDescent="0.25">
      <c r="B140" s="22" t="s">
        <v>85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66"/>
      <c r="O140" s="22" t="s">
        <v>85</v>
      </c>
      <c r="P140" s="24"/>
      <c r="Q140" s="23"/>
      <c r="R140" s="23"/>
      <c r="S140" s="24"/>
      <c r="T140" s="23"/>
      <c r="U140" s="23"/>
      <c r="V140" s="23"/>
      <c r="W140" s="23"/>
      <c r="X140" s="23"/>
      <c r="Y140" s="53"/>
      <c r="Z140" s="53"/>
      <c r="AA140" s="53"/>
    </row>
    <row r="141" spans="2:29" ht="13.5" thickBot="1" x14ac:dyDescent="0.25">
      <c r="B141" s="17" t="s">
        <v>26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52"/>
      <c r="O141" s="17" t="s">
        <v>26</v>
      </c>
      <c r="P141" s="19"/>
      <c r="Q141" s="18"/>
      <c r="R141" s="34"/>
      <c r="S141" s="19"/>
      <c r="T141" s="18"/>
      <c r="U141" s="18"/>
      <c r="V141" s="18"/>
      <c r="W141" s="18"/>
      <c r="X141" s="18"/>
      <c r="Y141" s="54"/>
      <c r="Z141" s="54"/>
      <c r="AA141" s="54"/>
    </row>
    <row r="142" spans="2:29" ht="13.5" thickBot="1" x14ac:dyDescent="0.25">
      <c r="B142" s="21"/>
      <c r="C142" s="15" t="s">
        <v>97</v>
      </c>
      <c r="D142" s="15" t="s">
        <v>15</v>
      </c>
      <c r="E142" s="32">
        <v>19</v>
      </c>
      <c r="F142" s="32">
        <f>SUM('ADVANCE:ELECTION DAY'!F101)</f>
        <v>0</v>
      </c>
      <c r="G142" s="32">
        <f>SUM('ADVANCE:ELECTION DAY'!G101)</f>
        <v>0</v>
      </c>
      <c r="H142" s="32">
        <f>SUM('ADVANCE:ELECTION DAY'!H101)</f>
        <v>0</v>
      </c>
      <c r="I142" s="32">
        <f>SUM('ADVANCE:ELECTION DAY'!I101)</f>
        <v>0</v>
      </c>
      <c r="J142" s="32">
        <f>SUM('ADVANCE:ELECTION DAY'!J101)</f>
        <v>0</v>
      </c>
      <c r="K142" s="32">
        <f>SUM('ADVANCE:ELECTION DAY'!K101)</f>
        <v>0</v>
      </c>
      <c r="L142" s="32">
        <f>SUM('ADVANCE:ELECTION DAY'!L101)</f>
        <v>0</v>
      </c>
      <c r="M142" s="32">
        <f>SUM('ADVANCE:ELECTION DAY'!M101)</f>
        <v>0</v>
      </c>
      <c r="N142" s="16">
        <f>SUM('ADVANCE:ELECTION DAY'!N101)</f>
        <v>0</v>
      </c>
      <c r="O142" s="15" t="s">
        <v>97</v>
      </c>
      <c r="P142" s="15" t="s">
        <v>15</v>
      </c>
      <c r="Q142" s="32">
        <f>SUM('ADVANCE:ELECTION DAY'!Q101)</f>
        <v>0</v>
      </c>
      <c r="R142" s="16">
        <f>SUM('ADVANCE:ELECTION DAY'!R101)</f>
        <v>0</v>
      </c>
      <c r="S142" s="16">
        <f>SUM('ADVANCE:ELECTION DAY'!S101)</f>
        <v>0</v>
      </c>
      <c r="T142" s="16">
        <f>SUM('ADVANCE:ELECTION DAY'!T101)</f>
        <v>0</v>
      </c>
      <c r="U142" s="16">
        <f>SUM('ADVANCE:ELECTION DAY'!U101)</f>
        <v>0</v>
      </c>
      <c r="V142" s="16">
        <f>SUM('ADVANCE:ELECTION DAY'!V101)</f>
        <v>0</v>
      </c>
      <c r="W142" s="16">
        <f>SUM('ADVANCE:ELECTION DAY'!W101)</f>
        <v>0</v>
      </c>
      <c r="X142" s="32">
        <f>SUM('ADVANCE:ELECTION DAY'!X101)</f>
        <v>0</v>
      </c>
      <c r="Y142" s="16">
        <f>E142+F142+G142+H142+I142+J142+K142+L142+M142+N142+Q142+R142+S142+T142+U142+V142+W142+X142</f>
        <v>19</v>
      </c>
      <c r="Z142" s="16">
        <v>0</v>
      </c>
      <c r="AA142" s="16">
        <f>SUM(Y142:Z142)</f>
        <v>19</v>
      </c>
    </row>
    <row r="143" spans="2:29" ht="13.5" thickBot="1" x14ac:dyDescent="0.25">
      <c r="B143" s="39"/>
      <c r="C143" s="15"/>
      <c r="D143" s="15"/>
      <c r="E143" s="32"/>
      <c r="F143" s="16"/>
      <c r="G143" s="16"/>
      <c r="H143" s="16"/>
      <c r="I143" s="16"/>
      <c r="J143" s="16"/>
      <c r="K143" s="16"/>
      <c r="L143" s="16"/>
      <c r="M143" s="32"/>
      <c r="N143" s="16"/>
      <c r="O143" s="15"/>
      <c r="P143" s="15"/>
      <c r="Q143" s="32">
        <f>SUM('ADVANCE:ELECTION DAY'!Q102)</f>
        <v>0</v>
      </c>
      <c r="R143" s="16"/>
      <c r="S143" s="16"/>
      <c r="T143" s="16"/>
      <c r="U143" s="16"/>
      <c r="V143" s="16"/>
      <c r="W143" s="16"/>
      <c r="X143" s="32"/>
      <c r="Y143" s="16">
        <f>E143+F143+G143+H143+I143+J143+K143+L143+M143+N143+Q143+R143+S143+T143+U143+V143+W143+X143</f>
        <v>0</v>
      </c>
      <c r="Z143" s="16"/>
      <c r="AA143" s="16"/>
    </row>
    <row r="144" spans="2:29" ht="13.5" thickBot="1" x14ac:dyDescent="0.25">
      <c r="B144" s="10" t="s">
        <v>27</v>
      </c>
      <c r="C144" s="11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55"/>
      <c r="O144" s="10" t="s">
        <v>27</v>
      </c>
      <c r="P144" s="12"/>
      <c r="Q144" s="12"/>
      <c r="R144" s="33"/>
      <c r="S144" s="12"/>
      <c r="T144" s="12"/>
      <c r="U144" s="12"/>
      <c r="V144" s="12"/>
      <c r="W144" s="12"/>
      <c r="X144" s="12"/>
      <c r="Y144" s="55"/>
      <c r="Z144" s="55"/>
      <c r="AA144" s="61"/>
    </row>
    <row r="145" spans="2:27" ht="13.5" thickBot="1" x14ac:dyDescent="0.25">
      <c r="B145" s="21"/>
      <c r="C145" s="15" t="s">
        <v>86</v>
      </c>
      <c r="D145" s="15" t="s">
        <v>15</v>
      </c>
      <c r="E145" s="32">
        <f>SUM('ADVANCE:ELECTION DAY'!E104)</f>
        <v>0</v>
      </c>
      <c r="F145" s="32">
        <v>41</v>
      </c>
      <c r="G145" s="32">
        <f>SUM('ADVANCE:ELECTION DAY'!G104)</f>
        <v>0</v>
      </c>
      <c r="H145" s="32">
        <f>SUM('ADVANCE:ELECTION DAY'!H104)</f>
        <v>0</v>
      </c>
      <c r="I145" s="32">
        <f>SUM('ADVANCE:ELECTION DAY'!I104)</f>
        <v>0</v>
      </c>
      <c r="J145" s="32">
        <f>SUM('ADVANCE:ELECTION DAY'!J104)</f>
        <v>0</v>
      </c>
      <c r="K145" s="32">
        <f>SUM('ADVANCE:ELECTION DAY'!K104)</f>
        <v>0</v>
      </c>
      <c r="L145" s="32">
        <f>SUM('ADVANCE:ELECTION DAY'!L104)</f>
        <v>0</v>
      </c>
      <c r="M145" s="32">
        <f>SUM('ADVANCE:ELECTION DAY'!M104)</f>
        <v>0</v>
      </c>
      <c r="N145" s="16">
        <f>SUM('ADVANCE:ELECTION DAY'!N104)</f>
        <v>0</v>
      </c>
      <c r="O145" s="15" t="s">
        <v>86</v>
      </c>
      <c r="P145" s="15" t="s">
        <v>15</v>
      </c>
      <c r="Q145" s="32">
        <f>SUM('ADVANCE:ELECTION DAY'!Q104)</f>
        <v>0</v>
      </c>
      <c r="R145" s="32">
        <f>SUM('ADVANCE:ELECTION DAY'!R104)</f>
        <v>0</v>
      </c>
      <c r="S145" s="32">
        <f>SUM('ADVANCE:ELECTION DAY'!S104)</f>
        <v>0</v>
      </c>
      <c r="T145" s="32">
        <f>SUM('ADVANCE:ELECTION DAY'!T104)</f>
        <v>0</v>
      </c>
      <c r="U145" s="32">
        <f>SUM('ADVANCE:ELECTION DAY'!U104)</f>
        <v>0</v>
      </c>
      <c r="V145" s="32">
        <f>SUM('ADVANCE:ELECTION DAY'!V104)</f>
        <v>0</v>
      </c>
      <c r="W145" s="32">
        <f>SUM('ADVANCE:ELECTION DAY'!W104)</f>
        <v>0</v>
      </c>
      <c r="X145" s="32">
        <f>SUM('ADVANCE:ELECTION DAY'!X104)</f>
        <v>0</v>
      </c>
      <c r="Y145" s="16">
        <f>E145+F145+G145+H145+I145+J145+K145+L145+M145+N145+Q145+R145+S145+T145+U145+V145+W145+X145</f>
        <v>41</v>
      </c>
      <c r="Z145" s="16">
        <v>0</v>
      </c>
      <c r="AA145" s="16">
        <f t="shared" ref="AA145:AA173" si="4">SUM(Y145:Z145)</f>
        <v>41</v>
      </c>
    </row>
    <row r="146" spans="2:27" ht="13.5" thickBot="1" x14ac:dyDescent="0.25">
      <c r="B146" s="21"/>
      <c r="C146" s="15"/>
      <c r="D146" s="15"/>
      <c r="E146" s="32">
        <f>SUM('ADVANCE:ELECTION DAY'!E105)</f>
        <v>0</v>
      </c>
      <c r="F146" s="16"/>
      <c r="G146" s="16"/>
      <c r="H146" s="16"/>
      <c r="I146" s="16"/>
      <c r="J146" s="16"/>
      <c r="K146" s="16"/>
      <c r="L146" s="16"/>
      <c r="M146" s="32"/>
      <c r="N146" s="16"/>
      <c r="O146" s="15"/>
      <c r="P146" s="15"/>
      <c r="Q146" s="32">
        <f>SUM('ADVANCE:ELECTION DAY'!Q105)</f>
        <v>0</v>
      </c>
      <c r="R146" s="16"/>
      <c r="S146" s="16"/>
      <c r="T146" s="16"/>
      <c r="U146" s="16"/>
      <c r="V146" s="16"/>
      <c r="W146" s="16"/>
      <c r="X146" s="32"/>
      <c r="Y146" s="16">
        <f>E146+F146+G146+H146+I146+J146+K146+L146+M146+N146+Q146+R146+S146+T146+U146+V146+W146+X146</f>
        <v>0</v>
      </c>
      <c r="Z146" s="16"/>
      <c r="AA146" s="16"/>
    </row>
    <row r="147" spans="2:27" ht="13.5" thickBot="1" x14ac:dyDescent="0.25">
      <c r="B147" s="10" t="s">
        <v>28</v>
      </c>
      <c r="C147" s="11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55"/>
      <c r="O147" s="10" t="s">
        <v>28</v>
      </c>
      <c r="P147" s="12"/>
      <c r="Q147" s="12"/>
      <c r="R147" s="33"/>
      <c r="S147" s="12"/>
      <c r="T147" s="12"/>
      <c r="U147" s="12"/>
      <c r="V147" s="12"/>
      <c r="W147" s="12"/>
      <c r="X147" s="12"/>
      <c r="Y147" s="55"/>
      <c r="Z147" s="55"/>
      <c r="AA147" s="61"/>
    </row>
    <row r="148" spans="2:27" ht="13.5" thickBot="1" x14ac:dyDescent="0.25">
      <c r="B148" s="21"/>
      <c r="C148" s="15" t="s">
        <v>87</v>
      </c>
      <c r="D148" s="15" t="s">
        <v>15</v>
      </c>
      <c r="E148" s="32">
        <f>SUM('ADVANCE:ELECTION DAY'!E107)</f>
        <v>0</v>
      </c>
      <c r="F148" s="32">
        <f>SUM('ADVANCE:ELECTION DAY'!F107)</f>
        <v>0</v>
      </c>
      <c r="G148" s="32">
        <v>43</v>
      </c>
      <c r="H148" s="32">
        <f>SUM('ADVANCE:ELECTION DAY'!H107)</f>
        <v>0</v>
      </c>
      <c r="I148" s="32">
        <f>SUM('ADVANCE:ELECTION DAY'!I107)</f>
        <v>0</v>
      </c>
      <c r="J148" s="32">
        <f>SUM('ADVANCE:ELECTION DAY'!J107)</f>
        <v>0</v>
      </c>
      <c r="K148" s="32">
        <f>SUM('ADVANCE:ELECTION DAY'!K107)</f>
        <v>0</v>
      </c>
      <c r="L148" s="32">
        <f>SUM('ADVANCE:ELECTION DAY'!L107)</f>
        <v>0</v>
      </c>
      <c r="M148" s="32">
        <f>SUM('ADVANCE:ELECTION DAY'!M107)</f>
        <v>0</v>
      </c>
      <c r="N148" s="16">
        <f>SUM('ADVANCE:ELECTION DAY'!N107)</f>
        <v>0</v>
      </c>
      <c r="O148" s="15" t="s">
        <v>88</v>
      </c>
      <c r="P148" s="15" t="s">
        <v>15</v>
      </c>
      <c r="Q148" s="32">
        <f>SUM('ADVANCE:ELECTION DAY'!Q107)</f>
        <v>0</v>
      </c>
      <c r="R148" s="32">
        <f>SUM('ADVANCE:ELECTION DAY'!R107)</f>
        <v>0</v>
      </c>
      <c r="S148" s="32">
        <f>SUM('ADVANCE:ELECTION DAY'!S107)</f>
        <v>0</v>
      </c>
      <c r="T148" s="32">
        <f>SUM('ADVANCE:ELECTION DAY'!T107)</f>
        <v>0</v>
      </c>
      <c r="U148" s="32">
        <f>SUM('ADVANCE:ELECTION DAY'!U107)</f>
        <v>0</v>
      </c>
      <c r="V148" s="32">
        <f>SUM('ADVANCE:ELECTION DAY'!V107)</f>
        <v>0</v>
      </c>
      <c r="W148" s="32">
        <f>SUM('ADVANCE:ELECTION DAY'!W107)</f>
        <v>0</v>
      </c>
      <c r="X148" s="32">
        <f>SUM('ADVANCE:ELECTION DAY'!X107)</f>
        <v>0</v>
      </c>
      <c r="Y148" s="16">
        <f>E148+F148+G148+H148+I148+J148+K148+L148+M148+N148+Q148+R148+S148+T148+U148+V148+W148+X148</f>
        <v>43</v>
      </c>
      <c r="Z148" s="16">
        <v>1</v>
      </c>
      <c r="AA148" s="16">
        <f t="shared" si="4"/>
        <v>44</v>
      </c>
    </row>
    <row r="149" spans="2:27" ht="13.5" thickBot="1" x14ac:dyDescent="0.25">
      <c r="B149" s="21"/>
      <c r="C149" s="15"/>
      <c r="D149" s="15"/>
      <c r="E149" s="32">
        <f>SUM('ADVANCE:ELECTION DAY'!E108)</f>
        <v>0</v>
      </c>
      <c r="F149" s="16"/>
      <c r="G149" s="16"/>
      <c r="H149" s="16"/>
      <c r="I149" s="16"/>
      <c r="J149" s="16"/>
      <c r="K149" s="16"/>
      <c r="L149" s="16"/>
      <c r="M149" s="32"/>
      <c r="N149" s="16"/>
      <c r="O149" s="15"/>
      <c r="P149" s="15"/>
      <c r="Q149" s="32">
        <f>SUM('ADVANCE:ELECTION DAY'!Q108)</f>
        <v>0</v>
      </c>
      <c r="R149" s="16"/>
      <c r="S149" s="16"/>
      <c r="T149" s="16"/>
      <c r="U149" s="16"/>
      <c r="V149" s="16"/>
      <c r="W149" s="16"/>
      <c r="X149" s="32"/>
      <c r="Y149" s="16">
        <f>E149+F149+G149+H149+I149+J149+K149+L149+M149+N149+Q149+R149+S149+T149+U149+V149+W149+X149</f>
        <v>0</v>
      </c>
      <c r="Z149" s="16"/>
      <c r="AA149" s="16"/>
    </row>
    <row r="150" spans="2:27" ht="13.5" thickBot="1" x14ac:dyDescent="0.25">
      <c r="B150" s="10" t="s">
        <v>29</v>
      </c>
      <c r="C150" s="11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55"/>
      <c r="O150" s="10" t="s">
        <v>29</v>
      </c>
      <c r="P150" s="12"/>
      <c r="Q150" s="12"/>
      <c r="R150" s="33"/>
      <c r="S150" s="12"/>
      <c r="T150" s="12"/>
      <c r="U150" s="12"/>
      <c r="V150" s="12"/>
      <c r="W150" s="12"/>
      <c r="X150" s="12"/>
      <c r="Y150" s="55"/>
      <c r="Z150" s="55"/>
      <c r="AA150" s="61"/>
    </row>
    <row r="151" spans="2:27" ht="13.5" thickBot="1" x14ac:dyDescent="0.25">
      <c r="B151" s="21"/>
      <c r="C151" s="15" t="s">
        <v>89</v>
      </c>
      <c r="D151" s="15" t="s">
        <v>15</v>
      </c>
      <c r="E151" s="32">
        <f>SUM('ADVANCE:ELECTION DAY'!E110)</f>
        <v>0</v>
      </c>
      <c r="F151" s="32">
        <f>SUM('ADVANCE:ELECTION DAY'!F110)</f>
        <v>0</v>
      </c>
      <c r="G151" s="32">
        <f>SUM('ADVANCE:ELECTION DAY'!G110)</f>
        <v>0</v>
      </c>
      <c r="H151" s="32">
        <v>33</v>
      </c>
      <c r="I151" s="32">
        <f>SUM('ADVANCE:ELECTION DAY'!I110)</f>
        <v>0</v>
      </c>
      <c r="J151" s="32">
        <f>SUM('ADVANCE:ELECTION DAY'!J110)</f>
        <v>0</v>
      </c>
      <c r="K151" s="32">
        <f>SUM('ADVANCE:ELECTION DAY'!K110)</f>
        <v>0</v>
      </c>
      <c r="L151" s="32">
        <f>SUM('ADVANCE:ELECTION DAY'!L110)</f>
        <v>0</v>
      </c>
      <c r="M151" s="32">
        <f>SUM('ADVANCE:ELECTION DAY'!M110)</f>
        <v>0</v>
      </c>
      <c r="N151" s="16">
        <f>SUM('ADVANCE:ELECTION DAY'!N110)</f>
        <v>0</v>
      </c>
      <c r="O151" s="15" t="s">
        <v>89</v>
      </c>
      <c r="P151" s="15" t="s">
        <v>15</v>
      </c>
      <c r="Q151" s="32">
        <f>SUM('ADVANCE:ELECTION DAY'!Q110)</f>
        <v>0</v>
      </c>
      <c r="R151" s="32">
        <f>SUM('ADVANCE:ELECTION DAY'!R110)</f>
        <v>0</v>
      </c>
      <c r="S151" s="32">
        <f>SUM('ADVANCE:ELECTION DAY'!S110)</f>
        <v>0</v>
      </c>
      <c r="T151" s="32">
        <f>SUM('ADVANCE:ELECTION DAY'!T110)</f>
        <v>0</v>
      </c>
      <c r="U151" s="32">
        <f>SUM('ADVANCE:ELECTION DAY'!U110)</f>
        <v>0</v>
      </c>
      <c r="V151" s="32">
        <f>SUM('ADVANCE:ELECTION DAY'!V110)</f>
        <v>0</v>
      </c>
      <c r="W151" s="32">
        <f>SUM('ADVANCE:ELECTION DAY'!W110)</f>
        <v>0</v>
      </c>
      <c r="X151" s="32">
        <f>SUM('ADVANCE:ELECTION DAY'!X110)</f>
        <v>0</v>
      </c>
      <c r="Y151" s="16">
        <f>E151+F151+G151+H151+I151+J151+K151+L151+M151+N151+Q151+R151+S151+T151+U151+V151+W151+X151</f>
        <v>33</v>
      </c>
      <c r="Z151" s="16">
        <v>0</v>
      </c>
      <c r="AA151" s="16">
        <f t="shared" si="4"/>
        <v>33</v>
      </c>
    </row>
    <row r="152" spans="2:27" ht="13.5" thickBot="1" x14ac:dyDescent="0.25">
      <c r="B152" s="10" t="s">
        <v>30</v>
      </c>
      <c r="C152" s="11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55"/>
      <c r="O152" s="10" t="s">
        <v>30</v>
      </c>
      <c r="P152" s="12"/>
      <c r="Q152" s="12"/>
      <c r="R152" s="33"/>
      <c r="S152" s="12"/>
      <c r="T152" s="12"/>
      <c r="U152" s="12"/>
      <c r="V152" s="12"/>
      <c r="W152" s="12"/>
      <c r="X152" s="12"/>
      <c r="Y152" s="55"/>
      <c r="Z152" s="55"/>
      <c r="AA152" s="61"/>
    </row>
    <row r="153" spans="2:27" ht="13.5" thickBot="1" x14ac:dyDescent="0.25">
      <c r="B153" s="39"/>
      <c r="C153" s="15" t="s">
        <v>52</v>
      </c>
      <c r="D153" s="15" t="s">
        <v>15</v>
      </c>
      <c r="E153" s="32">
        <f>SUM('ADVANCE:ELECTION DAY'!E112)</f>
        <v>0</v>
      </c>
      <c r="F153" s="32">
        <f>SUM('ADVANCE:ELECTION DAY'!F112)</f>
        <v>0</v>
      </c>
      <c r="G153" s="32">
        <f>SUM('ADVANCE:ELECTION DAY'!G112)</f>
        <v>0</v>
      </c>
      <c r="H153" s="32">
        <f>SUM('ADVANCE:ELECTION DAY'!H112)</f>
        <v>0</v>
      </c>
      <c r="I153" s="32">
        <v>26</v>
      </c>
      <c r="J153" s="32">
        <f>SUM('ADVANCE:ELECTION DAY'!J112)</f>
        <v>0</v>
      </c>
      <c r="K153" s="32">
        <f>SUM('ADVANCE:ELECTION DAY'!K112)</f>
        <v>0</v>
      </c>
      <c r="L153" s="32">
        <f>SUM('ADVANCE:ELECTION DAY'!L112)</f>
        <v>0</v>
      </c>
      <c r="M153" s="32">
        <f>SUM('ADVANCE:ELECTION DAY'!M112)</f>
        <v>0</v>
      </c>
      <c r="N153" s="16">
        <f>SUM('ADVANCE:ELECTION DAY'!N112)</f>
        <v>0</v>
      </c>
      <c r="O153" s="15" t="s">
        <v>52</v>
      </c>
      <c r="P153" s="15" t="s">
        <v>15</v>
      </c>
      <c r="Q153" s="32">
        <f>SUM('ADVANCE:ELECTION DAY'!Q112)</f>
        <v>0</v>
      </c>
      <c r="R153" s="32">
        <f>SUM('ADVANCE:ELECTION DAY'!R112)</f>
        <v>0</v>
      </c>
      <c r="S153" s="32">
        <f>SUM('ADVANCE:ELECTION DAY'!S112)</f>
        <v>0</v>
      </c>
      <c r="T153" s="32">
        <f>SUM('ADVANCE:ELECTION DAY'!T112)</f>
        <v>0</v>
      </c>
      <c r="U153" s="32">
        <f>SUM('ADVANCE:ELECTION DAY'!U112)</f>
        <v>0</v>
      </c>
      <c r="V153" s="32">
        <f>SUM('ADVANCE:ELECTION DAY'!V112)</f>
        <v>0</v>
      </c>
      <c r="W153" s="32">
        <f>SUM('ADVANCE:ELECTION DAY'!W112)</f>
        <v>0</v>
      </c>
      <c r="X153" s="32">
        <f>SUM('ADVANCE:ELECTION DAY'!X112)</f>
        <v>0</v>
      </c>
      <c r="Y153" s="16">
        <f>E153+F153+G153+H153+I153+J153+K153+L153+M153+N153+Q153+R153+S153+T153+U153+V153+W153+X153</f>
        <v>26</v>
      </c>
      <c r="Z153" s="16">
        <v>0</v>
      </c>
      <c r="AA153" s="16">
        <f t="shared" si="4"/>
        <v>26</v>
      </c>
    </row>
    <row r="154" spans="2:27" ht="13.5" thickBot="1" x14ac:dyDescent="0.25">
      <c r="B154" s="10" t="s">
        <v>31</v>
      </c>
      <c r="C154" s="11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55"/>
      <c r="O154" s="10" t="s">
        <v>31</v>
      </c>
      <c r="P154" s="12"/>
      <c r="Q154" s="12"/>
      <c r="R154" s="33"/>
      <c r="S154" s="12"/>
      <c r="T154" s="12"/>
      <c r="U154" s="12"/>
      <c r="V154" s="12"/>
      <c r="W154" s="12"/>
      <c r="X154" s="12"/>
      <c r="Y154" s="55"/>
      <c r="Z154" s="55"/>
      <c r="AA154" s="61"/>
    </row>
    <row r="155" spans="2:27" ht="13.5" thickBot="1" x14ac:dyDescent="0.25">
      <c r="B155" s="39"/>
      <c r="C155" s="15" t="s">
        <v>90</v>
      </c>
      <c r="D155" s="15" t="s">
        <v>15</v>
      </c>
      <c r="E155" s="32">
        <f>SUM('ADVANCE:ELECTION DAY'!E114)</f>
        <v>0</v>
      </c>
      <c r="F155" s="32">
        <f>SUM('ADVANCE:ELECTION DAY'!F114)</f>
        <v>0</v>
      </c>
      <c r="G155" s="32">
        <f>SUM('ADVANCE:ELECTION DAY'!G114)</f>
        <v>0</v>
      </c>
      <c r="H155" s="32">
        <f>SUM('ADVANCE:ELECTION DAY'!H114)</f>
        <v>0</v>
      </c>
      <c r="I155" s="32">
        <f>SUM('ADVANCE:ELECTION DAY'!I114)</f>
        <v>0</v>
      </c>
      <c r="J155" s="32">
        <v>76</v>
      </c>
      <c r="K155" s="32">
        <v>377</v>
      </c>
      <c r="L155" s="32">
        <v>127</v>
      </c>
      <c r="M155" s="32">
        <v>6</v>
      </c>
      <c r="N155" s="16">
        <v>41</v>
      </c>
      <c r="O155" s="15" t="s">
        <v>90</v>
      </c>
      <c r="P155" s="15" t="s">
        <v>15</v>
      </c>
      <c r="Q155" s="32">
        <v>31</v>
      </c>
      <c r="R155" s="32">
        <f>SUM('ADVANCE:ELECTION DAY'!R114)</f>
        <v>0</v>
      </c>
      <c r="S155" s="32">
        <f>SUM('ADVANCE:ELECTION DAY'!S114)</f>
        <v>0</v>
      </c>
      <c r="T155" s="32">
        <f>SUM('ADVANCE:ELECTION DAY'!T114)</f>
        <v>0</v>
      </c>
      <c r="U155" s="32">
        <f>SUM('ADVANCE:ELECTION DAY'!U114)</f>
        <v>0</v>
      </c>
      <c r="V155" s="32">
        <f>SUM('ADVANCE:ELECTION DAY'!V114)</f>
        <v>0</v>
      </c>
      <c r="W155" s="32">
        <f>SUM('ADVANCE:ELECTION DAY'!W114)</f>
        <v>0</v>
      </c>
      <c r="X155" s="32">
        <f>SUM('ADVANCE:ELECTION DAY'!X114)</f>
        <v>0</v>
      </c>
      <c r="Y155" s="16">
        <f>E155+F155+G155+H155+I155+J155+K155+L155+M155+N155+Q155+R155+S155+T155+U155+V155+W155+X155</f>
        <v>658</v>
      </c>
      <c r="Z155" s="62">
        <v>20</v>
      </c>
      <c r="AA155" s="16">
        <f t="shared" si="4"/>
        <v>678</v>
      </c>
    </row>
    <row r="156" spans="2:27" ht="13.5" thickBot="1" x14ac:dyDescent="0.25">
      <c r="B156" s="10" t="s">
        <v>32</v>
      </c>
      <c r="C156" s="11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55"/>
      <c r="O156" s="10" t="s">
        <v>32</v>
      </c>
      <c r="P156" s="12"/>
      <c r="Q156" s="12"/>
      <c r="R156" s="33"/>
      <c r="S156" s="12"/>
      <c r="T156" s="12"/>
      <c r="U156" s="12"/>
      <c r="V156" s="12"/>
      <c r="W156" s="12"/>
      <c r="X156" s="12"/>
      <c r="Y156" s="61"/>
      <c r="Z156" s="61"/>
      <c r="AA156" s="61"/>
    </row>
    <row r="157" spans="2:27" ht="13.5" thickBot="1" x14ac:dyDescent="0.25">
      <c r="B157" s="39"/>
      <c r="C157" s="15"/>
      <c r="D157" s="15"/>
      <c r="E157" s="32">
        <f>SUM('ADVANCE:ELECTION DAY'!E116)</f>
        <v>0</v>
      </c>
      <c r="F157" s="16"/>
      <c r="G157" s="16"/>
      <c r="H157" s="16"/>
      <c r="I157" s="16"/>
      <c r="J157" s="16"/>
      <c r="K157" s="16"/>
      <c r="L157" s="16"/>
      <c r="M157" s="32"/>
      <c r="N157" s="16"/>
      <c r="O157" s="15"/>
      <c r="P157" s="14"/>
      <c r="Q157" s="32">
        <f>SUM('ADVANCE:ELECTION DAY'!Q116)</f>
        <v>0</v>
      </c>
      <c r="R157" s="16"/>
      <c r="S157" s="16"/>
      <c r="T157" s="16"/>
      <c r="U157" s="16"/>
      <c r="V157" s="16"/>
      <c r="W157" s="16"/>
      <c r="X157" s="32"/>
      <c r="Y157" s="32">
        <f>E157+F157+G157+H157+I157+J157+K157+L157+M157+N157+Q157+R157+S157+T157+U157+V157+W157+X157</f>
        <v>0</v>
      </c>
      <c r="Z157" s="32"/>
      <c r="AA157" s="16"/>
    </row>
    <row r="158" spans="2:27" ht="13.5" thickBot="1" x14ac:dyDescent="0.25">
      <c r="B158" s="10" t="s">
        <v>33</v>
      </c>
      <c r="C158" s="11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55"/>
      <c r="O158" s="10" t="s">
        <v>33</v>
      </c>
      <c r="P158" s="43"/>
      <c r="Q158" s="12"/>
      <c r="R158" s="46"/>
      <c r="S158" s="12"/>
      <c r="T158" s="12"/>
      <c r="U158" s="12"/>
      <c r="V158" s="12"/>
      <c r="W158" s="12"/>
      <c r="X158" s="12"/>
      <c r="Y158" s="61"/>
      <c r="Z158" s="61"/>
      <c r="AA158" s="61"/>
    </row>
    <row r="159" spans="2:27" ht="13.5" thickBot="1" x14ac:dyDescent="0.25">
      <c r="B159" s="39"/>
      <c r="C159" s="15" t="s">
        <v>91</v>
      </c>
      <c r="D159" s="15" t="s">
        <v>15</v>
      </c>
      <c r="E159" s="32">
        <f>SUM('ADVANCE:ELECTION DAY'!E118)</f>
        <v>0</v>
      </c>
      <c r="F159" s="32">
        <f>SUM('ADVANCE:ELECTION DAY'!F118)</f>
        <v>0</v>
      </c>
      <c r="G159" s="32">
        <f>SUM('ADVANCE:ELECTION DAY'!G118)</f>
        <v>0</v>
      </c>
      <c r="H159" s="32">
        <f>SUM('ADVANCE:ELECTION DAY'!H118)</f>
        <v>0</v>
      </c>
      <c r="I159" s="32">
        <f>SUM('ADVANCE:ELECTION DAY'!I118)</f>
        <v>0</v>
      </c>
      <c r="J159" s="32">
        <f>SUM('ADVANCE:ELECTION DAY'!J118)</f>
        <v>0</v>
      </c>
      <c r="K159" s="32">
        <f>SUM('ADVANCE:ELECTION DAY'!K118)</f>
        <v>0</v>
      </c>
      <c r="L159" s="32">
        <f>SUM('ADVANCE:ELECTION DAY'!L118)</f>
        <v>0</v>
      </c>
      <c r="M159" s="32">
        <f>SUM('ADVANCE:ELECTION DAY'!M118)</f>
        <v>0</v>
      </c>
      <c r="N159" s="16">
        <f>SUM('ADVANCE:ELECTION DAY'!N118)</f>
        <v>0</v>
      </c>
      <c r="O159" s="15" t="s">
        <v>91</v>
      </c>
      <c r="P159" s="15" t="s">
        <v>15</v>
      </c>
      <c r="Q159" s="32">
        <f>SUM('ADVANCE:ELECTION DAY'!Q118)</f>
        <v>0</v>
      </c>
      <c r="R159" s="32">
        <f>SUM('ADVANCE:ELECTION DAY'!R118)</f>
        <v>0</v>
      </c>
      <c r="S159" s="32">
        <v>66</v>
      </c>
      <c r="T159" s="32">
        <f>SUM('ADVANCE:ELECTION DAY'!T118)</f>
        <v>0</v>
      </c>
      <c r="U159" s="32">
        <f>SUM('ADVANCE:ELECTION DAY'!U118)</f>
        <v>0</v>
      </c>
      <c r="V159" s="32">
        <f>SUM('ADVANCE:ELECTION DAY'!V118)</f>
        <v>0</v>
      </c>
      <c r="W159" s="32">
        <f>SUM('ADVANCE:ELECTION DAY'!W118)</f>
        <v>0</v>
      </c>
      <c r="X159" s="32">
        <f>SUM('ADVANCE:ELECTION DAY'!X118)</f>
        <v>0</v>
      </c>
      <c r="Y159" s="32">
        <f>E159+F159+G159+H159+I159+J159+K159+L159+M159+N159+Q159+R159+S159+T159+U159+V159+W159+X159</f>
        <v>66</v>
      </c>
      <c r="Z159" s="32">
        <v>0</v>
      </c>
      <c r="AA159" s="16">
        <f t="shared" si="4"/>
        <v>66</v>
      </c>
    </row>
    <row r="160" spans="2:27" ht="13.5" thickBot="1" x14ac:dyDescent="0.25">
      <c r="B160" s="39"/>
      <c r="C160" s="15"/>
      <c r="D160" s="15"/>
      <c r="E160" s="32">
        <f>SUM('ADVANCE:ELECTION DAY'!E119)</f>
        <v>0</v>
      </c>
      <c r="F160" s="16"/>
      <c r="G160" s="16"/>
      <c r="H160" s="16"/>
      <c r="I160" s="16"/>
      <c r="J160" s="16"/>
      <c r="K160" s="16"/>
      <c r="L160" s="16"/>
      <c r="M160" s="32"/>
      <c r="N160" s="16"/>
      <c r="O160" s="15"/>
      <c r="P160" s="15"/>
      <c r="Q160" s="32">
        <f>SUM('ADVANCE:ELECTION DAY'!Q119)</f>
        <v>0</v>
      </c>
      <c r="R160" s="16"/>
      <c r="S160" s="16"/>
      <c r="T160" s="16"/>
      <c r="U160" s="16"/>
      <c r="V160" s="16"/>
      <c r="W160" s="16"/>
      <c r="X160" s="32"/>
      <c r="Y160" s="32">
        <f>E160+F160+G160+H160+I160+J160+K160+L160+M160+N160+Q160+R160+S160+T160+U160+V160+W160+X160</f>
        <v>0</v>
      </c>
      <c r="Z160" s="32"/>
      <c r="AA160" s="16"/>
    </row>
    <row r="161" spans="2:84" ht="13.5" thickBot="1" x14ac:dyDescent="0.25">
      <c r="B161" s="39"/>
      <c r="C161" s="15"/>
      <c r="D161" s="15"/>
      <c r="E161" s="32">
        <f>SUM('ADVANCE:ELECTION DAY'!E120)</f>
        <v>0</v>
      </c>
      <c r="F161" s="16"/>
      <c r="G161" s="16"/>
      <c r="H161" s="16"/>
      <c r="I161" s="16"/>
      <c r="J161" s="16"/>
      <c r="K161" s="16"/>
      <c r="L161" s="16"/>
      <c r="M161" s="32"/>
      <c r="N161" s="16"/>
      <c r="O161" s="15"/>
      <c r="P161" s="14"/>
      <c r="Q161" s="32">
        <f>SUM('ADVANCE:ELECTION DAY'!Q120)</f>
        <v>0</v>
      </c>
      <c r="R161" s="16"/>
      <c r="S161" s="16"/>
      <c r="T161" s="16"/>
      <c r="U161" s="16"/>
      <c r="V161" s="16"/>
      <c r="W161" s="16"/>
      <c r="X161" s="32"/>
      <c r="Y161" s="32">
        <f>E161+F161+G161+H161+I161+J161+K161+L161+M161+N161+Q161+R161+S161+T161+U161+V161+W161+X161</f>
        <v>0</v>
      </c>
      <c r="Z161" s="32"/>
      <c r="AA161" s="16"/>
    </row>
    <row r="162" spans="2:84" ht="13.5" thickBot="1" x14ac:dyDescent="0.25">
      <c r="B162" s="10" t="s">
        <v>34</v>
      </c>
      <c r="C162" s="11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55"/>
      <c r="O162" s="10" t="s">
        <v>34</v>
      </c>
      <c r="P162" s="43"/>
      <c r="Q162" s="12"/>
      <c r="R162" s="46"/>
      <c r="S162" s="12"/>
      <c r="T162" s="12"/>
      <c r="U162" s="12"/>
      <c r="V162" s="12"/>
      <c r="W162" s="12"/>
      <c r="X162" s="12"/>
      <c r="Y162" s="61"/>
      <c r="Z162" s="61"/>
      <c r="AA162" s="61"/>
    </row>
    <row r="163" spans="2:84" ht="13.5" thickBot="1" x14ac:dyDescent="0.25">
      <c r="B163" s="39"/>
      <c r="C163" s="15" t="s">
        <v>92</v>
      </c>
      <c r="D163" s="15" t="s">
        <v>15</v>
      </c>
      <c r="E163" s="32">
        <f>SUM('ADVANCE:ELECTION DAY'!E122)</f>
        <v>0</v>
      </c>
      <c r="F163" s="32">
        <f>SUM('ADVANCE:ELECTION DAY'!F122)</f>
        <v>0</v>
      </c>
      <c r="G163" s="32">
        <f>SUM('ADVANCE:ELECTION DAY'!G122)</f>
        <v>0</v>
      </c>
      <c r="H163" s="32">
        <f>SUM('ADVANCE:ELECTION DAY'!H122)</f>
        <v>0</v>
      </c>
      <c r="I163" s="32">
        <f>SUM('ADVANCE:ELECTION DAY'!I122)</f>
        <v>0</v>
      </c>
      <c r="J163" s="32">
        <f>SUM('ADVANCE:ELECTION DAY'!J122)</f>
        <v>0</v>
      </c>
      <c r="K163" s="32">
        <f>SUM('ADVANCE:ELECTION DAY'!K122)</f>
        <v>0</v>
      </c>
      <c r="L163" s="32">
        <f>SUM('ADVANCE:ELECTION DAY'!L122)</f>
        <v>0</v>
      </c>
      <c r="M163" s="32">
        <f>SUM('ADVANCE:ELECTION DAY'!M122)</f>
        <v>0</v>
      </c>
      <c r="N163" s="16">
        <f>SUM('ADVANCE:ELECTION DAY'!N122)</f>
        <v>0</v>
      </c>
      <c r="O163" s="15" t="s">
        <v>92</v>
      </c>
      <c r="P163" s="15" t="s">
        <v>15</v>
      </c>
      <c r="Q163" s="32">
        <f>SUM('ADVANCE:ELECTION DAY'!Q122)</f>
        <v>0</v>
      </c>
      <c r="R163" s="32">
        <f>SUM('ADVANCE:ELECTION DAY'!R122)</f>
        <v>0</v>
      </c>
      <c r="S163" s="32">
        <f>SUM('ADVANCE:ELECTION DAY'!S122)</f>
        <v>0</v>
      </c>
      <c r="T163" s="32">
        <v>28</v>
      </c>
      <c r="U163" s="32">
        <f>SUM('ADVANCE:ELECTION DAY'!U122)</f>
        <v>0</v>
      </c>
      <c r="V163" s="32">
        <f>SUM('ADVANCE:ELECTION DAY'!V122)</f>
        <v>0</v>
      </c>
      <c r="W163" s="32">
        <f>SUM('ADVANCE:ELECTION DAY'!W122)</f>
        <v>0</v>
      </c>
      <c r="X163" s="32">
        <f>SUM('ADVANCE:ELECTION DAY'!X122)</f>
        <v>0</v>
      </c>
      <c r="Y163" s="32">
        <f>E163+F163+G163+H163+I163+J163+K163+L163+M163+N163+Q163+R163+S163+T163+U163+V163+W163+X163</f>
        <v>28</v>
      </c>
      <c r="Z163" s="32">
        <v>0</v>
      </c>
      <c r="AA163" s="16">
        <f t="shared" si="4"/>
        <v>28</v>
      </c>
    </row>
    <row r="164" spans="2:84" ht="13.5" thickBot="1" x14ac:dyDescent="0.25">
      <c r="B164" s="16"/>
      <c r="C164" s="16"/>
      <c r="D164" s="16"/>
      <c r="E164" s="16">
        <f>SUM('ADVANCE:ELECTION DAY'!E123)</f>
        <v>0</v>
      </c>
      <c r="F164" s="16"/>
      <c r="G164" s="16"/>
      <c r="H164" s="16"/>
      <c r="I164" s="16"/>
      <c r="J164" s="16"/>
      <c r="K164" s="16"/>
      <c r="L164" s="16"/>
      <c r="M164" s="32"/>
      <c r="N164" s="16"/>
      <c r="O164" s="16"/>
      <c r="P164" s="16"/>
      <c r="Q164" s="16">
        <f>SUM('ADVANCE:ELECTION DAY'!Q123)</f>
        <v>0</v>
      </c>
      <c r="R164" s="16"/>
      <c r="S164" s="16"/>
      <c r="T164" s="16"/>
      <c r="U164" s="16"/>
      <c r="V164" s="16"/>
      <c r="W164" s="16"/>
      <c r="X164" s="32"/>
      <c r="Y164" s="32"/>
      <c r="Z164" s="32"/>
      <c r="AA164" s="16"/>
    </row>
    <row r="165" spans="2:84" ht="13.5" thickBot="1" x14ac:dyDescent="0.25">
      <c r="B165" s="10" t="s">
        <v>35</v>
      </c>
      <c r="C165" s="11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55"/>
      <c r="O165" s="10" t="s">
        <v>35</v>
      </c>
      <c r="P165" s="12"/>
      <c r="Q165" s="12"/>
      <c r="R165" s="46"/>
      <c r="S165" s="12"/>
      <c r="T165" s="12"/>
      <c r="U165" s="12"/>
      <c r="V165" s="12"/>
      <c r="W165" s="12"/>
      <c r="X165" s="12"/>
      <c r="Y165" s="61"/>
      <c r="Z165" s="61"/>
      <c r="AA165" s="61"/>
    </row>
    <row r="166" spans="2:84" ht="13.5" thickBot="1" x14ac:dyDescent="0.25">
      <c r="B166" s="39"/>
      <c r="C166" s="15" t="s">
        <v>94</v>
      </c>
      <c r="D166" s="15" t="s">
        <v>16</v>
      </c>
      <c r="E166" s="32">
        <f>SUM('ADVANCE:ELECTION DAY'!E125)</f>
        <v>0</v>
      </c>
      <c r="F166" s="32">
        <f>SUM('ADVANCE:ELECTION DAY'!F125)</f>
        <v>0</v>
      </c>
      <c r="G166" s="32">
        <f>SUM('ADVANCE:ELECTION DAY'!G125)</f>
        <v>0</v>
      </c>
      <c r="H166" s="32">
        <f>SUM('ADVANCE:ELECTION DAY'!H125)</f>
        <v>0</v>
      </c>
      <c r="I166" s="32">
        <f>SUM('ADVANCE:ELECTION DAY'!I125)</f>
        <v>0</v>
      </c>
      <c r="J166" s="32">
        <f>SUM('ADVANCE:ELECTION DAY'!J125)</f>
        <v>0</v>
      </c>
      <c r="K166" s="32">
        <f>SUM('ADVANCE:ELECTION DAY'!K125)</f>
        <v>0</v>
      </c>
      <c r="L166" s="32">
        <f>SUM('ADVANCE:ELECTION DAY'!L125)</f>
        <v>0</v>
      </c>
      <c r="M166" s="32">
        <f>SUM('ADVANCE:ELECTION DAY'!M125)</f>
        <v>0</v>
      </c>
      <c r="N166" s="16">
        <f>SUM('ADVANCE:ELECTION DAY'!N125)</f>
        <v>0</v>
      </c>
      <c r="O166" s="15" t="s">
        <v>94</v>
      </c>
      <c r="P166" s="15" t="s">
        <v>16</v>
      </c>
      <c r="Q166" s="32">
        <f>SUM('ADVANCE:ELECTION DAY'!Q125)</f>
        <v>0</v>
      </c>
      <c r="R166" s="32">
        <f>SUM('ADVANCE:ELECTION DAY'!R125)</f>
        <v>0</v>
      </c>
      <c r="S166" s="32">
        <f>SUM('ADVANCE:ELECTION DAY'!S125)</f>
        <v>0</v>
      </c>
      <c r="T166" s="32">
        <f>SUM('ADVANCE:ELECTION DAY'!T125)</f>
        <v>0</v>
      </c>
      <c r="U166" s="32">
        <v>13</v>
      </c>
      <c r="V166" s="32">
        <f>SUM('ADVANCE:ELECTION DAY'!V125)</f>
        <v>0</v>
      </c>
      <c r="W166" s="32">
        <f>SUM('ADVANCE:ELECTION DAY'!W125)</f>
        <v>0</v>
      </c>
      <c r="X166" s="32">
        <f>SUM('ADVANCE:ELECTION DAY'!X125)</f>
        <v>0</v>
      </c>
      <c r="Y166" s="32">
        <f>E166+F166+G166+H166+I166+J166+K166+L166+M166+N166+Q166+R166+S166+T166+U166+V166+W166+X166</f>
        <v>13</v>
      </c>
      <c r="Z166" s="32">
        <v>0</v>
      </c>
      <c r="AA166" s="16">
        <f t="shared" si="4"/>
        <v>13</v>
      </c>
    </row>
    <row r="167" spans="2:84" ht="13.5" thickBot="1" x14ac:dyDescent="0.25">
      <c r="B167" s="10" t="s">
        <v>36</v>
      </c>
      <c r="C167" s="11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55"/>
      <c r="O167" s="10" t="s">
        <v>36</v>
      </c>
      <c r="P167" s="12"/>
      <c r="Q167" s="12"/>
      <c r="R167" s="46"/>
      <c r="S167" s="12"/>
      <c r="T167" s="12"/>
      <c r="U167" s="12"/>
      <c r="V167" s="12"/>
      <c r="W167" s="12"/>
      <c r="X167" s="12"/>
      <c r="Y167" s="61"/>
      <c r="Z167" s="61"/>
      <c r="AA167" s="61"/>
    </row>
    <row r="168" spans="2:84" ht="13.5" thickBot="1" x14ac:dyDescent="0.25">
      <c r="B168" s="21"/>
      <c r="C168" s="15" t="s">
        <v>112</v>
      </c>
      <c r="D168" s="15" t="s">
        <v>15</v>
      </c>
      <c r="E168" s="32">
        <f>SUM('ADVANCE:ELECTION DAY'!E127)</f>
        <v>0</v>
      </c>
      <c r="F168" s="32">
        <f>SUM('ADVANCE:ELECTION DAY'!F127)</f>
        <v>0</v>
      </c>
      <c r="G168" s="32">
        <f>SUM('ADVANCE:ELECTION DAY'!G127)</f>
        <v>0</v>
      </c>
      <c r="H168" s="32">
        <f>SUM('ADVANCE:ELECTION DAY'!H127)</f>
        <v>0</v>
      </c>
      <c r="I168" s="32">
        <f>SUM('ADVANCE:ELECTION DAY'!I127)</f>
        <v>0</v>
      </c>
      <c r="J168" s="32">
        <f>SUM('ADVANCE:ELECTION DAY'!J127)</f>
        <v>0</v>
      </c>
      <c r="K168" s="32">
        <f>SUM('ADVANCE:ELECTION DAY'!K127)</f>
        <v>0</v>
      </c>
      <c r="L168" s="32">
        <f>SUM('ADVANCE:ELECTION DAY'!L127)</f>
        <v>0</v>
      </c>
      <c r="M168" s="32">
        <f>SUM('ADVANCE:ELECTION DAY'!M127)</f>
        <v>0</v>
      </c>
      <c r="N168" s="16">
        <f>SUM('ADVANCE:ELECTION DAY'!N127)</f>
        <v>0</v>
      </c>
      <c r="O168" s="15" t="s">
        <v>112</v>
      </c>
      <c r="P168" s="15" t="s">
        <v>15</v>
      </c>
      <c r="Q168" s="32">
        <f>SUM('ADVANCE:ELECTION DAY'!Q127)</f>
        <v>0</v>
      </c>
      <c r="R168" s="32">
        <f>SUM('ADVANCE:ELECTION DAY'!R127)</f>
        <v>0</v>
      </c>
      <c r="S168" s="32">
        <f>SUM('ADVANCE:ELECTION DAY'!S127)</f>
        <v>0</v>
      </c>
      <c r="T168" s="32">
        <f>SUM('ADVANCE:ELECTION DAY'!T127)</f>
        <v>0</v>
      </c>
      <c r="U168" s="32">
        <f>SUM('ADVANCE:ELECTION DAY'!U127)</f>
        <v>0</v>
      </c>
      <c r="V168" s="32">
        <v>17</v>
      </c>
      <c r="W168" s="32">
        <f>SUM('ADVANCE:ELECTION DAY'!W127)</f>
        <v>0</v>
      </c>
      <c r="X168" s="32">
        <f>SUM('ADVANCE:ELECTION DAY'!X127)</f>
        <v>0</v>
      </c>
      <c r="Y168" s="32">
        <f>E168+F168+G168+H168+I168+J168+K168+L168+M168+N168+Q168+R168+S168+T168+U168+V168+W168+X168</f>
        <v>17</v>
      </c>
      <c r="Z168" s="32">
        <v>0</v>
      </c>
      <c r="AA168" s="16">
        <f t="shared" si="4"/>
        <v>17</v>
      </c>
    </row>
    <row r="169" spans="2:84" ht="13.5" thickBot="1" x14ac:dyDescent="0.25">
      <c r="B169" s="10" t="s">
        <v>37</v>
      </c>
      <c r="C169" s="11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55"/>
      <c r="O169" s="10" t="s">
        <v>37</v>
      </c>
      <c r="P169" s="12"/>
      <c r="Q169" s="12"/>
      <c r="R169" s="46"/>
      <c r="S169" s="12"/>
      <c r="T169" s="12"/>
      <c r="U169" s="12"/>
      <c r="V169" s="12"/>
      <c r="W169" s="12"/>
      <c r="X169" s="12"/>
      <c r="Y169" s="61"/>
      <c r="Z169" s="61"/>
      <c r="AA169" s="61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</row>
    <row r="170" spans="2:84" ht="13.5" thickBot="1" x14ac:dyDescent="0.25">
      <c r="B170" s="21"/>
      <c r="C170" s="38" t="s">
        <v>93</v>
      </c>
      <c r="D170" s="14" t="s">
        <v>15</v>
      </c>
      <c r="E170" s="32">
        <f>SUM('ADVANCE:ELECTION DAY'!E129)</f>
        <v>0</v>
      </c>
      <c r="F170" s="32">
        <f>SUM('ADVANCE:ELECTION DAY'!F129)</f>
        <v>0</v>
      </c>
      <c r="G170" s="32">
        <f>SUM('ADVANCE:ELECTION DAY'!G129)</f>
        <v>0</v>
      </c>
      <c r="H170" s="32">
        <f>SUM('ADVANCE:ELECTION DAY'!H129)</f>
        <v>0</v>
      </c>
      <c r="I170" s="32">
        <f>SUM('ADVANCE:ELECTION DAY'!I129)</f>
        <v>0</v>
      </c>
      <c r="J170" s="32">
        <f>SUM('ADVANCE:ELECTION DAY'!J129)</f>
        <v>0</v>
      </c>
      <c r="K170" s="32">
        <f>SUM('ADVANCE:ELECTION DAY'!K129)</f>
        <v>0</v>
      </c>
      <c r="L170" s="32">
        <f>SUM('ADVANCE:ELECTION DAY'!L129)</f>
        <v>0</v>
      </c>
      <c r="M170" s="32">
        <f>SUM('ADVANCE:ELECTION DAY'!M129)</f>
        <v>0</v>
      </c>
      <c r="N170" s="16">
        <f>SUM('ADVANCE:ELECTION DAY'!N129)</f>
        <v>0</v>
      </c>
      <c r="O170" s="38" t="s">
        <v>93</v>
      </c>
      <c r="P170" s="14" t="s">
        <v>15</v>
      </c>
      <c r="Q170" s="32">
        <f>SUM('ADVANCE:ELECTION DAY'!Q129)</f>
        <v>0</v>
      </c>
      <c r="R170" s="32">
        <f>SUM('ADVANCE:ELECTION DAY'!R129)</f>
        <v>0</v>
      </c>
      <c r="S170" s="32">
        <f>SUM('ADVANCE:ELECTION DAY'!S129)</f>
        <v>0</v>
      </c>
      <c r="T170" s="32">
        <f>SUM('ADVANCE:ELECTION DAY'!T129)</f>
        <v>0</v>
      </c>
      <c r="U170" s="32">
        <f>SUM('ADVANCE:ELECTION DAY'!U129)</f>
        <v>0</v>
      </c>
      <c r="V170" s="32">
        <f>SUM('ADVANCE:ELECTION DAY'!V129)</f>
        <v>0</v>
      </c>
      <c r="W170" s="32">
        <v>61</v>
      </c>
      <c r="X170" s="32">
        <f>SUM('ADVANCE:ELECTION DAY'!X129)</f>
        <v>0</v>
      </c>
      <c r="Y170" s="32">
        <f>E170+F170+G170+H170+I170+J170+K170+L170+M170+N170+Q170+R170+S170+T170+U170+V170+W170+X170</f>
        <v>61</v>
      </c>
      <c r="Z170" s="32">
        <v>1</v>
      </c>
      <c r="AA170" s="16">
        <f t="shared" si="4"/>
        <v>62</v>
      </c>
    </row>
    <row r="171" spans="2:84" ht="13.5" thickBot="1" x14ac:dyDescent="0.25">
      <c r="B171" s="21"/>
      <c r="C171" s="38"/>
      <c r="D171" s="14"/>
      <c r="E171" s="32">
        <f>SUM('ADVANCE:ELECTION DAY'!E130)</f>
        <v>0</v>
      </c>
      <c r="F171" s="16"/>
      <c r="G171" s="16"/>
      <c r="H171" s="16"/>
      <c r="I171" s="16"/>
      <c r="J171" s="16"/>
      <c r="K171" s="16"/>
      <c r="L171" s="16"/>
      <c r="M171" s="32"/>
      <c r="N171" s="16"/>
      <c r="O171" s="38"/>
      <c r="P171" s="14"/>
      <c r="Q171" s="32">
        <f>SUM('ADVANCE:ELECTION DAY'!Q130)</f>
        <v>0</v>
      </c>
      <c r="R171" s="16"/>
      <c r="S171" s="16"/>
      <c r="T171" s="16"/>
      <c r="U171" s="16"/>
      <c r="V171" s="16"/>
      <c r="W171" s="16"/>
      <c r="X171" s="32"/>
      <c r="Y171" s="32">
        <f>E171+F171+G171+H171+I171+J171+K171+L171+M171+N171+Q171+R171+S171+T171+U171+V171+W171+X171</f>
        <v>0</v>
      </c>
      <c r="Z171" s="32"/>
      <c r="AA171" s="16"/>
    </row>
    <row r="172" spans="2:84" ht="13.5" thickBot="1" x14ac:dyDescent="0.25">
      <c r="B172" s="10" t="s">
        <v>38</v>
      </c>
      <c r="C172" s="11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55"/>
      <c r="O172" s="10" t="s">
        <v>38</v>
      </c>
      <c r="P172" s="12"/>
      <c r="Q172" s="12"/>
      <c r="R172" s="46"/>
      <c r="S172" s="12"/>
      <c r="T172" s="12"/>
      <c r="U172" s="12"/>
      <c r="V172" s="12"/>
      <c r="W172" s="12"/>
      <c r="X172" s="12"/>
      <c r="Y172" s="61"/>
      <c r="Z172" s="61"/>
      <c r="AA172" s="61"/>
    </row>
    <row r="173" spans="2:84" ht="13.5" thickBot="1" x14ac:dyDescent="0.25">
      <c r="B173" s="21"/>
      <c r="C173" s="38" t="s">
        <v>113</v>
      </c>
      <c r="D173" s="14" t="s">
        <v>15</v>
      </c>
      <c r="E173" s="32">
        <f>SUM('ADVANCE:ELECTION DAY'!E132)</f>
        <v>0</v>
      </c>
      <c r="F173" s="32">
        <f>SUM('ADVANCE:ELECTION DAY'!F132)</f>
        <v>0</v>
      </c>
      <c r="G173" s="32">
        <f>SUM('ADVANCE:ELECTION DAY'!G132)</f>
        <v>0</v>
      </c>
      <c r="H173" s="32">
        <f>SUM('ADVANCE:ELECTION DAY'!H132)</f>
        <v>0</v>
      </c>
      <c r="I173" s="32">
        <f>SUM('ADVANCE:ELECTION DAY'!I132)</f>
        <v>0</v>
      </c>
      <c r="J173" s="32">
        <f>SUM('ADVANCE:ELECTION DAY'!J132)</f>
        <v>0</v>
      </c>
      <c r="K173" s="32">
        <f>SUM('ADVANCE:ELECTION DAY'!K132)</f>
        <v>0</v>
      </c>
      <c r="L173" s="32">
        <f>SUM('ADVANCE:ELECTION DAY'!L132)</f>
        <v>0</v>
      </c>
      <c r="M173" s="32">
        <f>SUM('ADVANCE:ELECTION DAY'!M132)</f>
        <v>0</v>
      </c>
      <c r="N173" s="16">
        <f>SUM('ADVANCE:ELECTION DAY'!N132)</f>
        <v>0</v>
      </c>
      <c r="O173" s="38" t="s">
        <v>113</v>
      </c>
      <c r="P173" s="14" t="s">
        <v>15</v>
      </c>
      <c r="Q173" s="32">
        <f>SUM('ADVANCE:ELECTION DAY'!Q132)</f>
        <v>0</v>
      </c>
      <c r="R173" s="32">
        <f>SUM('ADVANCE:ELECTION DAY'!R132)</f>
        <v>0</v>
      </c>
      <c r="S173" s="32">
        <f>SUM('ADVANCE:ELECTION DAY'!S132)</f>
        <v>0</v>
      </c>
      <c r="T173" s="32">
        <f>SUM('ADVANCE:ELECTION DAY'!T132)</f>
        <v>0</v>
      </c>
      <c r="U173" s="32">
        <f>SUM('ADVANCE:ELECTION DAY'!U132)</f>
        <v>0</v>
      </c>
      <c r="V173" s="32">
        <f>SUM('ADVANCE:ELECTION DAY'!V132)</f>
        <v>0</v>
      </c>
      <c r="W173" s="32">
        <f>SUM('ADVANCE:ELECTION DAY'!W132)</f>
        <v>0</v>
      </c>
      <c r="X173" s="32">
        <v>101</v>
      </c>
      <c r="Y173" s="32">
        <f>SUM(H173:X173)</f>
        <v>101</v>
      </c>
      <c r="Z173" s="32">
        <v>0</v>
      </c>
      <c r="AA173" s="16">
        <f t="shared" si="4"/>
        <v>101</v>
      </c>
    </row>
    <row r="174" spans="2:84" ht="13.5" thickBot="1" x14ac:dyDescent="0.25">
      <c r="B174" s="21"/>
      <c r="C174" s="38"/>
      <c r="D174" s="32"/>
      <c r="E174" s="32">
        <f>SUM('ADVANCE:ELECTION DAY'!E133)</f>
        <v>0</v>
      </c>
      <c r="F174" s="16"/>
      <c r="G174" s="16"/>
      <c r="H174" s="16"/>
      <c r="I174" s="16"/>
      <c r="J174" s="16"/>
      <c r="K174" s="16"/>
      <c r="L174" s="16"/>
      <c r="M174" s="32"/>
      <c r="N174" s="16"/>
      <c r="O174" s="38"/>
      <c r="P174" s="32"/>
      <c r="Q174" s="32">
        <f>SUM('ADVANCE:ELECTION DAY'!Q133)</f>
        <v>0</v>
      </c>
      <c r="R174" s="16"/>
      <c r="S174" s="16"/>
      <c r="T174" s="16"/>
      <c r="U174" s="16"/>
      <c r="V174" s="16"/>
      <c r="W174" s="16"/>
      <c r="X174" s="32"/>
      <c r="Y174" s="32">
        <f>SUM(H174:X174)</f>
        <v>0</v>
      </c>
      <c r="Z174" s="32"/>
      <c r="AA174" s="16"/>
    </row>
    <row r="175" spans="2:84" ht="27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O175" s="28" t="s">
        <v>18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2:84" ht="27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O176" s="28" t="s">
        <v>19</v>
      </c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2:29" ht="27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O177" s="28"/>
      <c r="P177" s="28" t="s">
        <v>20</v>
      </c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2:29" ht="27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O178" s="28" t="s">
        <v>147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2:29" ht="27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O179" s="28" t="s">
        <v>21</v>
      </c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2:29" ht="27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O180" s="28" t="s">
        <v>150</v>
      </c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2:29" ht="27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O181" s="28" t="s">
        <v>151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2:29" ht="27.75" x14ac:dyDescent="0.4"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O182" s="28" t="s">
        <v>22</v>
      </c>
      <c r="P182" s="28"/>
      <c r="Q182" s="28"/>
      <c r="R182" s="28"/>
      <c r="S182" s="29" t="s">
        <v>23</v>
      </c>
      <c r="T182" s="28"/>
      <c r="U182" s="28"/>
      <c r="V182" s="28"/>
      <c r="W182" s="28"/>
      <c r="X182" s="28"/>
      <c r="Y182" s="28"/>
      <c r="Z182" s="28"/>
    </row>
    <row r="183" spans="2:29" ht="27.75" x14ac:dyDescent="0.4"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O183" s="6" t="s">
        <v>24</v>
      </c>
      <c r="Q183" s="6"/>
      <c r="R183" s="6"/>
      <c r="S183" s="29" t="s">
        <v>23</v>
      </c>
      <c r="T183" s="29"/>
      <c r="U183" s="29"/>
      <c r="V183" s="29"/>
      <c r="W183" s="29"/>
      <c r="X183" s="29"/>
      <c r="Y183" s="29"/>
      <c r="Z183" s="29"/>
    </row>
    <row r="184" spans="2:29" ht="27.75" x14ac:dyDescent="0.4"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O184" s="30" t="s">
        <v>101</v>
      </c>
      <c r="Q184" s="6"/>
      <c r="R184" s="6"/>
      <c r="S184" s="29" t="s">
        <v>23</v>
      </c>
      <c r="T184" s="29"/>
      <c r="U184" s="29"/>
      <c r="V184" s="29"/>
      <c r="W184" s="29"/>
      <c r="X184" s="29"/>
      <c r="Y184" s="29"/>
      <c r="Z184" s="29"/>
    </row>
    <row r="185" spans="2:29" ht="27.75" x14ac:dyDescent="0.4"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O185" s="29"/>
      <c r="Q185" s="6"/>
      <c r="R185" s="6"/>
      <c r="S185" s="6"/>
      <c r="T185" s="30" t="s">
        <v>25</v>
      </c>
      <c r="U185" s="29"/>
      <c r="V185" s="29"/>
      <c r="W185" s="29"/>
      <c r="X185" s="29"/>
      <c r="Y185" s="29"/>
      <c r="Z185" s="29"/>
      <c r="AA185" s="29"/>
    </row>
    <row r="186" spans="2:29" ht="27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9" ht="27" x14ac:dyDescent="0.35">
      <c r="B187" s="1" t="s">
        <v>39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 t="s">
        <v>39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2:29" ht="27" x14ac:dyDescent="0.35">
      <c r="B188" s="1" t="s">
        <v>133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 t="s">
        <v>133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2:29" ht="45" x14ac:dyDescent="0.25">
      <c r="B189" s="70" t="s">
        <v>100</v>
      </c>
      <c r="C189" s="51">
        <v>1317</v>
      </c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51"/>
      <c r="P189" s="4"/>
      <c r="Q189" s="4"/>
      <c r="R189" s="36"/>
      <c r="S189" s="4"/>
      <c r="T189" s="4"/>
      <c r="U189" s="4"/>
      <c r="V189" s="4"/>
      <c r="W189" s="4"/>
      <c r="X189" s="4"/>
      <c r="Y189" s="4"/>
      <c r="Z189" s="4"/>
      <c r="AA189" s="5"/>
      <c r="AB189" s="5"/>
      <c r="AC189" s="5"/>
    </row>
    <row r="190" spans="2:29" ht="26.25" x14ac:dyDescent="0.25">
      <c r="B190" s="71" t="s">
        <v>99</v>
      </c>
      <c r="C190" s="4">
        <v>1808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6"/>
      <c r="Q190" s="4"/>
      <c r="R190" s="4"/>
      <c r="S190" s="36"/>
      <c r="T190" s="4"/>
      <c r="U190" s="4"/>
      <c r="V190" s="4"/>
      <c r="W190" s="4"/>
      <c r="X190" s="4"/>
      <c r="Y190" s="4"/>
      <c r="Z190" s="4"/>
      <c r="AA190" s="5"/>
      <c r="AB190" s="5"/>
      <c r="AC190" s="5"/>
    </row>
    <row r="191" spans="2:29" ht="16.5" thickBot="1" x14ac:dyDescent="0.3">
      <c r="B191" s="4" t="s">
        <v>96</v>
      </c>
      <c r="C191" s="50">
        <v>0.73</v>
      </c>
      <c r="D191" s="4"/>
      <c r="E191" s="4"/>
      <c r="F191" s="4"/>
      <c r="N191" s="4"/>
      <c r="O191" s="50"/>
      <c r="AA191" s="5"/>
      <c r="AB191" s="5"/>
      <c r="AC191" s="5"/>
    </row>
    <row r="192" spans="2:29" ht="101.25" thickBot="1" x14ac:dyDescent="0.25">
      <c r="B192" s="63" t="s">
        <v>0</v>
      </c>
      <c r="C192" s="63" t="s">
        <v>1</v>
      </c>
      <c r="D192" s="8" t="s">
        <v>2</v>
      </c>
      <c r="E192" s="9" t="s">
        <v>3</v>
      </c>
      <c r="F192" s="9" t="s">
        <v>4</v>
      </c>
      <c r="G192" s="9" t="s">
        <v>5</v>
      </c>
      <c r="H192" s="9" t="s">
        <v>6</v>
      </c>
      <c r="I192" s="9" t="s">
        <v>7</v>
      </c>
      <c r="J192" s="9" t="s">
        <v>41</v>
      </c>
      <c r="K192" s="9" t="s">
        <v>42</v>
      </c>
      <c r="L192" s="9" t="s">
        <v>43</v>
      </c>
      <c r="M192" s="31" t="s">
        <v>44</v>
      </c>
      <c r="N192" s="9" t="s">
        <v>45</v>
      </c>
      <c r="O192" s="64" t="s">
        <v>1</v>
      </c>
      <c r="P192" s="8" t="s">
        <v>2</v>
      </c>
      <c r="Q192" s="9" t="s">
        <v>46</v>
      </c>
      <c r="R192" s="9" t="s">
        <v>8</v>
      </c>
      <c r="S192" s="9" t="s">
        <v>9</v>
      </c>
      <c r="T192" s="9" t="s">
        <v>10</v>
      </c>
      <c r="U192" s="9" t="s">
        <v>47</v>
      </c>
      <c r="V192" s="9" t="s">
        <v>11</v>
      </c>
      <c r="W192" s="9" t="s">
        <v>12</v>
      </c>
      <c r="X192" s="9" t="s">
        <v>13</v>
      </c>
      <c r="Y192" s="9" t="s">
        <v>14</v>
      </c>
      <c r="Z192" s="9" t="s">
        <v>149</v>
      </c>
      <c r="AA192" s="9" t="s">
        <v>14</v>
      </c>
    </row>
    <row r="193" spans="2:27" ht="13.5" thickBot="1" x14ac:dyDescent="0.25">
      <c r="B193" s="22" t="s">
        <v>114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66"/>
      <c r="O193" s="22" t="s">
        <v>114</v>
      </c>
      <c r="P193" s="24"/>
      <c r="Q193" s="23"/>
      <c r="R193" s="23"/>
      <c r="S193" s="24"/>
      <c r="T193" s="23"/>
      <c r="U193" s="23"/>
      <c r="V193" s="23"/>
      <c r="W193" s="23"/>
      <c r="X193" s="23"/>
      <c r="Y193" s="53"/>
      <c r="Z193" s="53"/>
      <c r="AA193" s="53"/>
    </row>
    <row r="194" spans="2:27" ht="13.5" thickBot="1" x14ac:dyDescent="0.25">
      <c r="B194" s="17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52"/>
      <c r="O194" s="17"/>
      <c r="P194" s="19"/>
      <c r="Q194" s="18"/>
      <c r="R194" s="34"/>
      <c r="S194" s="19"/>
      <c r="T194" s="18"/>
      <c r="U194" s="18"/>
      <c r="V194" s="18"/>
      <c r="W194" s="18"/>
      <c r="X194" s="18"/>
      <c r="Y194" s="54"/>
      <c r="Z194" s="54"/>
      <c r="AA194" s="54"/>
    </row>
    <row r="195" spans="2:27" ht="13.5" thickBot="1" x14ac:dyDescent="0.25">
      <c r="B195" s="21"/>
      <c r="C195" s="15" t="s">
        <v>152</v>
      </c>
      <c r="D195" s="15"/>
      <c r="E195" s="32"/>
      <c r="F195" s="32"/>
      <c r="G195" s="32"/>
      <c r="H195" s="32"/>
      <c r="I195" s="32"/>
      <c r="J195" s="32"/>
      <c r="K195" s="32"/>
      <c r="L195" s="32"/>
      <c r="M195" s="32"/>
      <c r="N195" s="16"/>
      <c r="O195" s="14" t="s">
        <v>152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16">
        <f>E195+F195+G195+H195+I195+J195+K195+L195+M195+N195+Q195+R195+S195+T195+U195+V195+W195+X195</f>
        <v>0</v>
      </c>
      <c r="Z195" s="16"/>
      <c r="AA195" s="16">
        <v>129</v>
      </c>
    </row>
    <row r="196" spans="2:27" ht="13.5" thickBot="1" x14ac:dyDescent="0.25">
      <c r="B196" s="39"/>
      <c r="C196" s="15"/>
      <c r="D196" s="15"/>
      <c r="E196" s="32"/>
      <c r="F196" s="32"/>
      <c r="G196" s="32"/>
      <c r="H196" s="32"/>
      <c r="I196" s="32"/>
      <c r="J196" s="32"/>
      <c r="K196" s="32"/>
      <c r="L196" s="32"/>
      <c r="M196" s="32"/>
      <c r="N196" s="16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16">
        <f>E196+F196+G196+H196+I196+J196+K196+L196+M196+N196+Q196+R196+S196+T196+U196+V196+W196+X196</f>
        <v>0</v>
      </c>
      <c r="Z196" s="16"/>
      <c r="AA196" s="16"/>
    </row>
    <row r="197" spans="2:27" ht="13.5" thickBot="1" x14ac:dyDescent="0.25">
      <c r="B197" s="21"/>
      <c r="C197" s="21"/>
      <c r="D197" s="21"/>
      <c r="E197" s="32"/>
      <c r="F197" s="32"/>
      <c r="G197" s="32"/>
      <c r="H197" s="32"/>
      <c r="I197" s="32"/>
      <c r="J197" s="32"/>
      <c r="K197" s="32"/>
      <c r="L197" s="32"/>
      <c r="M197" s="32"/>
      <c r="N197" s="16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16">
        <f>E197+F197+G197+H197+I197+J197+K197+L197+M197+N197+Q197+R197+S197+T197+U197+V197+W197+X197</f>
        <v>0</v>
      </c>
      <c r="Z197" s="16"/>
      <c r="AA197" s="16"/>
    </row>
    <row r="198" spans="2:27" ht="13.5" thickBot="1" x14ac:dyDescent="0.25">
      <c r="B198" s="21"/>
      <c r="C198" s="15"/>
      <c r="D198" s="15"/>
      <c r="E198" s="32"/>
      <c r="F198" s="32"/>
      <c r="G198" s="32"/>
      <c r="H198" s="32"/>
      <c r="I198" s="32"/>
      <c r="J198" s="32"/>
      <c r="K198" s="32"/>
      <c r="L198" s="32"/>
      <c r="M198" s="32"/>
      <c r="N198" s="16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16">
        <f>E198+F198+G198+H198+I198+J198+K198+L198+M198+N198+Q198+R198+S198+T198+U198+V198+W198+X198</f>
        <v>0</v>
      </c>
      <c r="Z198" s="16"/>
      <c r="AA198" s="16"/>
    </row>
    <row r="199" spans="2:27" ht="13.5" thickBot="1" x14ac:dyDescent="0.25">
      <c r="B199" s="10" t="s">
        <v>115</v>
      </c>
      <c r="C199" s="11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55"/>
      <c r="O199" s="10" t="s">
        <v>115</v>
      </c>
      <c r="P199" s="12"/>
      <c r="Q199" s="12"/>
      <c r="R199" s="33"/>
      <c r="S199" s="12"/>
      <c r="T199" s="12"/>
      <c r="U199" s="12"/>
      <c r="V199" s="12"/>
      <c r="W199" s="12"/>
      <c r="X199" s="12"/>
      <c r="Y199" s="55"/>
      <c r="Z199" s="55"/>
      <c r="AA199" s="55"/>
    </row>
    <row r="200" spans="2:27" ht="13.5" thickBot="1" x14ac:dyDescent="0.25">
      <c r="B200" s="21"/>
      <c r="C200" s="15" t="s">
        <v>121</v>
      </c>
      <c r="D200" s="15" t="s">
        <v>16</v>
      </c>
      <c r="E200" s="32">
        <f>SUM('ADVANCE:ELECTION DAY'!E147)</f>
        <v>0</v>
      </c>
      <c r="F200" s="32">
        <f>SUM('ADVANCE:ELECTION DAY'!F147)</f>
        <v>0</v>
      </c>
      <c r="G200" s="32">
        <f>SUM('ADVANCE:ELECTION DAY'!G147)</f>
        <v>0</v>
      </c>
      <c r="H200" s="32">
        <f>SUM('ADVANCE:ELECTION DAY'!H147)</f>
        <v>0</v>
      </c>
      <c r="I200" s="32">
        <f>SUM('ADVANCE:ELECTION DAY'!I147)</f>
        <v>0</v>
      </c>
      <c r="J200" s="32">
        <v>54</v>
      </c>
      <c r="K200" s="32">
        <v>196</v>
      </c>
      <c r="L200" s="32">
        <v>52</v>
      </c>
      <c r="M200" s="32">
        <f>SUM('ADVANCE:ELECTION DAY'!M147)</f>
        <v>0</v>
      </c>
      <c r="N200" s="16">
        <f>SUM('ADVANCE:ELECTION DAY'!N147)</f>
        <v>0</v>
      </c>
      <c r="O200" s="15" t="s">
        <v>121</v>
      </c>
      <c r="P200" s="15" t="s">
        <v>16</v>
      </c>
      <c r="Q200" s="32">
        <f>SUM('ADVANCE:ELECTION DAY'!Q147)</f>
        <v>0</v>
      </c>
      <c r="R200" s="32">
        <f>SUM('ADVANCE:ELECTION DAY'!R147)</f>
        <v>0</v>
      </c>
      <c r="S200" s="32">
        <f>SUM('ADVANCE:ELECTION DAY'!S147)</f>
        <v>0</v>
      </c>
      <c r="T200" s="32">
        <f>SUM('ADVANCE:ELECTION DAY'!T147)</f>
        <v>0</v>
      </c>
      <c r="U200" s="32">
        <f>SUM('ADVANCE:ELECTION DAY'!U147)</f>
        <v>0</v>
      </c>
      <c r="V200" s="32">
        <f>SUM('ADVANCE:ELECTION DAY'!V147)</f>
        <v>0</v>
      </c>
      <c r="W200" s="32">
        <f>SUM('ADVANCE:ELECTION DAY'!W147)</f>
        <v>0</v>
      </c>
      <c r="X200" s="32">
        <f>SUM('ADVANCE:ELECTION DAY'!X147)</f>
        <v>0</v>
      </c>
      <c r="Y200" s="16">
        <f t="shared" ref="Y200:Y205" si="5">E200+F200+G200+H200+I200+J200+K200+L200+M200+N200+Q200+R200+S200+T200+U200+V200+W200+X200</f>
        <v>302</v>
      </c>
      <c r="Z200" s="16">
        <v>5</v>
      </c>
      <c r="AA200" s="16">
        <f>SUM(Y200:Z200)</f>
        <v>307</v>
      </c>
    </row>
    <row r="201" spans="2:27" ht="13.5" thickBot="1" x14ac:dyDescent="0.25">
      <c r="B201" s="21"/>
      <c r="C201" s="15" t="s">
        <v>116</v>
      </c>
      <c r="D201" s="15" t="s">
        <v>15</v>
      </c>
      <c r="E201" s="32">
        <f>SUM('ADVANCE:ELECTION DAY'!E148)</f>
        <v>0</v>
      </c>
      <c r="F201" s="32">
        <f>SUM('ADVANCE:ELECTION DAY'!F148)</f>
        <v>0</v>
      </c>
      <c r="G201" s="32">
        <f>SUM('ADVANCE:ELECTION DAY'!G148)</f>
        <v>0</v>
      </c>
      <c r="H201" s="32">
        <f>SUM('ADVANCE:ELECTION DAY'!H148)</f>
        <v>0</v>
      </c>
      <c r="I201" s="32">
        <f>SUM('ADVANCE:ELECTION DAY'!I148)</f>
        <v>0</v>
      </c>
      <c r="J201" s="32">
        <v>23</v>
      </c>
      <c r="K201" s="32">
        <v>164</v>
      </c>
      <c r="L201" s="32">
        <v>51</v>
      </c>
      <c r="M201" s="32">
        <f>SUM('ADVANCE:ELECTION DAY'!M148)</f>
        <v>0</v>
      </c>
      <c r="N201" s="16">
        <f>SUM('ADVANCE:ELECTION DAY'!N148)</f>
        <v>0</v>
      </c>
      <c r="O201" s="15" t="s">
        <v>116</v>
      </c>
      <c r="P201" s="15" t="s">
        <v>15</v>
      </c>
      <c r="Q201" s="32">
        <f>SUM('ADVANCE:ELECTION DAY'!Q148)</f>
        <v>0</v>
      </c>
      <c r="R201" s="32">
        <f>SUM('ADVANCE:ELECTION DAY'!R148)</f>
        <v>0</v>
      </c>
      <c r="S201" s="32">
        <f>SUM('ADVANCE:ELECTION DAY'!S148)</f>
        <v>0</v>
      </c>
      <c r="T201" s="32">
        <f>SUM('ADVANCE:ELECTION DAY'!T148)</f>
        <v>0</v>
      </c>
      <c r="U201" s="32">
        <f>SUM('ADVANCE:ELECTION DAY'!U148)</f>
        <v>0</v>
      </c>
      <c r="V201" s="32">
        <f>SUM('ADVANCE:ELECTION DAY'!V148)</f>
        <v>0</v>
      </c>
      <c r="W201" s="32">
        <f>SUM('ADVANCE:ELECTION DAY'!W148)</f>
        <v>0</v>
      </c>
      <c r="X201" s="32">
        <f>SUM('ADVANCE:ELECTION DAY'!X148)</f>
        <v>0</v>
      </c>
      <c r="Y201" s="16">
        <f t="shared" si="5"/>
        <v>238</v>
      </c>
      <c r="Z201" s="16">
        <v>7</v>
      </c>
      <c r="AA201" s="16">
        <f t="shared" ref="AA201:AA205" si="6">SUM(Y201:Z201)</f>
        <v>245</v>
      </c>
    </row>
    <row r="202" spans="2:27" ht="13.5" thickBot="1" x14ac:dyDescent="0.25">
      <c r="B202" s="21"/>
      <c r="C202" s="15" t="s">
        <v>117</v>
      </c>
      <c r="D202" s="15" t="s">
        <v>15</v>
      </c>
      <c r="E202" s="32">
        <f>SUM('ADVANCE:ELECTION DAY'!E149)</f>
        <v>0</v>
      </c>
      <c r="F202" s="32">
        <f>SUM('ADVANCE:ELECTION DAY'!F149)</f>
        <v>0</v>
      </c>
      <c r="G202" s="32">
        <f>SUM('ADVANCE:ELECTION DAY'!G149)</f>
        <v>0</v>
      </c>
      <c r="H202" s="32">
        <f>SUM('ADVANCE:ELECTION DAY'!H149)</f>
        <v>0</v>
      </c>
      <c r="I202" s="32">
        <f>SUM('ADVANCE:ELECTION DAY'!I149)</f>
        <v>0</v>
      </c>
      <c r="J202" s="32">
        <v>19</v>
      </c>
      <c r="K202" s="32">
        <v>113</v>
      </c>
      <c r="L202" s="32">
        <v>33</v>
      </c>
      <c r="M202" s="32">
        <f>SUM('ADVANCE:ELECTION DAY'!M149)</f>
        <v>0</v>
      </c>
      <c r="N202" s="16">
        <f>SUM('ADVANCE:ELECTION DAY'!N149)</f>
        <v>0</v>
      </c>
      <c r="O202" s="15" t="s">
        <v>117</v>
      </c>
      <c r="P202" s="15" t="s">
        <v>15</v>
      </c>
      <c r="Q202" s="32">
        <f>SUM('ADVANCE:ELECTION DAY'!Q149)</f>
        <v>0</v>
      </c>
      <c r="R202" s="32">
        <f>SUM('ADVANCE:ELECTION DAY'!R149)</f>
        <v>0</v>
      </c>
      <c r="S202" s="32">
        <f>SUM('ADVANCE:ELECTION DAY'!S149)</f>
        <v>0</v>
      </c>
      <c r="T202" s="32">
        <f>SUM('ADVANCE:ELECTION DAY'!T149)</f>
        <v>0</v>
      </c>
      <c r="U202" s="32">
        <f>SUM('ADVANCE:ELECTION DAY'!U149)</f>
        <v>0</v>
      </c>
      <c r="V202" s="32">
        <f>SUM('ADVANCE:ELECTION DAY'!V149)</f>
        <v>0</v>
      </c>
      <c r="W202" s="32">
        <f>SUM('ADVANCE:ELECTION DAY'!W149)</f>
        <v>0</v>
      </c>
      <c r="X202" s="32">
        <f>SUM('ADVANCE:ELECTION DAY'!X149)</f>
        <v>0</v>
      </c>
      <c r="Y202" s="16">
        <f t="shared" si="5"/>
        <v>165</v>
      </c>
      <c r="Z202" s="16">
        <v>8</v>
      </c>
      <c r="AA202" s="16">
        <f t="shared" si="6"/>
        <v>173</v>
      </c>
    </row>
    <row r="203" spans="2:27" ht="13.5" thickBot="1" x14ac:dyDescent="0.25">
      <c r="B203" s="21"/>
      <c r="C203" s="15" t="s">
        <v>118</v>
      </c>
      <c r="D203" s="15" t="s">
        <v>15</v>
      </c>
      <c r="E203" s="32">
        <f>SUM('ADVANCE:ELECTION DAY'!E150)</f>
        <v>0</v>
      </c>
      <c r="F203" s="32">
        <f>SUM('ADVANCE:ELECTION DAY'!F150)</f>
        <v>0</v>
      </c>
      <c r="G203" s="32">
        <f>SUM('ADVANCE:ELECTION DAY'!G150)</f>
        <v>0</v>
      </c>
      <c r="H203" s="32">
        <f>SUM('ADVANCE:ELECTION DAY'!H150)</f>
        <v>0</v>
      </c>
      <c r="I203" s="32">
        <f>SUM('ADVANCE:ELECTION DAY'!I150)</f>
        <v>0</v>
      </c>
      <c r="J203" s="32">
        <v>39</v>
      </c>
      <c r="K203" s="32">
        <v>175</v>
      </c>
      <c r="L203" s="32">
        <v>54</v>
      </c>
      <c r="M203" s="32">
        <f>SUM('ADVANCE:ELECTION DAY'!M150)</f>
        <v>0</v>
      </c>
      <c r="N203" s="16">
        <f>SUM('ADVANCE:ELECTION DAY'!N150)</f>
        <v>0</v>
      </c>
      <c r="O203" s="15" t="s">
        <v>118</v>
      </c>
      <c r="P203" s="15" t="s">
        <v>15</v>
      </c>
      <c r="Q203" s="32">
        <f>SUM('ADVANCE:ELECTION DAY'!Q150)</f>
        <v>0</v>
      </c>
      <c r="R203" s="32">
        <f>SUM('ADVANCE:ELECTION DAY'!R150)</f>
        <v>0</v>
      </c>
      <c r="S203" s="32">
        <f>SUM('ADVANCE:ELECTION DAY'!S150)</f>
        <v>0</v>
      </c>
      <c r="T203" s="32">
        <f>SUM('ADVANCE:ELECTION DAY'!T150)</f>
        <v>0</v>
      </c>
      <c r="U203" s="32">
        <f>SUM('ADVANCE:ELECTION DAY'!U150)</f>
        <v>0</v>
      </c>
      <c r="V203" s="32">
        <f>SUM('ADVANCE:ELECTION DAY'!V150)</f>
        <v>0</v>
      </c>
      <c r="W203" s="32">
        <f>SUM('ADVANCE:ELECTION DAY'!W150)</f>
        <v>0</v>
      </c>
      <c r="X203" s="32">
        <f>SUM('ADVANCE:ELECTION DAY'!X150)</f>
        <v>0</v>
      </c>
      <c r="Y203" s="16">
        <f t="shared" si="5"/>
        <v>268</v>
      </c>
      <c r="Z203" s="16">
        <v>7</v>
      </c>
      <c r="AA203" s="16">
        <f t="shared" si="6"/>
        <v>275</v>
      </c>
    </row>
    <row r="204" spans="2:27" ht="13.5" thickBot="1" x14ac:dyDescent="0.25">
      <c r="B204" s="21"/>
      <c r="C204" s="15" t="s">
        <v>135</v>
      </c>
      <c r="D204" s="15" t="s">
        <v>15</v>
      </c>
      <c r="E204" s="32">
        <f>SUM('ADVANCE:ELECTION DAY'!E151)</f>
        <v>0</v>
      </c>
      <c r="F204" s="32">
        <f>SUM('ADVANCE:ELECTION DAY'!F151)</f>
        <v>0</v>
      </c>
      <c r="G204" s="32">
        <f>SUM('ADVANCE:ELECTION DAY'!G151)</f>
        <v>0</v>
      </c>
      <c r="H204" s="32">
        <f>SUM('ADVANCE:ELECTION DAY'!H151)</f>
        <v>0</v>
      </c>
      <c r="I204" s="32">
        <f>SUM('ADVANCE:ELECTION DAY'!I151)</f>
        <v>0</v>
      </c>
      <c r="J204" s="32">
        <v>44</v>
      </c>
      <c r="K204" s="32">
        <v>193</v>
      </c>
      <c r="L204" s="32">
        <v>67</v>
      </c>
      <c r="M204" s="32">
        <f>SUM('ADVANCE:ELECTION DAY'!M151)</f>
        <v>0</v>
      </c>
      <c r="N204" s="16">
        <f>SUM('ADVANCE:ELECTION DAY'!N151)</f>
        <v>0</v>
      </c>
      <c r="O204" s="15" t="s">
        <v>135</v>
      </c>
      <c r="P204" s="15" t="s">
        <v>15</v>
      </c>
      <c r="Q204" s="32">
        <f>SUM('ADVANCE:ELECTION DAY'!Q151)</f>
        <v>0</v>
      </c>
      <c r="R204" s="32">
        <f>SUM('ADVANCE:ELECTION DAY'!R151)</f>
        <v>0</v>
      </c>
      <c r="S204" s="32">
        <f>SUM('ADVANCE:ELECTION DAY'!S151)</f>
        <v>0</v>
      </c>
      <c r="T204" s="32">
        <f>SUM('ADVANCE:ELECTION DAY'!T151)</f>
        <v>0</v>
      </c>
      <c r="U204" s="32">
        <f>SUM('ADVANCE:ELECTION DAY'!U151)</f>
        <v>0</v>
      </c>
      <c r="V204" s="32">
        <f>SUM('ADVANCE:ELECTION DAY'!V151)</f>
        <v>0</v>
      </c>
      <c r="W204" s="32">
        <f>SUM('ADVANCE:ELECTION DAY'!W151)</f>
        <v>0</v>
      </c>
      <c r="X204" s="32">
        <f>SUM('ADVANCE:ELECTION DAY'!X151)</f>
        <v>0</v>
      </c>
      <c r="Y204" s="16">
        <f t="shared" si="5"/>
        <v>304</v>
      </c>
      <c r="Z204" s="16">
        <v>6</v>
      </c>
      <c r="AA204" s="16">
        <f t="shared" si="6"/>
        <v>310</v>
      </c>
    </row>
    <row r="205" spans="2:27" ht="13.5" thickBot="1" x14ac:dyDescent="0.25">
      <c r="B205" s="21"/>
      <c r="C205" s="15" t="s">
        <v>120</v>
      </c>
      <c r="D205" s="15" t="s">
        <v>15</v>
      </c>
      <c r="E205" s="32">
        <f>SUM('ADVANCE:ELECTION DAY'!E152)</f>
        <v>0</v>
      </c>
      <c r="F205" s="32">
        <f>SUM('ADVANCE:ELECTION DAY'!F152)</f>
        <v>0</v>
      </c>
      <c r="G205" s="32">
        <f>SUM('ADVANCE:ELECTION DAY'!G152)</f>
        <v>0</v>
      </c>
      <c r="H205" s="32">
        <f>SUM('ADVANCE:ELECTION DAY'!H152)</f>
        <v>0</v>
      </c>
      <c r="I205" s="32">
        <f>SUM('ADVANCE:ELECTION DAY'!I152)</f>
        <v>0</v>
      </c>
      <c r="J205" s="32">
        <v>43</v>
      </c>
      <c r="K205" s="32">
        <v>186</v>
      </c>
      <c r="L205" s="32">
        <v>67</v>
      </c>
      <c r="M205" s="32">
        <f>SUM('ADVANCE:ELECTION DAY'!M152)</f>
        <v>0</v>
      </c>
      <c r="N205" s="16">
        <f>SUM('ADVANCE:ELECTION DAY'!N152)</f>
        <v>0</v>
      </c>
      <c r="O205" s="15" t="s">
        <v>120</v>
      </c>
      <c r="P205" s="15" t="s">
        <v>15</v>
      </c>
      <c r="Q205" s="32">
        <f>SUM('ADVANCE:ELECTION DAY'!Q152)</f>
        <v>0</v>
      </c>
      <c r="R205" s="32">
        <f>SUM('ADVANCE:ELECTION DAY'!R152)</f>
        <v>0</v>
      </c>
      <c r="S205" s="32">
        <f>SUM('ADVANCE:ELECTION DAY'!S152)</f>
        <v>0</v>
      </c>
      <c r="T205" s="32">
        <f>SUM('ADVANCE:ELECTION DAY'!T152)</f>
        <v>0</v>
      </c>
      <c r="U205" s="32">
        <f>SUM('ADVANCE:ELECTION DAY'!U152)</f>
        <v>0</v>
      </c>
      <c r="V205" s="32">
        <f>SUM('ADVANCE:ELECTION DAY'!V152)</f>
        <v>0</v>
      </c>
      <c r="W205" s="32">
        <f>SUM('ADVANCE:ELECTION DAY'!W152)</f>
        <v>0</v>
      </c>
      <c r="X205" s="32">
        <f>SUM('ADVANCE:ELECTION DAY'!X152)</f>
        <v>0</v>
      </c>
      <c r="Y205" s="16">
        <f t="shared" si="5"/>
        <v>296</v>
      </c>
      <c r="Z205" s="16">
        <v>8</v>
      </c>
      <c r="AA205" s="16">
        <f t="shared" si="6"/>
        <v>304</v>
      </c>
    </row>
    <row r="206" spans="2:27" ht="13.5" thickBot="1" x14ac:dyDescent="0.25">
      <c r="B206" s="10" t="s">
        <v>122</v>
      </c>
      <c r="C206" s="11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55"/>
      <c r="O206" s="10" t="s">
        <v>122</v>
      </c>
      <c r="P206" s="12"/>
      <c r="Q206" s="12"/>
      <c r="R206" s="33"/>
      <c r="S206" s="12"/>
      <c r="T206" s="12"/>
      <c r="U206" s="12"/>
      <c r="V206" s="12"/>
      <c r="W206" s="12"/>
      <c r="X206" s="12"/>
      <c r="Y206" s="55"/>
      <c r="Z206" s="55"/>
      <c r="AA206" s="55"/>
    </row>
    <row r="207" spans="2:27" ht="13.5" thickBot="1" x14ac:dyDescent="0.25">
      <c r="B207" s="15"/>
      <c r="C207" s="56" t="s">
        <v>123</v>
      </c>
      <c r="D207" s="56" t="s">
        <v>124</v>
      </c>
      <c r="E207" s="59">
        <v>18</v>
      </c>
      <c r="F207" s="59">
        <v>18</v>
      </c>
      <c r="G207" s="59">
        <v>22</v>
      </c>
      <c r="H207" s="59">
        <v>21</v>
      </c>
      <c r="I207" s="59">
        <v>16</v>
      </c>
      <c r="J207" s="59">
        <v>55</v>
      </c>
      <c r="K207" s="59">
        <v>224</v>
      </c>
      <c r="L207" s="59">
        <v>80</v>
      </c>
      <c r="M207" s="59">
        <v>3</v>
      </c>
      <c r="N207" s="57">
        <v>26</v>
      </c>
      <c r="O207" s="56" t="s">
        <v>123</v>
      </c>
      <c r="P207" s="56" t="s">
        <v>124</v>
      </c>
      <c r="Q207" s="59">
        <v>21</v>
      </c>
      <c r="R207" s="59">
        <v>10</v>
      </c>
      <c r="S207" s="59">
        <v>34</v>
      </c>
      <c r="T207" s="59">
        <v>21</v>
      </c>
      <c r="U207" s="59">
        <v>12</v>
      </c>
      <c r="V207" s="59">
        <v>4</v>
      </c>
      <c r="W207" s="59">
        <v>42</v>
      </c>
      <c r="X207" s="59">
        <v>75</v>
      </c>
      <c r="Y207" s="57">
        <f t="shared" ref="Y207:Y211" si="7">E207+F207+G207+H207+I207+J207+K207+L207+M207+N207+Q207+R207+S207+T207+U207+V207+W207+X207</f>
        <v>702</v>
      </c>
      <c r="Z207" s="57">
        <v>15</v>
      </c>
      <c r="AA207" s="57">
        <f t="shared" ref="AA207:AA211" si="8">SUM(Y207:Z207)</f>
        <v>717</v>
      </c>
    </row>
    <row r="208" spans="2:27" ht="13.5" thickBot="1" x14ac:dyDescent="0.25">
      <c r="B208" s="15"/>
      <c r="C208" s="15"/>
      <c r="D208" s="15" t="s">
        <v>125</v>
      </c>
      <c r="E208" s="32">
        <v>1</v>
      </c>
      <c r="F208" s="32">
        <v>18</v>
      </c>
      <c r="G208" s="32">
        <v>15</v>
      </c>
      <c r="H208" s="32">
        <v>7</v>
      </c>
      <c r="I208" s="32">
        <v>6</v>
      </c>
      <c r="J208" s="32">
        <v>10</v>
      </c>
      <c r="K208" s="32">
        <v>84</v>
      </c>
      <c r="L208" s="32">
        <v>24</v>
      </c>
      <c r="M208" s="32">
        <v>1</v>
      </c>
      <c r="N208" s="16">
        <v>6</v>
      </c>
      <c r="O208" s="15"/>
      <c r="P208" s="15" t="s">
        <v>125</v>
      </c>
      <c r="Q208" s="32">
        <v>8</v>
      </c>
      <c r="R208" s="32">
        <v>2</v>
      </c>
      <c r="S208" s="32">
        <v>19</v>
      </c>
      <c r="T208" s="32">
        <v>7</v>
      </c>
      <c r="U208" s="32">
        <v>5</v>
      </c>
      <c r="V208" s="32">
        <v>3</v>
      </c>
      <c r="W208" s="32">
        <v>19</v>
      </c>
      <c r="X208" s="32">
        <v>6</v>
      </c>
      <c r="Y208" s="16">
        <f t="shared" si="7"/>
        <v>241</v>
      </c>
      <c r="Z208" s="16">
        <v>3</v>
      </c>
      <c r="AA208" s="16">
        <f t="shared" si="8"/>
        <v>244</v>
      </c>
    </row>
    <row r="209" spans="2:84" ht="13.5" thickBot="1" x14ac:dyDescent="0.25">
      <c r="B209" s="15"/>
      <c r="C209" s="15"/>
      <c r="D209" s="15"/>
      <c r="E209" s="32"/>
      <c r="F209" s="32"/>
      <c r="G209" s="32"/>
      <c r="H209" s="32"/>
      <c r="I209" s="32"/>
      <c r="J209" s="32"/>
      <c r="K209" s="32"/>
      <c r="L209" s="32"/>
      <c r="M209" s="32"/>
      <c r="N209" s="16"/>
      <c r="O209" s="15"/>
      <c r="P209" s="15"/>
      <c r="Q209" s="32"/>
      <c r="R209" s="15"/>
      <c r="S209" s="15"/>
      <c r="T209" s="15"/>
      <c r="U209" s="15"/>
      <c r="V209" s="15"/>
      <c r="W209" s="15"/>
      <c r="X209" s="15"/>
      <c r="Y209" s="16"/>
      <c r="Z209" s="16"/>
      <c r="AA209" s="16"/>
    </row>
    <row r="210" spans="2:84" ht="13.5" thickBot="1" x14ac:dyDescent="0.25">
      <c r="B210" s="15"/>
      <c r="C210" s="56" t="s">
        <v>138</v>
      </c>
      <c r="D210" s="56" t="s">
        <v>124</v>
      </c>
      <c r="E210" s="59">
        <v>18</v>
      </c>
      <c r="F210" s="59">
        <v>16</v>
      </c>
      <c r="G210" s="59">
        <v>22</v>
      </c>
      <c r="H210" s="59">
        <v>22</v>
      </c>
      <c r="I210" s="59">
        <v>13</v>
      </c>
      <c r="J210" s="59">
        <v>51</v>
      </c>
      <c r="K210" s="59">
        <v>215</v>
      </c>
      <c r="L210" s="59">
        <v>74</v>
      </c>
      <c r="M210" s="59">
        <v>2</v>
      </c>
      <c r="N210" s="57">
        <v>25</v>
      </c>
      <c r="O210" s="56" t="s">
        <v>138</v>
      </c>
      <c r="P210" s="56" t="s">
        <v>124</v>
      </c>
      <c r="Q210" s="59">
        <v>20</v>
      </c>
      <c r="R210" s="59">
        <v>10</v>
      </c>
      <c r="S210" s="59">
        <v>31</v>
      </c>
      <c r="T210" s="59">
        <v>19</v>
      </c>
      <c r="U210" s="59">
        <v>12</v>
      </c>
      <c r="V210" s="59">
        <v>4</v>
      </c>
      <c r="W210" s="59">
        <v>38</v>
      </c>
      <c r="X210" s="59">
        <v>69</v>
      </c>
      <c r="Y210" s="57">
        <f t="shared" si="7"/>
        <v>661</v>
      </c>
      <c r="Z210" s="57">
        <v>12</v>
      </c>
      <c r="AA210" s="57">
        <f t="shared" si="8"/>
        <v>673</v>
      </c>
    </row>
    <row r="211" spans="2:84" ht="13.5" thickBot="1" x14ac:dyDescent="0.25">
      <c r="B211" s="15"/>
      <c r="C211" s="15"/>
      <c r="D211" s="15" t="s">
        <v>125</v>
      </c>
      <c r="E211" s="32">
        <v>1</v>
      </c>
      <c r="F211" s="32">
        <v>20</v>
      </c>
      <c r="G211" s="32">
        <v>15</v>
      </c>
      <c r="H211" s="32">
        <v>6</v>
      </c>
      <c r="I211" s="32">
        <v>8</v>
      </c>
      <c r="J211" s="32">
        <v>14</v>
      </c>
      <c r="K211" s="32">
        <v>90</v>
      </c>
      <c r="L211" s="32">
        <v>27</v>
      </c>
      <c r="M211" s="32">
        <v>2</v>
      </c>
      <c r="N211" s="16">
        <v>7</v>
      </c>
      <c r="O211" s="15"/>
      <c r="P211" s="15" t="s">
        <v>125</v>
      </c>
      <c r="Q211" s="32">
        <v>8</v>
      </c>
      <c r="R211" s="32">
        <v>2</v>
      </c>
      <c r="S211" s="32">
        <v>22</v>
      </c>
      <c r="T211" s="32">
        <v>9</v>
      </c>
      <c r="U211" s="32">
        <v>5</v>
      </c>
      <c r="V211" s="32">
        <v>3</v>
      </c>
      <c r="W211" s="32">
        <v>22</v>
      </c>
      <c r="X211" s="32">
        <v>12</v>
      </c>
      <c r="Y211" s="16">
        <f t="shared" si="7"/>
        <v>273</v>
      </c>
      <c r="Z211" s="16">
        <v>4</v>
      </c>
      <c r="AA211" s="16">
        <f t="shared" si="8"/>
        <v>277</v>
      </c>
    </row>
    <row r="212" spans="2:84" ht="13.5" thickBot="1" x14ac:dyDescent="0.25">
      <c r="B212" s="15"/>
      <c r="C212" s="15"/>
      <c r="D212" s="15"/>
      <c r="E212" s="32"/>
      <c r="F212" s="32"/>
      <c r="G212" s="32"/>
      <c r="H212" s="32"/>
      <c r="I212" s="32"/>
      <c r="J212" s="32"/>
      <c r="K212" s="32"/>
      <c r="L212" s="32"/>
      <c r="M212" s="32"/>
      <c r="N212" s="16"/>
      <c r="O212" s="15"/>
      <c r="P212" s="15"/>
      <c r="Q212" s="32"/>
      <c r="R212" s="32"/>
      <c r="S212" s="32"/>
      <c r="T212" s="32"/>
      <c r="U212" s="32"/>
      <c r="V212" s="32"/>
      <c r="W212" s="32"/>
      <c r="X212" s="32"/>
      <c r="Y212" s="16"/>
      <c r="Z212" s="16"/>
      <c r="AA212" s="16"/>
    </row>
    <row r="213" spans="2:84" ht="13.5" thickBot="1" x14ac:dyDescent="0.25">
      <c r="B213" s="15"/>
      <c r="C213" s="56" t="s">
        <v>126</v>
      </c>
      <c r="D213" s="56" t="s">
        <v>124</v>
      </c>
      <c r="E213" s="59">
        <v>14</v>
      </c>
      <c r="F213" s="59">
        <v>13</v>
      </c>
      <c r="G213" s="59">
        <v>21</v>
      </c>
      <c r="H213" s="59">
        <v>19</v>
      </c>
      <c r="I213" s="59">
        <v>15</v>
      </c>
      <c r="J213" s="59">
        <v>52</v>
      </c>
      <c r="K213" s="59">
        <v>203</v>
      </c>
      <c r="L213" s="59">
        <v>75</v>
      </c>
      <c r="M213" s="59">
        <v>3</v>
      </c>
      <c r="N213" s="57">
        <v>19</v>
      </c>
      <c r="O213" s="56" t="s">
        <v>126</v>
      </c>
      <c r="P213" s="56" t="s">
        <v>124</v>
      </c>
      <c r="Q213" s="59">
        <v>21</v>
      </c>
      <c r="R213" s="59">
        <v>4</v>
      </c>
      <c r="S213" s="59">
        <v>32</v>
      </c>
      <c r="T213" s="59">
        <v>19</v>
      </c>
      <c r="U213" s="59">
        <v>15</v>
      </c>
      <c r="V213" s="59">
        <v>4</v>
      </c>
      <c r="W213" s="59">
        <v>36</v>
      </c>
      <c r="X213" s="59">
        <v>65</v>
      </c>
      <c r="Y213" s="57">
        <f>E213+F213+G213+H213+I213+J213+K213+L213+M213+N213+Q213+R213+S213+T213+U213+V213+W213+X213</f>
        <v>630</v>
      </c>
      <c r="Z213" s="57">
        <v>12</v>
      </c>
      <c r="AA213" s="57">
        <f>SUM(Y213:Z213)</f>
        <v>642</v>
      </c>
    </row>
    <row r="214" spans="2:84" ht="13.5" thickBot="1" x14ac:dyDescent="0.25">
      <c r="B214" s="15"/>
      <c r="C214" s="15"/>
      <c r="D214" s="15" t="s">
        <v>125</v>
      </c>
      <c r="E214" s="32">
        <v>5</v>
      </c>
      <c r="F214" s="32">
        <v>23</v>
      </c>
      <c r="G214" s="32">
        <v>16</v>
      </c>
      <c r="H214" s="32">
        <v>9</v>
      </c>
      <c r="I214" s="32">
        <v>6</v>
      </c>
      <c r="J214" s="32">
        <v>14</v>
      </c>
      <c r="K214" s="32">
        <v>97</v>
      </c>
      <c r="L214" s="32">
        <v>28</v>
      </c>
      <c r="M214" s="32">
        <v>1</v>
      </c>
      <c r="N214" s="16">
        <v>13</v>
      </c>
      <c r="O214" s="15"/>
      <c r="P214" s="15" t="s">
        <v>125</v>
      </c>
      <c r="Q214" s="32">
        <v>7</v>
      </c>
      <c r="R214" s="32">
        <v>8</v>
      </c>
      <c r="S214" s="32">
        <v>21</v>
      </c>
      <c r="T214" s="32">
        <v>9</v>
      </c>
      <c r="U214" s="32">
        <v>2</v>
      </c>
      <c r="V214" s="32">
        <v>3</v>
      </c>
      <c r="W214" s="32">
        <v>23</v>
      </c>
      <c r="X214" s="32">
        <v>15</v>
      </c>
      <c r="Y214" s="16">
        <f>E214+F214+G214+H214+I214+J214+K214+L214+M214+N214+Q214+R214+S214+T214+U214+V214+W214+X214</f>
        <v>300</v>
      </c>
      <c r="Z214" s="16">
        <v>4</v>
      </c>
      <c r="AA214" s="16">
        <f>SUM(Y214:Z214)</f>
        <v>304</v>
      </c>
    </row>
    <row r="215" spans="2:84" ht="13.5" thickBot="1" x14ac:dyDescent="0.25">
      <c r="B215" s="15"/>
      <c r="C215" s="15"/>
      <c r="D215" s="15"/>
      <c r="E215" s="32"/>
      <c r="F215" s="15"/>
      <c r="G215" s="15"/>
      <c r="H215" s="15"/>
      <c r="I215" s="15"/>
      <c r="J215" s="15"/>
      <c r="K215" s="15"/>
      <c r="L215" s="15"/>
      <c r="M215" s="15"/>
      <c r="N215" s="38"/>
      <c r="O215" s="15"/>
      <c r="P215" s="15"/>
      <c r="Q215" s="32"/>
      <c r="R215" s="15"/>
      <c r="S215" s="15"/>
      <c r="T215" s="15"/>
      <c r="U215" s="15"/>
      <c r="V215" s="15"/>
      <c r="W215" s="15"/>
      <c r="X215" s="15"/>
      <c r="Y215" s="16"/>
      <c r="Z215" s="16"/>
      <c r="AA215" s="16"/>
    </row>
    <row r="216" spans="2:84" ht="13.5" thickBot="1" x14ac:dyDescent="0.25">
      <c r="B216" s="15"/>
      <c r="C216" s="56" t="s">
        <v>127</v>
      </c>
      <c r="D216" s="56" t="s">
        <v>124</v>
      </c>
      <c r="E216" s="59">
        <v>12</v>
      </c>
      <c r="F216" s="59">
        <v>14</v>
      </c>
      <c r="G216" s="59">
        <v>22</v>
      </c>
      <c r="H216" s="59">
        <v>18</v>
      </c>
      <c r="I216" s="59">
        <v>13</v>
      </c>
      <c r="J216" s="59">
        <v>50</v>
      </c>
      <c r="K216" s="59">
        <v>210</v>
      </c>
      <c r="L216" s="59">
        <v>77</v>
      </c>
      <c r="M216" s="59">
        <v>2</v>
      </c>
      <c r="N216" s="57">
        <v>18</v>
      </c>
      <c r="O216" s="56" t="s">
        <v>127</v>
      </c>
      <c r="P216" s="56" t="s">
        <v>124</v>
      </c>
      <c r="Q216" s="59">
        <v>20</v>
      </c>
      <c r="R216" s="59">
        <v>4</v>
      </c>
      <c r="S216" s="59">
        <v>30</v>
      </c>
      <c r="T216" s="59">
        <v>19</v>
      </c>
      <c r="U216" s="59">
        <v>13</v>
      </c>
      <c r="V216" s="59">
        <v>4</v>
      </c>
      <c r="W216" s="59">
        <v>33</v>
      </c>
      <c r="X216" s="59">
        <v>65</v>
      </c>
      <c r="Y216" s="57">
        <f>E216+F216+G216+H216+I216+J216+K216+L216+M216+N216+Q216+R216+S216+T216+U216+V216+W216+X216</f>
        <v>624</v>
      </c>
      <c r="Z216" s="57">
        <v>12</v>
      </c>
      <c r="AA216" s="57">
        <f>SUM(Y216:Z216)</f>
        <v>636</v>
      </c>
    </row>
    <row r="217" spans="2:84" ht="13.5" thickBot="1" x14ac:dyDescent="0.25">
      <c r="B217" s="15"/>
      <c r="C217" s="15"/>
      <c r="D217" s="15" t="s">
        <v>125</v>
      </c>
      <c r="E217" s="32">
        <v>7</v>
      </c>
      <c r="F217" s="32">
        <v>22</v>
      </c>
      <c r="G217" s="32">
        <v>15</v>
      </c>
      <c r="H217" s="32">
        <v>10</v>
      </c>
      <c r="I217" s="32">
        <v>8</v>
      </c>
      <c r="J217" s="32">
        <v>12</v>
      </c>
      <c r="K217" s="32">
        <v>93</v>
      </c>
      <c r="L217" s="32">
        <v>25</v>
      </c>
      <c r="M217" s="32">
        <v>2</v>
      </c>
      <c r="N217" s="16">
        <v>14</v>
      </c>
      <c r="O217" s="15"/>
      <c r="P217" s="15" t="s">
        <v>125</v>
      </c>
      <c r="Q217" s="32">
        <v>8</v>
      </c>
      <c r="R217" s="32">
        <v>8</v>
      </c>
      <c r="S217" s="32">
        <v>23</v>
      </c>
      <c r="T217" s="32">
        <v>9</v>
      </c>
      <c r="U217" s="32">
        <v>4</v>
      </c>
      <c r="V217" s="32">
        <v>3</v>
      </c>
      <c r="W217" s="32">
        <v>26</v>
      </c>
      <c r="X217" s="32">
        <v>15</v>
      </c>
      <c r="Y217" s="16">
        <f>E217+F217+G217+H217+I217+J217+K217+L217+M217+N217+Q217+R217+S217+T217+U217+V217+W217+X217</f>
        <v>304</v>
      </c>
      <c r="Z217" s="16">
        <v>4</v>
      </c>
      <c r="AA217" s="16">
        <f>SUM(Y217:Z217)</f>
        <v>308</v>
      </c>
    </row>
    <row r="218" spans="2:84" ht="13.5" thickBot="1" x14ac:dyDescent="0.25">
      <c r="B218" s="15"/>
      <c r="C218" s="15"/>
      <c r="D218" s="15"/>
      <c r="E218" s="32"/>
      <c r="F218" s="15"/>
      <c r="G218" s="15"/>
      <c r="H218" s="15"/>
      <c r="I218" s="15"/>
      <c r="J218" s="15"/>
      <c r="K218" s="15"/>
      <c r="L218" s="15"/>
      <c r="M218" s="15"/>
      <c r="N218" s="38"/>
      <c r="O218" s="15"/>
      <c r="P218" s="15"/>
      <c r="Q218" s="32"/>
      <c r="R218" s="15"/>
      <c r="S218" s="15"/>
      <c r="T218" s="15"/>
      <c r="U218" s="15"/>
      <c r="V218" s="15"/>
      <c r="W218" s="15"/>
      <c r="X218" s="15"/>
      <c r="Y218" s="16"/>
      <c r="Z218" s="16"/>
      <c r="AA218" s="16"/>
    </row>
    <row r="219" spans="2:84" ht="13.5" thickBot="1" x14ac:dyDescent="0.25">
      <c r="B219" s="15"/>
      <c r="C219" s="56" t="s">
        <v>128</v>
      </c>
      <c r="D219" s="56" t="s">
        <v>124</v>
      </c>
      <c r="E219" s="59">
        <v>12</v>
      </c>
      <c r="F219" s="59">
        <v>14</v>
      </c>
      <c r="G219" s="59">
        <v>21</v>
      </c>
      <c r="H219" s="59">
        <v>19</v>
      </c>
      <c r="I219" s="59">
        <v>15</v>
      </c>
      <c r="J219" s="59">
        <v>52</v>
      </c>
      <c r="K219" s="59">
        <v>207</v>
      </c>
      <c r="L219" s="59">
        <v>76</v>
      </c>
      <c r="M219" s="59">
        <v>3</v>
      </c>
      <c r="N219" s="57">
        <v>17</v>
      </c>
      <c r="O219" s="56" t="s">
        <v>128</v>
      </c>
      <c r="P219" s="56" t="s">
        <v>124</v>
      </c>
      <c r="Q219" s="59">
        <v>20</v>
      </c>
      <c r="R219" s="59">
        <v>4</v>
      </c>
      <c r="S219" s="59">
        <v>32</v>
      </c>
      <c r="T219" s="59">
        <v>21</v>
      </c>
      <c r="U219" s="59">
        <v>14</v>
      </c>
      <c r="V219" s="59">
        <v>4</v>
      </c>
      <c r="W219" s="59">
        <v>36</v>
      </c>
      <c r="X219" s="59">
        <v>63</v>
      </c>
      <c r="Y219" s="57">
        <f>E219+F219+G219+H219+I219+J219+K219+L219+M219+N219+Q219+R219+S219+T219+U219+V219+W219+X219</f>
        <v>630</v>
      </c>
      <c r="Z219" s="57">
        <v>11</v>
      </c>
      <c r="AA219" s="57">
        <f>SUM(Y219:Z219)</f>
        <v>641</v>
      </c>
    </row>
    <row r="220" spans="2:84" ht="13.5" thickBot="1" x14ac:dyDescent="0.25">
      <c r="B220" s="15"/>
      <c r="C220" s="15"/>
      <c r="D220" s="15" t="s">
        <v>125</v>
      </c>
      <c r="E220" s="32">
        <v>7</v>
      </c>
      <c r="F220" s="32">
        <v>22</v>
      </c>
      <c r="G220" s="32">
        <v>16</v>
      </c>
      <c r="H220" s="32">
        <v>10</v>
      </c>
      <c r="I220" s="32">
        <v>7</v>
      </c>
      <c r="J220" s="32">
        <v>10</v>
      </c>
      <c r="K220" s="32">
        <v>96</v>
      </c>
      <c r="L220" s="32">
        <v>27</v>
      </c>
      <c r="M220" s="32">
        <v>1</v>
      </c>
      <c r="N220" s="16">
        <v>15</v>
      </c>
      <c r="O220" s="15"/>
      <c r="P220" s="15" t="s">
        <v>125</v>
      </c>
      <c r="Q220" s="32">
        <v>8</v>
      </c>
      <c r="R220" s="32">
        <v>8</v>
      </c>
      <c r="S220" s="32">
        <v>21</v>
      </c>
      <c r="T220" s="32">
        <v>7</v>
      </c>
      <c r="U220" s="32">
        <v>3</v>
      </c>
      <c r="V220" s="32">
        <v>3</v>
      </c>
      <c r="W220" s="32">
        <v>22</v>
      </c>
      <c r="X220" s="32">
        <v>17</v>
      </c>
      <c r="Y220" s="16">
        <f>E220+F220+G220+H220+I220+J220+K220+L220+M220+N220+Q220+R220+S220+T220+U220+V220+W220+X220</f>
        <v>300</v>
      </c>
      <c r="Z220" s="16">
        <v>4</v>
      </c>
      <c r="AA220" s="16">
        <f>SUM(Y220:Z220)</f>
        <v>304</v>
      </c>
    </row>
    <row r="221" spans="2:84" ht="13.5" thickBot="1" x14ac:dyDescent="0.25">
      <c r="B221" s="15"/>
      <c r="C221" s="15"/>
      <c r="D221" s="15"/>
      <c r="E221" s="32"/>
      <c r="F221" s="15"/>
      <c r="G221" s="15"/>
      <c r="H221" s="15"/>
      <c r="I221" s="15"/>
      <c r="J221" s="15"/>
      <c r="K221" s="15"/>
      <c r="L221" s="15"/>
      <c r="M221" s="15"/>
      <c r="N221" s="38"/>
      <c r="O221" s="15"/>
      <c r="P221" s="15"/>
      <c r="Q221" s="32"/>
      <c r="R221" s="15"/>
      <c r="S221" s="15"/>
      <c r="T221" s="15"/>
      <c r="U221" s="15"/>
      <c r="V221" s="15"/>
      <c r="W221" s="15"/>
      <c r="X221" s="15"/>
      <c r="Y221" s="16"/>
      <c r="Z221" s="16"/>
      <c r="AA221" s="16"/>
    </row>
    <row r="222" spans="2:84" ht="13.5" thickBot="1" x14ac:dyDescent="0.25">
      <c r="B222" s="15"/>
      <c r="C222" s="56" t="s">
        <v>129</v>
      </c>
      <c r="D222" s="56" t="s">
        <v>124</v>
      </c>
      <c r="E222" s="59">
        <v>13</v>
      </c>
      <c r="F222" s="59">
        <v>18</v>
      </c>
      <c r="G222" s="59">
        <v>22</v>
      </c>
      <c r="H222" s="59">
        <v>19</v>
      </c>
      <c r="I222" s="59">
        <v>15</v>
      </c>
      <c r="J222" s="59">
        <v>55</v>
      </c>
      <c r="K222" s="59">
        <v>223</v>
      </c>
      <c r="L222" s="59">
        <v>81</v>
      </c>
      <c r="M222" s="59">
        <v>4</v>
      </c>
      <c r="N222" s="57">
        <v>20</v>
      </c>
      <c r="O222" s="56" t="s">
        <v>129</v>
      </c>
      <c r="P222" s="56" t="s">
        <v>124</v>
      </c>
      <c r="Q222" s="59">
        <v>20</v>
      </c>
      <c r="R222" s="59">
        <v>6</v>
      </c>
      <c r="S222" s="59">
        <v>34</v>
      </c>
      <c r="T222" s="59">
        <v>20</v>
      </c>
      <c r="U222" s="59">
        <v>13</v>
      </c>
      <c r="V222" s="59">
        <v>4</v>
      </c>
      <c r="W222" s="59">
        <v>37</v>
      </c>
      <c r="X222" s="59">
        <v>65</v>
      </c>
      <c r="Y222" s="57">
        <f>E222+F222+G222+H222+I222+J222+K222+L222+M222+N222+Q222+R222+S222+T222+U222+V222+W222+X222</f>
        <v>669</v>
      </c>
      <c r="Z222" s="57">
        <v>11</v>
      </c>
      <c r="AA222" s="57">
        <f>SUM(Y222:Z222)</f>
        <v>680</v>
      </c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</row>
    <row r="223" spans="2:84" ht="13.5" thickBot="1" x14ac:dyDescent="0.25">
      <c r="B223" s="15"/>
      <c r="C223" s="15"/>
      <c r="D223" s="15" t="s">
        <v>125</v>
      </c>
      <c r="E223" s="32">
        <v>6</v>
      </c>
      <c r="F223" s="32">
        <v>19</v>
      </c>
      <c r="G223" s="32">
        <v>15</v>
      </c>
      <c r="H223" s="32">
        <v>9</v>
      </c>
      <c r="I223" s="32">
        <v>6</v>
      </c>
      <c r="J223" s="32">
        <v>9</v>
      </c>
      <c r="K223" s="32">
        <v>83</v>
      </c>
      <c r="L223" s="32">
        <v>22</v>
      </c>
      <c r="M223" s="32">
        <v>0</v>
      </c>
      <c r="N223" s="16">
        <v>12</v>
      </c>
      <c r="O223" s="15"/>
      <c r="P223" s="15" t="s">
        <v>125</v>
      </c>
      <c r="Q223" s="32">
        <v>7</v>
      </c>
      <c r="R223" s="32">
        <v>6</v>
      </c>
      <c r="S223" s="32">
        <v>19</v>
      </c>
      <c r="T223" s="32">
        <v>7</v>
      </c>
      <c r="U223" s="32">
        <v>3</v>
      </c>
      <c r="V223" s="32">
        <v>3</v>
      </c>
      <c r="W223" s="32">
        <v>24</v>
      </c>
      <c r="X223" s="32">
        <v>15</v>
      </c>
      <c r="Y223" s="16">
        <f>E223+F223+G223+H223+I223+J223+K223+L223+M223+N223+Q223+R223+S223+T223+U223+V223+W223+X223</f>
        <v>265</v>
      </c>
      <c r="Z223" s="16">
        <v>4</v>
      </c>
      <c r="AA223" s="16">
        <f>SUM(Y223:Z223)</f>
        <v>269</v>
      </c>
    </row>
    <row r="224" spans="2:84" ht="13.5" thickBot="1" x14ac:dyDescent="0.25">
      <c r="B224" s="15"/>
      <c r="C224" s="15"/>
      <c r="D224" s="15"/>
      <c r="E224" s="32"/>
      <c r="F224" s="15"/>
      <c r="G224" s="15"/>
      <c r="H224" s="15"/>
      <c r="I224" s="15"/>
      <c r="J224" s="15"/>
      <c r="K224" s="15"/>
      <c r="L224" s="15"/>
      <c r="M224" s="15"/>
      <c r="N224" s="38"/>
      <c r="O224" s="15"/>
      <c r="P224" s="15"/>
      <c r="Q224" s="32"/>
      <c r="R224" s="15"/>
      <c r="S224" s="15"/>
      <c r="T224" s="15"/>
      <c r="U224" s="15"/>
      <c r="V224" s="15"/>
      <c r="W224" s="15"/>
      <c r="X224" s="15"/>
      <c r="Y224" s="16"/>
      <c r="Z224" s="16"/>
      <c r="AA224" s="16"/>
    </row>
    <row r="225" spans="2:27" ht="13.5" thickBot="1" x14ac:dyDescent="0.25">
      <c r="B225" s="15"/>
      <c r="C225" s="56" t="s">
        <v>130</v>
      </c>
      <c r="D225" s="56" t="s">
        <v>124</v>
      </c>
      <c r="E225" s="59">
        <v>18</v>
      </c>
      <c r="F225" s="59">
        <v>16</v>
      </c>
      <c r="G225" s="59">
        <v>21</v>
      </c>
      <c r="H225" s="59">
        <v>21</v>
      </c>
      <c r="I225" s="59">
        <v>15</v>
      </c>
      <c r="J225" s="59">
        <v>52</v>
      </c>
      <c r="K225" s="59">
        <v>217</v>
      </c>
      <c r="L225" s="59">
        <v>76</v>
      </c>
      <c r="M225" s="59">
        <v>3</v>
      </c>
      <c r="N225" s="57">
        <v>24</v>
      </c>
      <c r="O225" s="56" t="s">
        <v>130</v>
      </c>
      <c r="P225" s="56" t="s">
        <v>124</v>
      </c>
      <c r="Q225" s="59">
        <v>19</v>
      </c>
      <c r="R225" s="59">
        <v>7</v>
      </c>
      <c r="S225" s="59">
        <v>33</v>
      </c>
      <c r="T225" s="59">
        <v>22</v>
      </c>
      <c r="U225" s="59">
        <v>11</v>
      </c>
      <c r="V225" s="59">
        <v>3</v>
      </c>
      <c r="W225" s="59">
        <v>44</v>
      </c>
      <c r="X225" s="59">
        <v>67</v>
      </c>
      <c r="Y225" s="57">
        <f>E225+F225+G225+H225+I225+J225+K225+L225+M225+N225+Q225+R225+S225+T225+U225+V225+W225+X225</f>
        <v>669</v>
      </c>
      <c r="Z225" s="57">
        <v>12</v>
      </c>
      <c r="AA225" s="57">
        <f>SUM(Y225:Z225)</f>
        <v>681</v>
      </c>
    </row>
    <row r="226" spans="2:27" ht="13.5" thickBot="1" x14ac:dyDescent="0.25">
      <c r="B226" s="15"/>
      <c r="C226" s="15"/>
      <c r="D226" s="15" t="s">
        <v>125</v>
      </c>
      <c r="E226" s="32">
        <v>1</v>
      </c>
      <c r="F226" s="32">
        <v>20</v>
      </c>
      <c r="G226" s="32">
        <v>15</v>
      </c>
      <c r="H226" s="32">
        <v>7</v>
      </c>
      <c r="I226" s="32">
        <v>6</v>
      </c>
      <c r="J226" s="32">
        <v>12</v>
      </c>
      <c r="K226" s="32">
        <v>86</v>
      </c>
      <c r="L226" s="32">
        <v>27</v>
      </c>
      <c r="M226" s="32">
        <v>1</v>
      </c>
      <c r="N226" s="16">
        <v>9</v>
      </c>
      <c r="O226" s="15"/>
      <c r="P226" s="15" t="s">
        <v>125</v>
      </c>
      <c r="Q226" s="32">
        <v>7</v>
      </c>
      <c r="R226" s="32">
        <v>5</v>
      </c>
      <c r="S226" s="32">
        <v>20</v>
      </c>
      <c r="T226" s="32">
        <v>5</v>
      </c>
      <c r="U226" s="32">
        <v>4</v>
      </c>
      <c r="V226" s="32">
        <v>4</v>
      </c>
      <c r="W226" s="32">
        <v>16</v>
      </c>
      <c r="X226" s="32">
        <v>13</v>
      </c>
      <c r="Y226" s="16">
        <f>E226+F226+G226+H226+I226+J226+K226+L226+M226+N226+Q226+R226+S226+T226+U226+V226+W226+X226</f>
        <v>258</v>
      </c>
      <c r="Z226" s="16">
        <v>3</v>
      </c>
      <c r="AA226" s="16">
        <f>SUM(Y226:Z226)</f>
        <v>261</v>
      </c>
    </row>
    <row r="227" spans="2:27" ht="27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O227" s="28" t="s">
        <v>18</v>
      </c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2:27" ht="27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O228" s="28" t="s">
        <v>19</v>
      </c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2:27" ht="27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O229" s="28"/>
      <c r="P229" s="28" t="s">
        <v>20</v>
      </c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2:27" ht="27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O230" s="28" t="s">
        <v>147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2:27" ht="27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O231" s="28" t="s">
        <v>21</v>
      </c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2:27" ht="27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O232" s="28" t="s">
        <v>150</v>
      </c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2:27" ht="27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O233" s="28" t="s">
        <v>151</v>
      </c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2:27" ht="27.75" x14ac:dyDescent="0.4"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O234" s="28" t="s">
        <v>22</v>
      </c>
      <c r="P234" s="28"/>
      <c r="Q234" s="28"/>
      <c r="R234" s="28"/>
      <c r="S234" s="29" t="s">
        <v>23</v>
      </c>
      <c r="T234" s="28"/>
      <c r="U234" s="28"/>
      <c r="V234" s="28"/>
      <c r="W234" s="28"/>
      <c r="X234" s="28"/>
      <c r="Y234" s="28"/>
      <c r="Z234" s="28"/>
    </row>
    <row r="235" spans="2:27" ht="27.75" x14ac:dyDescent="0.4"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O235" s="6" t="s">
        <v>24</v>
      </c>
      <c r="Q235" s="6"/>
      <c r="R235" s="6"/>
      <c r="S235" s="29" t="s">
        <v>23</v>
      </c>
      <c r="T235" s="29"/>
      <c r="U235" s="29"/>
      <c r="V235" s="29"/>
      <c r="W235" s="29"/>
      <c r="X235" s="29"/>
      <c r="Y235" s="29"/>
      <c r="Z235" s="29"/>
    </row>
    <row r="236" spans="2:27" ht="27.75" x14ac:dyDescent="0.4"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O236" s="30" t="s">
        <v>101</v>
      </c>
      <c r="Q236" s="6"/>
      <c r="R236" s="6"/>
      <c r="S236" s="29" t="s">
        <v>23</v>
      </c>
      <c r="T236" s="29"/>
      <c r="U236" s="29"/>
      <c r="V236" s="29"/>
      <c r="W236" s="29"/>
      <c r="X236" s="29"/>
      <c r="Y236" s="29"/>
      <c r="Z236" s="29"/>
    </row>
    <row r="237" spans="2:27" ht="27.75" x14ac:dyDescent="0.4"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O237" s="29"/>
      <c r="Q237" s="6"/>
      <c r="R237" s="6"/>
      <c r="S237" s="6"/>
      <c r="T237" s="30" t="s">
        <v>25</v>
      </c>
      <c r="U237" s="29"/>
      <c r="V237" s="29"/>
      <c r="W237" s="29"/>
      <c r="X237" s="29"/>
      <c r="Y237" s="29"/>
      <c r="Z237" s="29"/>
      <c r="AA237" s="29"/>
    </row>
    <row r="238" spans="2:27" x14ac:dyDescent="0.2">
      <c r="O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2:27" x14ac:dyDescent="0.2">
      <c r="N239" s="37"/>
      <c r="P239"/>
      <c r="Q239" s="37"/>
      <c r="S239"/>
    </row>
  </sheetData>
  <pageMargins left="0.7" right="0.7" top="0.75" bottom="0.75" header="0.3" footer="0.3"/>
  <pageSetup paperSize="5" scale="71" fitToHeight="0" pageOrder="overThenDown" orientation="landscape" r:id="rId1"/>
  <rowBreaks count="4" manualBreakCount="4">
    <brk id="41" max="26" man="1"/>
    <brk id="79" max="26" man="1"/>
    <brk id="133" max="26" man="1"/>
    <brk id="186" max="26" man="1"/>
  </rowBreaks>
  <colBreaks count="1" manualBreakCount="1">
    <brk id="14" max="2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ADVANCE</vt:lpstr>
      <vt:lpstr>ELECTION DAY</vt:lpstr>
      <vt:lpstr>ADVANCE &amp; ELECTION DAY TOTAL</vt:lpstr>
      <vt:lpstr>Abstract</vt:lpstr>
      <vt:lpstr>Abstract!Print_Area</vt:lpstr>
      <vt:lpstr>ADVANCE!Print_Area</vt:lpstr>
      <vt:lpstr>'ELECTION DAY'!Print_Area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County Clerk</dc:creator>
  <cp:lastModifiedBy>Bri Mikkelson</cp:lastModifiedBy>
  <cp:lastPrinted>2024-11-18T14:53:30Z</cp:lastPrinted>
  <dcterms:created xsi:type="dcterms:W3CDTF">2010-11-02T15:33:34Z</dcterms:created>
  <dcterms:modified xsi:type="dcterms:W3CDTF">2024-11-18T16:52:17Z</dcterms:modified>
</cp:coreProperties>
</file>