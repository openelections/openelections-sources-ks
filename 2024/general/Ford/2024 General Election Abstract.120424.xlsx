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showInkAnnotation="0" defaultThemeVersion="124226"/>
  <mc:AlternateContent xmlns:mc="http://schemas.openxmlformats.org/markup-compatibility/2006">
    <mc:Choice Requires="x15">
      <x15ac:absPath xmlns:x15ac="http://schemas.microsoft.com/office/spreadsheetml/2010/11/ac" url="\\fordserv\Users$\clerk\mfowler\My Documents\Elections\2024\"/>
    </mc:Choice>
  </mc:AlternateContent>
  <bookViews>
    <workbookView xWindow="120" yWindow="15" windowWidth="15195" windowHeight="8190"/>
  </bookViews>
  <sheets>
    <sheet name="Sheet1" sheetId="1" r:id="rId1"/>
    <sheet name="Sheet2" sheetId="2" r:id="rId2"/>
    <sheet name="Sign Page" sheetId="3" r:id="rId3"/>
  </sheets>
  <definedNames>
    <definedName name="_xlnm.Print_Titles" localSheetId="0">Sheet1!$1:$2</definedName>
  </definedNames>
  <calcPr calcId="162913"/>
</workbook>
</file>

<file path=xl/calcChain.xml><?xml version="1.0" encoding="utf-8"?>
<calcChain xmlns="http://schemas.openxmlformats.org/spreadsheetml/2006/main">
  <c r="AT283" i="1" l="1"/>
  <c r="AT284" i="1"/>
  <c r="AT269" i="1" l="1"/>
  <c r="AT16" i="1"/>
  <c r="AT15" i="1"/>
  <c r="AT14" i="1"/>
  <c r="AT13" i="1"/>
  <c r="AT12" i="1"/>
  <c r="AT11" i="1"/>
  <c r="AT10" i="1"/>
  <c r="AT9" i="1"/>
  <c r="AT20" i="1"/>
  <c r="AT19" i="1"/>
  <c r="AT18" i="1"/>
  <c r="AT17" i="1"/>
  <c r="AT22" i="1"/>
  <c r="AT21" i="1"/>
  <c r="AT178" i="1"/>
  <c r="AT177" i="1"/>
  <c r="AT179" i="1"/>
  <c r="AT172" i="1"/>
  <c r="T230" i="1"/>
  <c r="AT255" i="1"/>
  <c r="AQ246" i="1"/>
  <c r="AT246" i="1" s="1"/>
  <c r="AQ230" i="1"/>
  <c r="AT261" i="1"/>
  <c r="AT260" i="1"/>
  <c r="AT259" i="1"/>
  <c r="AT253" i="1"/>
  <c r="AT252" i="1"/>
  <c r="AT251" i="1"/>
  <c r="AT250" i="1"/>
  <c r="AT249" i="1"/>
  <c r="AT248" i="1"/>
  <c r="AT247" i="1"/>
  <c r="AT245" i="1"/>
  <c r="AT243" i="1"/>
  <c r="AT242" i="1"/>
  <c r="AT241" i="1"/>
  <c r="AT240" i="1"/>
  <c r="AT239" i="1"/>
  <c r="AT238" i="1"/>
  <c r="AT237" i="1"/>
  <c r="AT236" i="1"/>
  <c r="AT235" i="1"/>
  <c r="AT234" i="1"/>
  <c r="AT233" i="1"/>
  <c r="AT232" i="1"/>
  <c r="AT231" i="1"/>
  <c r="AT229" i="1"/>
  <c r="AT228" i="1"/>
  <c r="AT227" i="1"/>
  <c r="AT226" i="1"/>
  <c r="AT225" i="1"/>
  <c r="AT224" i="1"/>
  <c r="AT223" i="1"/>
  <c r="AT222" i="1"/>
  <c r="AT221" i="1"/>
  <c r="AT220" i="1"/>
  <c r="AT219" i="1"/>
  <c r="AT218" i="1"/>
  <c r="AT217" i="1"/>
  <c r="AT216" i="1"/>
  <c r="AT215" i="1"/>
  <c r="AT214" i="1"/>
  <c r="AT213" i="1"/>
  <c r="AT212" i="1"/>
  <c r="AT211" i="1"/>
  <c r="AT210" i="1"/>
  <c r="AT209" i="1"/>
  <c r="AT208" i="1"/>
  <c r="AT207" i="1"/>
  <c r="AT206" i="1"/>
  <c r="AT205" i="1"/>
  <c r="AT204" i="1"/>
  <c r="AT203" i="1"/>
  <c r="AT202" i="1"/>
  <c r="AT201" i="1"/>
  <c r="AT200" i="1"/>
  <c r="AT100" i="1"/>
  <c r="AT101" i="1"/>
  <c r="AT112" i="1"/>
  <c r="AT106" i="1"/>
  <c r="AT105" i="1"/>
  <c r="AT107" i="1"/>
  <c r="AT162" i="1"/>
  <c r="AT163" i="1"/>
  <c r="Y67" i="1"/>
  <c r="AT276" i="1"/>
  <c r="AT274" i="1"/>
  <c r="AT273" i="1"/>
  <c r="AT275" i="1"/>
  <c r="AT145" i="1"/>
  <c r="AT144" i="1"/>
  <c r="AT131" i="1"/>
  <c r="AT130" i="1"/>
  <c r="AT125" i="1"/>
  <c r="AT230" i="1" l="1"/>
  <c r="B283" i="1"/>
  <c r="AR63" i="1"/>
  <c r="AI63" i="1"/>
  <c r="AE63" i="1"/>
  <c r="J63" i="1"/>
  <c r="H63" i="1"/>
  <c r="F63" i="1"/>
  <c r="AR62" i="1"/>
  <c r="AQ62" i="1"/>
  <c r="AO62" i="1"/>
  <c r="AG62" i="1"/>
  <c r="AE62" i="1"/>
  <c r="Y62" i="1"/>
  <c r="T62" i="1"/>
  <c r="R62" i="1"/>
  <c r="J62" i="1"/>
  <c r="I62" i="1"/>
  <c r="H62" i="1"/>
  <c r="F62" i="1"/>
  <c r="E62" i="1"/>
  <c r="D62" i="1"/>
  <c r="C62" i="1"/>
  <c r="AR61" i="1"/>
  <c r="AQ61" i="1"/>
  <c r="AI61" i="1"/>
  <c r="AO60" i="1"/>
  <c r="AG60" i="1"/>
  <c r="AE60" i="1"/>
  <c r="Y60" i="1"/>
  <c r="T60" i="1"/>
  <c r="R60" i="1"/>
  <c r="J60" i="1"/>
  <c r="I60" i="1"/>
  <c r="H60" i="1"/>
  <c r="F60" i="1"/>
  <c r="E60" i="1"/>
  <c r="D60" i="1"/>
  <c r="C60" i="1"/>
  <c r="AR59" i="1"/>
  <c r="AQ59" i="1"/>
  <c r="AI59" i="1"/>
  <c r="AD59" i="1"/>
  <c r="D59" i="1"/>
  <c r="AR58" i="1"/>
  <c r="AO58" i="1"/>
  <c r="AG58" i="1"/>
  <c r="AD58" i="1"/>
  <c r="Y58" i="1"/>
  <c r="T58" i="1"/>
  <c r="R58" i="1"/>
  <c r="J58" i="1"/>
  <c r="I58" i="1"/>
  <c r="H58" i="1"/>
  <c r="F58" i="1"/>
  <c r="E58" i="1"/>
  <c r="D58" i="1"/>
  <c r="C58" i="1"/>
  <c r="AQ57" i="1" l="1"/>
  <c r="AR57" i="1"/>
  <c r="AO57" i="1"/>
  <c r="AI57" i="1"/>
  <c r="AE57" i="1"/>
  <c r="I57" i="1"/>
  <c r="H57" i="1"/>
  <c r="AG56" i="1"/>
  <c r="AF56" i="1"/>
  <c r="AE56" i="1"/>
  <c r="Y56" i="1"/>
  <c r="T56" i="1"/>
  <c r="R56" i="1"/>
  <c r="J56" i="1"/>
  <c r="I56" i="1"/>
  <c r="H56" i="1"/>
  <c r="F56" i="1"/>
  <c r="E56" i="1"/>
  <c r="D56" i="1"/>
  <c r="C56" i="1"/>
  <c r="AR55" i="1"/>
  <c r="AQ55" i="1"/>
  <c r="AO55" i="1"/>
  <c r="AI55" i="1"/>
  <c r="AG55" i="1"/>
  <c r="AE55" i="1"/>
  <c r="H55" i="1"/>
  <c r="AE54" i="1"/>
  <c r="Y54" i="1"/>
  <c r="T54" i="1"/>
  <c r="R54" i="1"/>
  <c r="J54" i="1"/>
  <c r="I54" i="1"/>
  <c r="H54" i="1"/>
  <c r="F54" i="1"/>
  <c r="E54" i="1"/>
  <c r="D54" i="1"/>
  <c r="C54" i="1"/>
  <c r="AR53" i="1"/>
  <c r="AO53" i="1"/>
  <c r="AI53" i="1"/>
  <c r="AE53" i="1"/>
  <c r="J53" i="1"/>
  <c r="H53" i="1"/>
  <c r="F53" i="1"/>
  <c r="AQ52" i="1"/>
  <c r="AG52" i="1"/>
  <c r="AE52" i="1"/>
  <c r="Y52" i="1"/>
  <c r="T52" i="1"/>
  <c r="R52" i="1"/>
  <c r="J52" i="1"/>
  <c r="I52" i="1"/>
  <c r="H52" i="1"/>
  <c r="F52" i="1"/>
  <c r="E52" i="1"/>
  <c r="D52" i="1"/>
  <c r="C52" i="1"/>
  <c r="AI51" i="1"/>
  <c r="AR51" i="1"/>
  <c r="AO51" i="1"/>
  <c r="AG51" i="1"/>
  <c r="AE51" i="1"/>
  <c r="AR50" i="1"/>
  <c r="AQ50" i="1"/>
  <c r="AE50" i="1"/>
  <c r="Y50" i="1"/>
  <c r="T50" i="1"/>
  <c r="R50" i="1"/>
  <c r="J50" i="1"/>
  <c r="I50" i="1"/>
  <c r="H50" i="1"/>
  <c r="F50" i="1"/>
  <c r="E50" i="1"/>
  <c r="D50" i="1"/>
  <c r="C50" i="1"/>
  <c r="AR267" i="1"/>
  <c r="T257" i="1"/>
  <c r="AQ257" i="1"/>
  <c r="AO186" i="1"/>
  <c r="AI166" i="1"/>
  <c r="AG148" i="1"/>
  <c r="Y128" i="1"/>
  <c r="R110" i="1"/>
  <c r="AR263" i="1"/>
  <c r="AO182" i="1"/>
  <c r="AI160" i="1"/>
  <c r="AG142" i="1"/>
  <c r="Y123" i="1"/>
  <c r="R103" i="1"/>
  <c r="AR90" i="1"/>
  <c r="AO90" i="1"/>
  <c r="AI90" i="1"/>
  <c r="AG90" i="1"/>
  <c r="AE90" i="1"/>
  <c r="Y90" i="1"/>
  <c r="T90" i="1"/>
  <c r="R90" i="1"/>
  <c r="J90" i="1"/>
  <c r="I90" i="1"/>
  <c r="H90" i="1"/>
  <c r="F90" i="1"/>
  <c r="E90" i="1"/>
  <c r="D90" i="1"/>
  <c r="C90" i="1"/>
  <c r="T86" i="1"/>
  <c r="AR86" i="1"/>
  <c r="AO86" i="1"/>
  <c r="AI86" i="1"/>
  <c r="AG86" i="1"/>
  <c r="AE86" i="1"/>
  <c r="AD86" i="1"/>
  <c r="Y86" i="1"/>
  <c r="R86" i="1"/>
  <c r="J86" i="1"/>
  <c r="I86" i="1"/>
  <c r="H86" i="1"/>
  <c r="F86" i="1"/>
  <c r="E86" i="1"/>
  <c r="D86" i="1"/>
  <c r="C86" i="1"/>
  <c r="AO82" i="1"/>
  <c r="AR82" i="1"/>
  <c r="AI82" i="1"/>
  <c r="AG82" i="1"/>
  <c r="AE82" i="1"/>
  <c r="AD82" i="1"/>
  <c r="Y82" i="1"/>
  <c r="T82" i="1"/>
  <c r="R82" i="1"/>
  <c r="J82" i="1"/>
  <c r="I82" i="1"/>
  <c r="H82" i="1"/>
  <c r="F82" i="1"/>
  <c r="E82" i="1"/>
  <c r="D82" i="1"/>
  <c r="C82" i="1"/>
  <c r="AI78" i="1"/>
  <c r="AR78" i="1"/>
  <c r="AO78" i="1"/>
  <c r="AG78" i="1"/>
  <c r="AE78" i="1"/>
  <c r="AD78" i="1"/>
  <c r="Y78" i="1"/>
  <c r="T78" i="1"/>
  <c r="R78" i="1"/>
  <c r="J78" i="1"/>
  <c r="I78" i="1"/>
  <c r="H78" i="1"/>
  <c r="F78" i="1"/>
  <c r="E78" i="1"/>
  <c r="D78" i="1"/>
  <c r="C78" i="1"/>
  <c r="AR74" i="1"/>
  <c r="AO74" i="1"/>
  <c r="AI74" i="1"/>
  <c r="AG74" i="1"/>
  <c r="AE74" i="1"/>
  <c r="AD74" i="1"/>
  <c r="Y74" i="1"/>
  <c r="T74" i="1"/>
  <c r="R74" i="1"/>
  <c r="H74" i="1"/>
  <c r="I74" i="1"/>
  <c r="J74" i="1"/>
  <c r="F74" i="1"/>
  <c r="E74" i="1"/>
  <c r="D74" i="1"/>
  <c r="C74" i="1"/>
  <c r="AI69" i="1"/>
  <c r="J69" i="1"/>
  <c r="F69" i="1"/>
  <c r="E69" i="1"/>
  <c r="J70" i="1"/>
  <c r="F70" i="1"/>
  <c r="AO65" i="1"/>
  <c r="AG65" i="1"/>
  <c r="Y65" i="1"/>
  <c r="I65" i="1"/>
  <c r="H65" i="1"/>
  <c r="T46" i="1"/>
  <c r="AR46" i="1"/>
  <c r="AO46" i="1"/>
  <c r="AI46" i="1"/>
  <c r="AG46" i="1"/>
  <c r="AE46" i="1"/>
  <c r="AD46" i="1"/>
  <c r="Y46" i="1"/>
  <c r="R46" i="1"/>
  <c r="J46" i="1"/>
  <c r="I46" i="1"/>
  <c r="H46" i="1"/>
  <c r="F46" i="1"/>
  <c r="E46" i="1"/>
  <c r="D46" i="1"/>
  <c r="C46" i="1"/>
  <c r="AT46" i="1" s="1"/>
  <c r="C42" i="1"/>
  <c r="AR42" i="1"/>
  <c r="AI42" i="1"/>
  <c r="AG42" i="1"/>
  <c r="AE42" i="1"/>
  <c r="AD42" i="1"/>
  <c r="Y42" i="1"/>
  <c r="T42" i="1"/>
  <c r="R42" i="1"/>
  <c r="J42" i="1"/>
  <c r="I42" i="1"/>
  <c r="H42" i="1"/>
  <c r="F42" i="1"/>
  <c r="E42" i="1"/>
  <c r="D42" i="1"/>
  <c r="AD38" i="1"/>
  <c r="Z38" i="1"/>
  <c r="I38" i="1"/>
  <c r="H38" i="1"/>
  <c r="F38" i="1"/>
  <c r="E38" i="1"/>
  <c r="D38" i="1"/>
  <c r="AR34" i="1"/>
  <c r="AQ34" i="1"/>
  <c r="AO34" i="1"/>
  <c r="AI34" i="1"/>
  <c r="AG34" i="1"/>
  <c r="AE34" i="1"/>
  <c r="Y34" i="1"/>
  <c r="T34" i="1"/>
  <c r="R34" i="1"/>
  <c r="J34" i="1"/>
  <c r="C34" i="1"/>
  <c r="AR30" i="1"/>
  <c r="AQ30" i="1"/>
  <c r="AO30" i="1"/>
  <c r="AG30" i="1"/>
  <c r="AE30" i="1"/>
  <c r="AD30" i="1"/>
  <c r="Y30" i="1"/>
  <c r="R30" i="1"/>
  <c r="J30" i="1"/>
  <c r="I30" i="1"/>
  <c r="H30" i="1"/>
  <c r="F30" i="1"/>
  <c r="D30" i="1"/>
  <c r="C30" i="1"/>
  <c r="E29" i="1"/>
  <c r="AI29" i="1"/>
  <c r="AE29" i="1"/>
  <c r="Y29" i="1"/>
  <c r="T29" i="1"/>
  <c r="J29" i="1"/>
  <c r="I29" i="1"/>
  <c r="H29" i="1"/>
  <c r="F29" i="1"/>
  <c r="C29" i="1"/>
  <c r="AD25" i="1"/>
  <c r="AR25" i="1"/>
  <c r="AQ25" i="1"/>
  <c r="AO25" i="1"/>
  <c r="AG25" i="1"/>
  <c r="AE25" i="1"/>
  <c r="Y25" i="1"/>
  <c r="R25" i="1"/>
  <c r="J25" i="1"/>
  <c r="I25" i="1"/>
  <c r="H25" i="1"/>
  <c r="D25" i="1"/>
  <c r="F25" i="1"/>
  <c r="C25" i="1"/>
  <c r="J24" i="1"/>
  <c r="AQ24" i="1"/>
  <c r="AI24" i="1"/>
  <c r="AE24" i="1"/>
  <c r="Y24" i="1"/>
  <c r="T24" i="1"/>
  <c r="I24" i="1"/>
  <c r="H24" i="1"/>
  <c r="F24" i="1"/>
  <c r="E24" i="1"/>
  <c r="C24" i="1"/>
  <c r="J6" i="1"/>
  <c r="J7" i="1"/>
  <c r="Y4" i="1"/>
  <c r="AI4" i="1"/>
  <c r="AE4" i="1"/>
  <c r="T4" i="1"/>
  <c r="J4" i="1"/>
  <c r="I4" i="1"/>
  <c r="H4" i="1"/>
  <c r="F4" i="1"/>
  <c r="E4" i="1"/>
  <c r="C4" i="1"/>
  <c r="F5" i="1"/>
  <c r="I5" i="1" l="1"/>
  <c r="AR5" i="1"/>
  <c r="AO5" i="1"/>
  <c r="AG5" i="1"/>
  <c r="AE5" i="1"/>
  <c r="AD5" i="1"/>
  <c r="R5" i="1"/>
  <c r="J5" i="1"/>
  <c r="H5" i="1"/>
  <c r="D5" i="1"/>
  <c r="C5" i="1"/>
  <c r="AT5" i="1" s="1"/>
  <c r="AT63" i="1" l="1"/>
  <c r="AT62" i="1"/>
  <c r="AT61" i="1"/>
  <c r="AT60" i="1"/>
  <c r="AT59" i="1"/>
  <c r="AT58" i="1"/>
  <c r="AT57" i="1"/>
  <c r="AT56" i="1"/>
  <c r="AT55" i="1"/>
  <c r="AT54" i="1"/>
  <c r="AT53" i="1"/>
  <c r="AT52" i="1"/>
  <c r="AT51" i="1"/>
  <c r="AT50" i="1"/>
  <c r="AT6" i="1" l="1"/>
  <c r="AT7" i="1"/>
  <c r="AT4" i="1"/>
  <c r="AT244" i="1" l="1"/>
  <c r="AT279" i="1" l="1"/>
  <c r="AT271" i="1"/>
  <c r="AT128" i="1"/>
  <c r="AT123" i="1"/>
  <c r="AT90" i="1"/>
  <c r="AT86" i="1"/>
  <c r="AT82" i="1"/>
  <c r="AT78" i="1"/>
  <c r="AT34" i="1"/>
  <c r="AT30" i="1"/>
  <c r="AT25" i="1"/>
  <c r="AT281" i="1"/>
  <c r="AT277" i="1"/>
  <c r="AT267" i="1"/>
  <c r="AT265" i="1"/>
  <c r="AT263" i="1"/>
  <c r="AT257" i="1"/>
  <c r="AT198" i="1"/>
  <c r="AT196" i="1"/>
  <c r="AT194" i="1"/>
  <c r="AT192" i="1"/>
  <c r="AT190" i="1"/>
  <c r="AT188" i="1"/>
  <c r="AT186" i="1"/>
  <c r="AT184" i="1"/>
  <c r="AT182" i="1"/>
  <c r="AT180" i="1"/>
  <c r="AT175" i="1"/>
  <c r="AT173" i="1"/>
  <c r="AT170" i="1"/>
  <c r="AT168" i="1"/>
  <c r="AT166" i="1"/>
  <c r="AT164" i="1"/>
  <c r="AT160" i="1"/>
  <c r="AT158" i="1"/>
  <c r="AT156" i="1"/>
  <c r="AT154" i="1"/>
  <c r="AT152" i="1"/>
  <c r="AT150" i="1"/>
  <c r="AT148" i="1"/>
  <c r="AT146" i="1"/>
  <c r="AT142" i="1"/>
  <c r="AT140" i="1"/>
  <c r="AT138" i="1"/>
  <c r="AT136" i="1"/>
  <c r="AT134" i="1"/>
  <c r="AT132" i="1"/>
  <c r="AT126" i="1"/>
  <c r="AT121" i="1"/>
  <c r="AT119" i="1"/>
  <c r="AT117" i="1"/>
  <c r="AT115" i="1"/>
  <c r="AT113" i="1"/>
  <c r="AT110" i="1"/>
  <c r="AT108" i="1"/>
  <c r="AT103" i="1"/>
  <c r="AT98" i="1"/>
  <c r="AT96" i="1"/>
  <c r="AT94" i="1"/>
  <c r="AT92" i="1"/>
  <c r="AT88" i="1"/>
  <c r="AT84" i="1"/>
  <c r="AT80" i="1"/>
  <c r="AT76" i="1"/>
  <c r="AT74" i="1"/>
  <c r="AT72" i="1"/>
  <c r="AT69" i="1"/>
  <c r="AT70" i="1"/>
  <c r="AT67" i="1"/>
  <c r="AT65" i="1"/>
  <c r="AT48" i="1"/>
  <c r="AT44" i="1"/>
  <c r="AT42" i="1"/>
  <c r="AT40" i="1"/>
  <c r="AT38" i="1"/>
  <c r="AT36" i="1"/>
  <c r="AT32" i="1"/>
  <c r="AT29" i="1"/>
  <c r="AT27" i="1"/>
  <c r="AT24" i="1"/>
</calcChain>
</file>

<file path=xl/sharedStrings.xml><?xml version="1.0" encoding="utf-8"?>
<sst xmlns="http://schemas.openxmlformats.org/spreadsheetml/2006/main" count="509" uniqueCount="352">
  <si>
    <t>NAME OF OFFICE</t>
  </si>
  <si>
    <t>NAME OF CANDIDATE</t>
  </si>
  <si>
    <t>POLITICAL PARTY</t>
  </si>
  <si>
    <t>BLOOM TWP</t>
  </si>
  <si>
    <t>BUCKLIN TWP</t>
  </si>
  <si>
    <t>BUCKLIN CITY</t>
  </si>
  <si>
    <t>CONCORD TWP</t>
  </si>
  <si>
    <t>DODGE TWP-115</t>
  </si>
  <si>
    <t>DODGE TWP-119</t>
  </si>
  <si>
    <t>DODGE TWP-3</t>
  </si>
  <si>
    <t>ENTERPRISE TWP-115</t>
  </si>
  <si>
    <t>FAIRVIEW TWP</t>
  </si>
  <si>
    <t>FORD TWP</t>
  </si>
  <si>
    <t>FORD CITY</t>
  </si>
  <si>
    <t>GRANDVIEW TWP-115</t>
  </si>
  <si>
    <t>DODGE CITY PCT 1</t>
  </si>
  <si>
    <t>DODGE CITY PCT 2</t>
  </si>
  <si>
    <t>DODGE CITY PCT 3</t>
  </si>
  <si>
    <t>DODGE CITY PCT 4</t>
  </si>
  <si>
    <t>DODGE CITY PCT 5</t>
  </si>
  <si>
    <t>DODGE CITY PCT 6</t>
  </si>
  <si>
    <t>DODGE CITY PCT 7</t>
  </si>
  <si>
    <t>DODGE CITY PCT 8</t>
  </si>
  <si>
    <t>DODGE CITY PCT 9</t>
  </si>
  <si>
    <t>ENTERPRISE TWP-119</t>
  </si>
  <si>
    <t>GRANDVIEW TWP-119</t>
  </si>
  <si>
    <t>GRANDVIEW TWP-2-115</t>
  </si>
  <si>
    <t>GRANDVIEW TWP-2-119</t>
  </si>
  <si>
    <t>RICHLAND TWP</t>
  </si>
  <si>
    <t>ROYAL TWP</t>
  </si>
  <si>
    <t>SODVILLE TWP</t>
  </si>
  <si>
    <t>SPEARVILLE TWP</t>
  </si>
  <si>
    <t>SPEARVILLE CITY</t>
  </si>
  <si>
    <t>WHEATLAND TWP</t>
  </si>
  <si>
    <t>WILBURN TWP</t>
  </si>
  <si>
    <t>TOTAL</t>
  </si>
  <si>
    <t>STATE OF KANSAS, FORD COUNTY. ss.</t>
  </si>
  <si>
    <t>WITNESS OUR HANDS, this ____day of ____________A.D. _________</t>
  </si>
  <si>
    <t>ATTEST:</t>
  </si>
  <si>
    <t>Chris Boys, Chairman</t>
  </si>
  <si>
    <t xml:space="preserve"> </t>
  </si>
  <si>
    <t xml:space="preserve">                 </t>
  </si>
  <si>
    <t>Shawn Tasset,Commissioner</t>
  </si>
  <si>
    <t>Dodge TWP H115 Committeewoman</t>
  </si>
  <si>
    <t>Dodge TWP W H119 Committeeman</t>
  </si>
  <si>
    <t>Dodge TWP W H119 Committeewoman</t>
  </si>
  <si>
    <t>Dodge TWP i H119 Committeewoman</t>
  </si>
  <si>
    <t>Dodge TWP i H119 Committeeman</t>
  </si>
  <si>
    <t>Dodge TWP H119 Committeeman</t>
  </si>
  <si>
    <t>Dodge TWP H119 Committeewoman</t>
  </si>
  <si>
    <t>Dodge TWP-3 Committeeman</t>
  </si>
  <si>
    <t>Dodge TWP-3 Committeewoman</t>
  </si>
  <si>
    <t>Enterprise TWP H115 Committeeman</t>
  </si>
  <si>
    <t>Enterprise TWP H115 Committeewoman</t>
  </si>
  <si>
    <t>Enterprise TWP H119 Committeeman</t>
  </si>
  <si>
    <t>Enterprise TWP H119 Committeewoman</t>
  </si>
  <si>
    <t>Fairview TWP Committeeman</t>
  </si>
  <si>
    <t>Fairview TWP Committeewoman</t>
  </si>
  <si>
    <t>Ford TWP Committeeman</t>
  </si>
  <si>
    <t>Ford TWP Committeewoman</t>
  </si>
  <si>
    <t>Grandview TWP H115 Committeeman</t>
  </si>
  <si>
    <t>Grandview TWP H115 Committeewoman</t>
  </si>
  <si>
    <t>Grandview TWP East H119 Committeewoman</t>
  </si>
  <si>
    <t>Grandview TWP-2 Committeeman</t>
  </si>
  <si>
    <t>Grandview TWP-2 Committeewoman</t>
  </si>
  <si>
    <t>Grandview TWP-2 H119 Committeeman</t>
  </si>
  <si>
    <t>Grandview TWP-2 H119 Committeewoman</t>
  </si>
  <si>
    <t>Richland TWP Committeeman</t>
  </si>
  <si>
    <t>Richland TWP Committeewoman</t>
  </si>
  <si>
    <t>Royal TWP Committeeman</t>
  </si>
  <si>
    <t>Royal TWP Committeewoman</t>
  </si>
  <si>
    <t>Sodville TWP Committeeman</t>
  </si>
  <si>
    <t>Sodville TWP Committeewoman</t>
  </si>
  <si>
    <t>Spearville TWP Committeeman</t>
  </si>
  <si>
    <t>Spearville TWP Committeewoman</t>
  </si>
  <si>
    <t>Wheatland TWP Committeeman</t>
  </si>
  <si>
    <t>Wheatland TWP Committeewoman</t>
  </si>
  <si>
    <t>Wilburn TWP Committeeman</t>
  </si>
  <si>
    <t>Wilburn TWP Committeewoman</t>
  </si>
  <si>
    <t>D</t>
  </si>
  <si>
    <t>R</t>
  </si>
  <si>
    <t>Russell E. Ficsher</t>
  </si>
  <si>
    <t>Cleo L. Fischer</t>
  </si>
  <si>
    <t>Steven L. Hale</t>
  </si>
  <si>
    <t>Nola Ellen Hale</t>
  </si>
  <si>
    <t>David Brown</t>
  </si>
  <si>
    <t>Tammy J Schweitzer</t>
  </si>
  <si>
    <t>Giiles Issenhoft (WI)</t>
  </si>
  <si>
    <t>Richard Stein</t>
  </si>
  <si>
    <t>Darrell Roths (WI)</t>
  </si>
  <si>
    <t>Ron Reinert (WI)</t>
  </si>
  <si>
    <t>David Roesener (WI)</t>
  </si>
  <si>
    <t>Tony Zortman (WI)</t>
  </si>
  <si>
    <t>Aaron Gerdes (WI)</t>
  </si>
  <si>
    <t>Jeanne Zortman (WI)</t>
  </si>
  <si>
    <t>Jeff Hamilton (WI</t>
  </si>
  <si>
    <t>Kathy Hamilton (WI)</t>
  </si>
  <si>
    <t>Brian Pinkney (EI</t>
  </si>
  <si>
    <t>Dustin Carlson (WI)</t>
  </si>
  <si>
    <t>Justin W. Snyder (WI)</t>
  </si>
  <si>
    <t>Kelly Knedler (WI)</t>
  </si>
  <si>
    <t>Tim Murphy (WI)</t>
  </si>
  <si>
    <t>Ty Rankin (WI)</t>
  </si>
  <si>
    <t>Janet Slattery (WI)</t>
  </si>
  <si>
    <t>Tami Knedler (WI)</t>
  </si>
  <si>
    <t>Kevin Heeke (WI)</t>
  </si>
  <si>
    <t>Tom Burke (WI)</t>
  </si>
  <si>
    <t>Mike Hubble (WI)</t>
  </si>
  <si>
    <t>Jodi Wetzel (WI)</t>
  </si>
  <si>
    <t>Royce Droste (WI)</t>
  </si>
  <si>
    <t>Debbie Droste (WI)</t>
  </si>
  <si>
    <t>Rose E Reinert</t>
  </si>
  <si>
    <t>Ken W. Snook, Commissioner</t>
  </si>
  <si>
    <t>Debbie Cox, County Clerk/Election Officer</t>
  </si>
  <si>
    <t>We, the undersigned members of the Board of County Commissioners in and for said County, and ex-officio Board of Canvassers for said County, do hereby certify that the foregoing abstract of of__________A.D.__________.</t>
  </si>
  <si>
    <t>votes cast at the Ford County Primary Election held in the Ford County on the 7th day of August 2018, is true and correct as shown by the returns of said election on file in the County Clerk's office</t>
  </si>
  <si>
    <t xml:space="preserve"> and canvassed by us this _______day </t>
  </si>
  <si>
    <t>Write Ins</t>
  </si>
  <si>
    <t>United States House of Representatives - 1st District</t>
  </si>
  <si>
    <t>Tracey Mann</t>
  </si>
  <si>
    <t>Kansas State Senator-38th District</t>
  </si>
  <si>
    <t>Kansas House of Representatives-115th District</t>
  </si>
  <si>
    <t>Kansas House of Representatives-119th District</t>
  </si>
  <si>
    <t>Jan Scoggins</t>
  </si>
  <si>
    <t>District Judge 16th District, Division 2</t>
  </si>
  <si>
    <t>District Judge 16th District, Division 3</t>
  </si>
  <si>
    <t>Andrew M. Stein</t>
  </si>
  <si>
    <t>Laura H. Lewis</t>
  </si>
  <si>
    <t>County Commissioner 2nd District</t>
  </si>
  <si>
    <t>County Commissioner 3rd District</t>
  </si>
  <si>
    <t>Christopher Boys</t>
  </si>
  <si>
    <t>County Clerk</t>
  </si>
  <si>
    <t>Debbie Cox</t>
  </si>
  <si>
    <t>Register of Deeds</t>
  </si>
  <si>
    <t>County  Attorney</t>
  </si>
  <si>
    <t>Ford County Sheriff</t>
  </si>
  <si>
    <t>Brenda Pogue</t>
  </si>
  <si>
    <t>Kevin Salzman</t>
  </si>
  <si>
    <t>Bill Carr</t>
  </si>
  <si>
    <t>Bloom TWP Trustee</t>
  </si>
  <si>
    <t>Bloom TWP Treasurer</t>
  </si>
  <si>
    <t>David Leaming</t>
  </si>
  <si>
    <t>Bucklin TWP Trustee</t>
  </si>
  <si>
    <t>Bucklin TWP Treasurer</t>
  </si>
  <si>
    <t>Kevin Birney</t>
  </si>
  <si>
    <t>Concord TWP Trustee</t>
  </si>
  <si>
    <t>Concord TWP Treasurer</t>
  </si>
  <si>
    <t>Dodge TWP Trustee</t>
  </si>
  <si>
    <t>Dodge TWP Treasurer</t>
  </si>
  <si>
    <t>Darrell Burkhart</t>
  </si>
  <si>
    <t>Enterprise TWP Treasurer</t>
  </si>
  <si>
    <t>Enterprise TWP Trustee</t>
  </si>
  <si>
    <t>Fairview TWP Trustee</t>
  </si>
  <si>
    <t>Fairview TWP Treasurer</t>
  </si>
  <si>
    <t>Ford TWP Trustee</t>
  </si>
  <si>
    <t>Ford TWP Treasurer</t>
  </si>
  <si>
    <t>Colton Downey</t>
  </si>
  <si>
    <t>Grandview TWP Trustee</t>
  </si>
  <si>
    <t>Grandview TWP Treasurer</t>
  </si>
  <si>
    <t>Richland TWP Trustee</t>
  </si>
  <si>
    <t>Richland TWP Treasurer</t>
  </si>
  <si>
    <t>Royal TWP Trustee</t>
  </si>
  <si>
    <t>Royal TWP Treasurer</t>
  </si>
  <si>
    <t>Sodville TWP Trustee</t>
  </si>
  <si>
    <t>Sodville TWP Treasurer</t>
  </si>
  <si>
    <t>Terry F. Popp</t>
  </si>
  <si>
    <t>Spearville TWP Trustee</t>
  </si>
  <si>
    <t>Spearville TWP Treasurer</t>
  </si>
  <si>
    <t>Wheatland  TWP Trustee</t>
  </si>
  <si>
    <t>Wheatland TWP Treasurer</t>
  </si>
  <si>
    <t>Rean Stegman</t>
  </si>
  <si>
    <t>Kenneth Rueb</t>
  </si>
  <si>
    <t>Wilburn TWP Trustee</t>
  </si>
  <si>
    <t>Wilburn TWP Treasurer</t>
  </si>
  <si>
    <t>Kourtney Soltero</t>
  </si>
  <si>
    <t>Marvin Hertel</t>
  </si>
  <si>
    <t>DC PCT 1 H115 A</t>
  </si>
  <si>
    <t>DC PCT 1 H119B</t>
  </si>
  <si>
    <t>DC PCT 2 H119B</t>
  </si>
  <si>
    <t>DC  PCT 3 H119B</t>
  </si>
  <si>
    <t>DC PCT 4 H115 A</t>
  </si>
  <si>
    <t>DC PCT 4 H119 B</t>
  </si>
  <si>
    <t>DC PCT 5</t>
  </si>
  <si>
    <t>DC PCT 6 H115 A</t>
  </si>
  <si>
    <t>DC  PCT 6 H119 B</t>
  </si>
  <si>
    <t>DC PCT 7 H119 A</t>
  </si>
  <si>
    <t>DC  PCT 7 H119 B</t>
  </si>
  <si>
    <t>DC PCT 8</t>
  </si>
  <si>
    <t>DC PCT 9 H119 A</t>
  </si>
  <si>
    <t>DC PCT 9 H119 B</t>
  </si>
  <si>
    <t>DC PCT 12</t>
  </si>
  <si>
    <t>DODGE TWP N H119</t>
  </si>
  <si>
    <t>Paul Buskirk</t>
  </si>
  <si>
    <t>Ronald Ryckman</t>
  </si>
  <si>
    <t>Jose G. Lara</t>
  </si>
  <si>
    <t>Gary White</t>
  </si>
  <si>
    <t>Jason W. Goetz</t>
  </si>
  <si>
    <t>Gary Thomas</t>
  </si>
  <si>
    <t>Treasurer</t>
  </si>
  <si>
    <t>No Candidate</t>
  </si>
  <si>
    <t>Tony Slade Tiley</t>
  </si>
  <si>
    <t>Charles Nicholson</t>
  </si>
  <si>
    <t>Calvin Williamson</t>
  </si>
  <si>
    <t>Robert E. Lampe</t>
  </si>
  <si>
    <t>Jeff Hamilton</t>
  </si>
  <si>
    <t>Chambre Riegel-Breuer</t>
  </si>
  <si>
    <t>Delbert Downey</t>
  </si>
  <si>
    <t>Greg Lix</t>
  </si>
  <si>
    <t>Robert Schneweis</t>
  </si>
  <si>
    <t>J. Daryl Tieben</t>
  </si>
  <si>
    <t>Ronald E. Schneweis</t>
  </si>
  <si>
    <t>Shane S. Smith</t>
  </si>
  <si>
    <t>Will Ellis</t>
  </si>
  <si>
    <t>Jacob Stegman</t>
  </si>
  <si>
    <t>DODGE TWP H115</t>
  </si>
  <si>
    <t>DODGE TWP H119</t>
  </si>
  <si>
    <t>DODGE TWP W H119</t>
  </si>
  <si>
    <t>DODGE TWP 3 H115 A</t>
  </si>
  <si>
    <t>DODGE TWP 3 H119 B</t>
  </si>
  <si>
    <t>ENTERPRISE TWP H115</t>
  </si>
  <si>
    <t>ENTERPRISE TWP H119</t>
  </si>
  <si>
    <t>GRANDVIEW TWP H115</t>
  </si>
  <si>
    <t>GRANDVIEW TWP East H115 B</t>
  </si>
  <si>
    <t>GRANDVIEW TWP 2 H115A</t>
  </si>
  <si>
    <t>GRANDVIEW TWP 2 H119 B</t>
  </si>
  <si>
    <t>GRANDVIEW TWP 2 H119 C</t>
  </si>
  <si>
    <t>John Askew</t>
  </si>
  <si>
    <t>Douglas Melia</t>
  </si>
  <si>
    <t>Dana Frazier</t>
  </si>
  <si>
    <t>Del Clowdis</t>
  </si>
  <si>
    <t>Presidential Electors for President 
and Vice-President</t>
  </si>
  <si>
    <t>Kamala D. Harris/Tim Walz</t>
  </si>
  <si>
    <t>Donald J. Trump/JD Vance</t>
  </si>
  <si>
    <t>Chase Oliver/Mike ter Maat</t>
  </si>
  <si>
    <t>L</t>
  </si>
  <si>
    <t>Robert F. Kennedy Jr./Nicole Shanahan</t>
  </si>
  <si>
    <t>Kansas Court of Appeals, Retention</t>
  </si>
  <si>
    <t>Yes</t>
  </si>
  <si>
    <t>No</t>
  </si>
  <si>
    <t>Sarah E. Warner/Position No. 4</t>
  </si>
  <si>
    <t>David E. Bruns/Position No. 6</t>
  </si>
  <si>
    <t>G. Gordon Atcheson/Position No. 8</t>
  </si>
  <si>
    <t>Karen Arnold-Burger/Position No. 9</t>
  </si>
  <si>
    <t>Rachel L. Pickering/Position No. 10</t>
  </si>
  <si>
    <t>Angela D. Coble/Position No. 12</t>
  </si>
  <si>
    <t>Kathryn Gardner/Position No. 14</t>
  </si>
  <si>
    <t xml:space="preserve">                                                                       </t>
  </si>
  <si>
    <t>Bucklin City Special Question</t>
  </si>
  <si>
    <t>I</t>
  </si>
  <si>
    <t>Kevin Blew</t>
  </si>
  <si>
    <t>Duane Nietling</t>
  </si>
  <si>
    <t>Joseph Gier</t>
  </si>
  <si>
    <t>Elmer Fudd</t>
  </si>
  <si>
    <t>Wesley Slattery</t>
  </si>
  <si>
    <t>Montie Culver</t>
  </si>
  <si>
    <t>Craig Bunnell</t>
  </si>
  <si>
    <t>Janelyn Nichols</t>
  </si>
  <si>
    <t>XXXXXX</t>
  </si>
  <si>
    <t>Sue Gier</t>
  </si>
  <si>
    <t>Michael Heiland</t>
  </si>
  <si>
    <t>John Leis</t>
  </si>
  <si>
    <t>John Webber</t>
  </si>
  <si>
    <t>Jesse Frazier</t>
  </si>
  <si>
    <t>Andy Puckett</t>
  </si>
  <si>
    <t>Spencer Scott</t>
  </si>
  <si>
    <t>Randy Lix</t>
  </si>
  <si>
    <t>Herman Royce Droste</t>
  </si>
  <si>
    <t>Deborah Droste</t>
  </si>
  <si>
    <t>Joshua Geracke</t>
  </si>
  <si>
    <t>Toby Scott</t>
  </si>
  <si>
    <t>Noel Stiles</t>
  </si>
  <si>
    <t>Timmy Turner</t>
  </si>
  <si>
    <t>Danny Fenton</t>
  </si>
  <si>
    <t>Benjamin Holt</t>
  </si>
  <si>
    <t>Joe Perry</t>
  </si>
  <si>
    <t>Doug Burke</t>
  </si>
  <si>
    <t>Rick Heeke</t>
  </si>
  <si>
    <t>Allen Heinz</t>
  </si>
  <si>
    <t>None</t>
  </si>
  <si>
    <t>Jenay Burch</t>
  </si>
  <si>
    <t>Nicholas Welch</t>
  </si>
  <si>
    <t>Greg Werner</t>
  </si>
  <si>
    <t>LaVern Stein</t>
  </si>
  <si>
    <t>Pat Heeke</t>
  </si>
  <si>
    <t>Wyatt Wayne Earl</t>
  </si>
  <si>
    <t>Norbert Stecker</t>
  </si>
  <si>
    <t>Kevin Stein</t>
  </si>
  <si>
    <t>NA</t>
  </si>
  <si>
    <t>Jill Vierthaler</t>
  </si>
  <si>
    <t>Michael Webster</t>
  </si>
  <si>
    <t>Keith Connelly</t>
  </si>
  <si>
    <t>Clayton Stein</t>
  </si>
  <si>
    <t>Joseph Sanchez</t>
  </si>
  <si>
    <t>Dusty Crockett</t>
  </si>
  <si>
    <t>Morgan Konrade</t>
  </si>
  <si>
    <t>Unknown</t>
  </si>
  <si>
    <t>Mike Hitz</t>
  </si>
  <si>
    <t>Cole Stephenson</t>
  </si>
  <si>
    <t>Micky Mouse</t>
  </si>
  <si>
    <t>Jeremy Pruitt</t>
  </si>
  <si>
    <t>Brad Ackerman</t>
  </si>
  <si>
    <t>N-A</t>
  </si>
  <si>
    <t>Casey Rynerson</t>
  </si>
  <si>
    <t>Jason Sanko</t>
  </si>
  <si>
    <t>Kurt Israel</t>
  </si>
  <si>
    <t>Norbert Linnebur</t>
  </si>
  <si>
    <t>IDK</t>
  </si>
  <si>
    <t>Kendra Firkins</t>
  </si>
  <si>
    <t>AJ Hrton</t>
  </si>
  <si>
    <t>Jacob Wheaton</t>
  </si>
  <si>
    <t>George Schulte</t>
  </si>
  <si>
    <t>Bonnie Laudick</t>
  </si>
  <si>
    <t>Kevin Mages</t>
  </si>
  <si>
    <t>Wyatt Wayne</t>
  </si>
  <si>
    <t>Kreg Fagen</t>
  </si>
  <si>
    <t>Kent Correll</t>
  </si>
  <si>
    <t>Jeff Hubbell</t>
  </si>
  <si>
    <t>Frank Mages</t>
  </si>
  <si>
    <t>Carmen Nau</t>
  </si>
  <si>
    <t>Piper</t>
  </si>
  <si>
    <t>Dean Nau</t>
  </si>
  <si>
    <t>Steve</t>
  </si>
  <si>
    <t>John Holman</t>
  </si>
  <si>
    <t>Josh  Hayes</t>
  </si>
  <si>
    <t>Ron Temaat</t>
  </si>
  <si>
    <t>Matthias Konda</t>
  </si>
  <si>
    <t>Caleb Rhodes</t>
  </si>
  <si>
    <t>Kevin Sprott</t>
  </si>
  <si>
    <t>Gayla Kirmer</t>
  </si>
  <si>
    <t>John Hussey</t>
  </si>
  <si>
    <t>Kevin Heeke</t>
  </si>
  <si>
    <t>Angel Romero</t>
  </si>
  <si>
    <t>Angel dePaz</t>
  </si>
  <si>
    <t>Chad Kerr</t>
  </si>
  <si>
    <t>Ken Snook</t>
  </si>
  <si>
    <t>Acosta-Robles</t>
  </si>
  <si>
    <t xml:space="preserve">Chris M. Garrity/Cody L. Ballard </t>
  </si>
  <si>
    <t xml:space="preserve">Future Madam Potus/Jessica C. Kennedy </t>
  </si>
  <si>
    <t>Shiva Ayyadurai/Crystal Ellis</t>
  </si>
  <si>
    <t xml:space="preserve">Douglas A. Bell/Sarah E. Bell </t>
  </si>
  <si>
    <t>President R. Boddie/Eric C. Stoneham</t>
  </si>
  <si>
    <t xml:space="preserve">Paij J. Boring/Journey Rutschman </t>
  </si>
  <si>
    <t>Claudia De la Cruz/Karina Garcia</t>
  </si>
  <si>
    <t>John R. Gibb, Jr./Tony Jones</t>
  </si>
  <si>
    <t xml:space="preserve">Doug H. Jenkins/Kimberly A. Lalonde </t>
  </si>
  <si>
    <t>Andre' R. McNeil/Roschelle D. McNeil</t>
  </si>
  <si>
    <t xml:space="preserve">Peter A. Sonski/Lauren M.Onak </t>
  </si>
  <si>
    <t>Ajay Sood/Richard Mende</t>
  </si>
  <si>
    <t>Jill Stein/Ware Rudolph</t>
  </si>
  <si>
    <t>Cornel West/Melina Abdullah</t>
  </si>
  <si>
    <t>Mike Offerle</t>
  </si>
  <si>
    <t>Douglas Amelia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</si>
</sst>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1"/>
      <color rgb="FFFF0000"/>
      <name val="Calibri"/>
      <family val="2"/>
      <scheme val="minor"/>
    </font>
    <font>
      <sz val="9"/>
      <color theme="1"/>
      <name val="Calibri"/>
      <family val="2"/>
      <scheme val="minor"/>
    </font>
    <font>
      <sz val="8"/>
      <color theme="1"/>
      <name val="Calibri"/>
      <family val="2"/>
      <scheme val="minor"/>
    </font>
    <font>
      <b/>
      <sz val="11"/>
      <color theme="1"/>
      <name val="Calibri"/>
      <family val="2"/>
      <scheme val="minor"/>
    </font>
    <font>
      <u/>
      <sz val="11"/>
      <color theme="1"/>
      <name val="Calibri"/>
      <family val="2"/>
      <scheme val="minor"/>
    </font>
    <font>
      <b/>
      <sz val="10"/>
      <color theme="1"/>
      <name val="Calibri"/>
      <family val="2"/>
      <scheme val="minor"/>
    </font>
    <font>
      <sz val="10"/>
      <color theme="1"/>
      <name val="Calibri"/>
      <family val="2"/>
      <scheme val="minor"/>
    </font>
    <font>
      <b/>
      <sz val="9"/>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right/>
      <top/>
      <bottom style="medium">
        <color indexed="64"/>
      </bottom>
      <diagonal/>
    </border>
  </borders>
  <cellStyleXfs count="1">
    <xf numFmtId="0" fontId="0" fillId="0" borderId="0"/>
  </cellStyleXfs>
  <cellXfs count="68">
    <xf numFmtId="0" fontId="0" fillId="0" borderId="0" xfId="0"/>
    <xf numFmtId="0" fontId="2" fillId="0" borderId="0" xfId="0" applyFont="1"/>
    <xf numFmtId="0" fontId="0" fillId="0" borderId="0" xfId="0" applyAlignment="1">
      <alignment horizontal="center" vertical="center"/>
    </xf>
    <xf numFmtId="0" fontId="0" fillId="2" borderId="0" xfId="0" applyFill="1"/>
    <xf numFmtId="0" fontId="4" fillId="0" borderId="0" xfId="0" applyFont="1"/>
    <xf numFmtId="0" fontId="4" fillId="0" borderId="1" xfId="0" applyFont="1" applyBorder="1"/>
    <xf numFmtId="0" fontId="0" fillId="0" borderId="1" xfId="0" applyBorder="1"/>
    <xf numFmtId="0" fontId="5" fillId="0" borderId="1" xfId="0" applyFont="1" applyBorder="1"/>
    <xf numFmtId="0" fontId="6" fillId="2" borderId="0" xfId="0" applyFont="1" applyFill="1"/>
    <xf numFmtId="0" fontId="2" fillId="0" borderId="0" xfId="0" applyFont="1" applyAlignment="1">
      <alignment textRotation="90"/>
    </xf>
    <xf numFmtId="0" fontId="0" fillId="0" borderId="0" xfId="0" applyAlignment="1">
      <alignment textRotation="90"/>
    </xf>
    <xf numFmtId="0" fontId="2" fillId="0" borderId="0" xfId="0" applyFont="1" applyFill="1" applyBorder="1" applyAlignment="1">
      <alignment textRotation="90"/>
    </xf>
    <xf numFmtId="0" fontId="0" fillId="0" borderId="0" xfId="0" applyAlignment="1">
      <alignment horizontal="center"/>
    </xf>
    <xf numFmtId="0" fontId="3" fillId="0" borderId="0" xfId="0" applyFont="1" applyAlignment="1">
      <alignment textRotation="90"/>
    </xf>
    <xf numFmtId="0" fontId="2" fillId="0" borderId="0" xfId="0" applyFont="1" applyAlignment="1">
      <alignment horizontal="center" textRotation="90"/>
    </xf>
    <xf numFmtId="0" fontId="7" fillId="2" borderId="0" xfId="0" applyFont="1" applyFill="1"/>
    <xf numFmtId="0" fontId="0" fillId="0" borderId="0" xfId="0" applyFont="1" applyFill="1"/>
    <xf numFmtId="0" fontId="0" fillId="0" borderId="0" xfId="0"/>
    <xf numFmtId="0" fontId="0" fillId="0" borderId="0" xfId="0" applyAlignment="1">
      <alignment horizontal="center"/>
    </xf>
    <xf numFmtId="0" fontId="0" fillId="2" borderId="0" xfId="0" applyFill="1" applyAlignment="1">
      <alignment horizontal="center"/>
    </xf>
    <xf numFmtId="0" fontId="0" fillId="0" borderId="1" xfId="0" applyBorder="1" applyAlignment="1">
      <alignment horizontal="center"/>
    </xf>
    <xf numFmtId="0" fontId="0" fillId="0" borderId="0" xfId="0"/>
    <xf numFmtId="0" fontId="0" fillId="0" borderId="0" xfId="0"/>
    <xf numFmtId="0" fontId="0" fillId="0" borderId="0" xfId="0" applyFont="1"/>
    <xf numFmtId="0" fontId="0" fillId="2" borderId="0" xfId="0" applyFont="1" applyFill="1"/>
    <xf numFmtId="0" fontId="0" fillId="0" borderId="0" xfId="0"/>
    <xf numFmtId="0" fontId="0" fillId="0" borderId="0" xfId="0" applyAlignment="1">
      <alignment horizontal="center"/>
    </xf>
    <xf numFmtId="0" fontId="8" fillId="0" borderId="0" xfId="0" applyFont="1" applyAlignment="1">
      <alignment textRotation="90"/>
    </xf>
    <xf numFmtId="0" fontId="1" fillId="0" borderId="0" xfId="0" applyFont="1" applyAlignment="1">
      <alignment textRotation="90"/>
    </xf>
    <xf numFmtId="0" fontId="0" fillId="0" borderId="0" xfId="0" applyAlignment="1">
      <alignment horizontal="center"/>
    </xf>
    <xf numFmtId="0" fontId="0" fillId="0" borderId="0" xfId="0"/>
    <xf numFmtId="0" fontId="4" fillId="0" borderId="0" xfId="0" applyFont="1" applyAlignment="1">
      <alignment textRotation="90"/>
    </xf>
    <xf numFmtId="0" fontId="8" fillId="0" borderId="0" xfId="0" applyFont="1" applyFill="1" applyBorder="1" applyAlignment="1">
      <alignment textRotation="90"/>
    </xf>
    <xf numFmtId="0" fontId="8" fillId="0" borderId="0" xfId="0" applyFont="1" applyAlignment="1">
      <alignment horizontal="center" textRotation="90"/>
    </xf>
    <xf numFmtId="0" fontId="4" fillId="0" borderId="0" xfId="0" applyFont="1" applyAlignment="1">
      <alignment horizontal="left" vertical="center"/>
    </xf>
    <xf numFmtId="0" fontId="6" fillId="2" borderId="0" xfId="0" applyFont="1" applyFill="1" applyAlignment="1">
      <alignment horizontal="left" vertical="center"/>
    </xf>
    <xf numFmtId="0" fontId="4" fillId="2" borderId="0" xfId="0" applyFont="1" applyFill="1" applyAlignment="1">
      <alignment horizontal="left" vertical="center"/>
    </xf>
    <xf numFmtId="0" fontId="0" fillId="0" borderId="0" xfId="0" applyFont="1" applyFill="1" applyAlignment="1">
      <alignment horizontal="left" vertical="center"/>
    </xf>
    <xf numFmtId="0" fontId="0" fillId="0" borderId="0" xfId="0" applyAlignment="1">
      <alignment horizontal="left" vertical="center"/>
    </xf>
    <xf numFmtId="0" fontId="4" fillId="0" borderId="0" xfId="0" applyFont="1" applyAlignment="1">
      <alignment horizontal="left"/>
    </xf>
    <xf numFmtId="1" fontId="0" fillId="0" borderId="0" xfId="0" applyNumberFormat="1"/>
    <xf numFmtId="1" fontId="0" fillId="0" borderId="0" xfId="0" applyNumberFormat="1" applyFont="1"/>
    <xf numFmtId="1" fontId="0" fillId="0" borderId="0" xfId="0" applyNumberFormat="1" applyFont="1" applyAlignment="1">
      <alignment horizontal="center"/>
    </xf>
    <xf numFmtId="1" fontId="0" fillId="0" borderId="0" xfId="0" applyNumberFormat="1" applyFont="1" applyFill="1"/>
    <xf numFmtId="0" fontId="4" fillId="0" borderId="0" xfId="0" applyFont="1" applyAlignment="1">
      <alignment horizontal="center" vertical="center"/>
    </xf>
    <xf numFmtId="0" fontId="4" fillId="0" borderId="0" xfId="0" applyFont="1" applyFill="1" applyAlignment="1">
      <alignment horizontal="center" vertical="center"/>
    </xf>
    <xf numFmtId="0" fontId="2" fillId="0" borderId="0" xfId="0" applyFont="1" applyAlignment="1">
      <alignment horizontal="center" textRotation="90"/>
    </xf>
    <xf numFmtId="0" fontId="0" fillId="0" borderId="0" xfId="0" applyFont="1" applyFill="1" applyAlignment="1">
      <alignment horizontal="center"/>
    </xf>
    <xf numFmtId="0" fontId="2" fillId="0" borderId="0" xfId="0" applyFont="1" applyAlignment="1">
      <alignment horizontal="center" textRotation="90"/>
    </xf>
    <xf numFmtId="0" fontId="0" fillId="2" borderId="0" xfId="0" applyFont="1" applyFill="1" applyAlignment="1">
      <alignment horizontal="center"/>
    </xf>
    <xf numFmtId="0" fontId="0" fillId="0" borderId="0" xfId="0" applyFont="1" applyAlignment="1">
      <alignment horizontal="center"/>
    </xf>
    <xf numFmtId="0" fontId="6" fillId="2" borderId="0" xfId="0" applyFont="1" applyFill="1" applyAlignment="1">
      <alignment horizontal="left" vertical="center" wrapText="1"/>
    </xf>
    <xf numFmtId="0" fontId="4" fillId="0" borderId="0" xfId="0" applyFont="1" applyFill="1"/>
    <xf numFmtId="0" fontId="0" fillId="0" borderId="0" xfId="0" applyAlignment="1">
      <alignment horizontal="center"/>
    </xf>
    <xf numFmtId="0" fontId="4" fillId="0" borderId="0" xfId="0" applyFont="1" applyFill="1" applyAlignment="1">
      <alignment horizontal="left" vertical="center"/>
    </xf>
    <xf numFmtId="0" fontId="4" fillId="0" borderId="0" xfId="0" applyFont="1" applyFill="1" applyAlignment="1">
      <alignment horizontal="center"/>
    </xf>
    <xf numFmtId="1" fontId="4" fillId="0" borderId="0" xfId="0" applyNumberFormat="1" applyFont="1"/>
    <xf numFmtId="1" fontId="4" fillId="0" borderId="0" xfId="0" applyNumberFormat="1" applyFont="1" applyAlignment="1">
      <alignment horizontal="center"/>
    </xf>
    <xf numFmtId="1" fontId="4" fillId="0" borderId="0" xfId="0" applyNumberFormat="1" applyFont="1" applyFill="1"/>
    <xf numFmtId="0" fontId="4" fillId="0" borderId="0" xfId="0" applyFont="1" applyAlignment="1">
      <alignment horizontal="center"/>
    </xf>
    <xf numFmtId="0" fontId="0" fillId="0" borderId="0" xfId="0" applyFont="1" applyFill="1" applyAlignment="1">
      <alignment horizontal="right"/>
    </xf>
    <xf numFmtId="0" fontId="2" fillId="0" borderId="0" xfId="0" applyFont="1" applyAlignment="1">
      <alignment textRotation="90"/>
    </xf>
    <xf numFmtId="0" fontId="0" fillId="0" borderId="0" xfId="0" applyAlignment="1">
      <alignment horizontal="center" vertical="top"/>
    </xf>
    <xf numFmtId="0" fontId="0" fillId="0" borderId="0" xfId="0" applyAlignment="1">
      <alignment horizontal="center"/>
    </xf>
    <xf numFmtId="0" fontId="2" fillId="0" borderId="0" xfId="0" applyFont="1" applyAlignment="1">
      <alignment horizontal="center" textRotation="90"/>
    </xf>
    <xf numFmtId="0" fontId="0" fillId="0" borderId="0" xfId="0" applyAlignment="1">
      <alignment textRotation="90"/>
    </xf>
    <xf numFmtId="0" fontId="2" fillId="0" borderId="0" xfId="0" applyFont="1" applyFill="1" applyBorder="1" applyAlignment="1">
      <alignment textRotation="90"/>
    </xf>
    <xf numFmtId="0" fontId="3" fillId="0" borderId="0" xfId="0" applyFont="1" applyAlignment="1">
      <alignment textRotation="9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W285"/>
  <sheetViews>
    <sheetView tabSelected="1" topLeftCell="A250" zoomScale="118" zoomScaleNormal="118" zoomScaleSheetLayoutView="100" workbookViewId="0">
      <selection activeCell="M266" sqref="M266"/>
    </sheetView>
  </sheetViews>
  <sheetFormatPr defaultRowHeight="15" x14ac:dyDescent="0.25"/>
  <cols>
    <col min="1" max="1" width="33.7109375" style="38" customWidth="1"/>
    <col min="2" max="2" width="4.140625" style="50" customWidth="1"/>
    <col min="3" max="3" width="4.140625" style="23" customWidth="1"/>
    <col min="4" max="6" width="4.28515625" style="30" customWidth="1"/>
    <col min="7" max="7" width="4.28515625" style="29" customWidth="1"/>
    <col min="8" max="9" width="5.28515625" style="30" customWidth="1"/>
    <col min="10" max="20" width="4.28515625" style="30" customWidth="1"/>
    <col min="21" max="21" width="4.28515625" style="30" hidden="1" customWidth="1"/>
    <col min="22" max="35" width="4.28515625" style="30" customWidth="1"/>
    <col min="36" max="36" width="4.28515625" style="23" customWidth="1"/>
    <col min="37" max="39" width="4.28515625" style="30" customWidth="1"/>
    <col min="40" max="45" width="4.140625" style="23" customWidth="1"/>
    <col min="46" max="46" width="5.7109375" style="23" customWidth="1"/>
  </cols>
  <sheetData>
    <row r="1" spans="1:49" s="30" customFormat="1" ht="123" x14ac:dyDescent="0.25">
      <c r="A1" s="39" t="s">
        <v>0</v>
      </c>
      <c r="B1" s="33"/>
      <c r="C1" s="33" t="s">
        <v>176</v>
      </c>
      <c r="D1" s="27" t="s">
        <v>177</v>
      </c>
      <c r="E1" s="27" t="s">
        <v>178</v>
      </c>
      <c r="F1" s="27" t="s">
        <v>179</v>
      </c>
      <c r="G1" s="27" t="s">
        <v>180</v>
      </c>
      <c r="H1" s="33" t="s">
        <v>181</v>
      </c>
      <c r="I1" s="33" t="s">
        <v>182</v>
      </c>
      <c r="J1" s="33" t="s">
        <v>183</v>
      </c>
      <c r="K1" s="33" t="s">
        <v>184</v>
      </c>
      <c r="L1" s="33" t="s">
        <v>185</v>
      </c>
      <c r="M1" s="33" t="s">
        <v>186</v>
      </c>
      <c r="N1" s="33" t="s">
        <v>187</v>
      </c>
      <c r="O1" s="33" t="s">
        <v>188</v>
      </c>
      <c r="P1" s="33" t="s">
        <v>189</v>
      </c>
      <c r="Q1" s="33" t="s">
        <v>190</v>
      </c>
      <c r="R1" s="33" t="s">
        <v>5</v>
      </c>
      <c r="S1" s="33" t="s">
        <v>13</v>
      </c>
      <c r="T1" s="33" t="s">
        <v>32</v>
      </c>
      <c r="U1" s="33" t="s">
        <v>3</v>
      </c>
      <c r="V1" s="33" t="s">
        <v>3</v>
      </c>
      <c r="W1" s="33" t="s">
        <v>4</v>
      </c>
      <c r="X1" s="33" t="s">
        <v>6</v>
      </c>
      <c r="Y1" s="33" t="s">
        <v>214</v>
      </c>
      <c r="Z1" s="33" t="s">
        <v>215</v>
      </c>
      <c r="AA1" s="33" t="s">
        <v>216</v>
      </c>
      <c r="AB1" s="33" t="s">
        <v>191</v>
      </c>
      <c r="AC1" s="33" t="s">
        <v>217</v>
      </c>
      <c r="AD1" s="33" t="s">
        <v>218</v>
      </c>
      <c r="AE1" s="33" t="s">
        <v>219</v>
      </c>
      <c r="AF1" s="33" t="s">
        <v>220</v>
      </c>
      <c r="AG1" s="33" t="s">
        <v>11</v>
      </c>
      <c r="AH1" s="33" t="s">
        <v>12</v>
      </c>
      <c r="AI1" s="33" t="s">
        <v>221</v>
      </c>
      <c r="AJ1" s="33" t="s">
        <v>222</v>
      </c>
      <c r="AK1" s="33" t="s">
        <v>223</v>
      </c>
      <c r="AL1" s="33" t="s">
        <v>224</v>
      </c>
      <c r="AM1" s="33" t="s">
        <v>225</v>
      </c>
      <c r="AN1" s="33" t="s">
        <v>28</v>
      </c>
      <c r="AO1" s="33" t="s">
        <v>29</v>
      </c>
      <c r="AP1" s="33" t="s">
        <v>30</v>
      </c>
      <c r="AQ1" s="33" t="s">
        <v>31</v>
      </c>
      <c r="AR1" s="33" t="s">
        <v>33</v>
      </c>
      <c r="AS1" s="33" t="s">
        <v>34</v>
      </c>
      <c r="AT1" s="33" t="s">
        <v>35</v>
      </c>
      <c r="AU1" s="27"/>
      <c r="AV1" s="28"/>
    </row>
    <row r="2" spans="1:49" s="30" customFormat="1" ht="16.5" customHeight="1" x14ac:dyDescent="0.25">
      <c r="A2" s="34" t="s">
        <v>1</v>
      </c>
      <c r="B2" s="48"/>
      <c r="C2" s="46"/>
      <c r="D2" s="27"/>
      <c r="E2" s="27"/>
      <c r="F2" s="27"/>
      <c r="G2" s="33"/>
      <c r="H2" s="27"/>
      <c r="I2" s="27"/>
      <c r="J2" s="27"/>
      <c r="K2" s="27"/>
      <c r="L2" s="27"/>
      <c r="M2" s="27"/>
      <c r="N2" s="27"/>
      <c r="O2" s="27"/>
      <c r="P2" s="27"/>
      <c r="Q2" s="27"/>
      <c r="R2" s="27"/>
      <c r="S2" s="27"/>
      <c r="T2" s="27"/>
      <c r="U2" s="27"/>
      <c r="V2" s="27"/>
      <c r="W2" s="27"/>
      <c r="X2" s="27"/>
      <c r="Y2" s="32"/>
      <c r="Z2" s="32"/>
      <c r="AA2" s="32"/>
      <c r="AB2" s="32"/>
      <c r="AC2" s="32"/>
      <c r="AD2" s="27"/>
      <c r="AE2" s="27"/>
      <c r="AF2" s="27"/>
      <c r="AG2" s="27"/>
      <c r="AH2" s="27"/>
      <c r="AI2" s="27"/>
      <c r="AJ2" s="31"/>
      <c r="AK2" s="27"/>
      <c r="AL2" s="27"/>
      <c r="AM2" s="27"/>
      <c r="AN2" s="48"/>
      <c r="AO2" s="48"/>
      <c r="AP2" s="48"/>
      <c r="AQ2" s="48"/>
      <c r="AR2" s="48"/>
      <c r="AS2" s="48"/>
      <c r="AT2" s="48"/>
    </row>
    <row r="3" spans="1:49" s="3" customFormat="1" ht="25.5" x14ac:dyDescent="0.25">
      <c r="A3" s="51" t="s">
        <v>230</v>
      </c>
      <c r="B3" s="49"/>
      <c r="C3" s="24"/>
      <c r="G3" s="19"/>
      <c r="AJ3" s="24"/>
      <c r="AN3" s="24"/>
      <c r="AO3" s="24"/>
      <c r="AP3" s="24"/>
      <c r="AQ3" s="24"/>
      <c r="AR3" s="24"/>
      <c r="AS3" s="24"/>
      <c r="AT3" s="24"/>
    </row>
    <row r="4" spans="1:49" s="23" customFormat="1" x14ac:dyDescent="0.25">
      <c r="A4" s="37" t="s">
        <v>231</v>
      </c>
      <c r="B4" s="47" t="s">
        <v>79</v>
      </c>
      <c r="C4" s="16">
        <f>2+134</f>
        <v>136</v>
      </c>
      <c r="D4" s="41">
        <v>127</v>
      </c>
      <c r="E4" s="41">
        <f>1+162</f>
        <v>163</v>
      </c>
      <c r="F4" s="41">
        <f>2+244</f>
        <v>246</v>
      </c>
      <c r="G4" s="42">
        <v>8</v>
      </c>
      <c r="H4" s="41">
        <f>4+345</f>
        <v>349</v>
      </c>
      <c r="I4" s="41">
        <f>2+410</f>
        <v>412</v>
      </c>
      <c r="J4" s="41">
        <f>3+310</f>
        <v>313</v>
      </c>
      <c r="K4" s="41">
        <v>185</v>
      </c>
      <c r="L4" s="41">
        <v>69</v>
      </c>
      <c r="M4" s="41">
        <v>6</v>
      </c>
      <c r="N4" s="41">
        <v>0</v>
      </c>
      <c r="O4" s="41">
        <v>0</v>
      </c>
      <c r="P4" s="41">
        <v>13</v>
      </c>
      <c r="Q4" s="41">
        <v>1</v>
      </c>
      <c r="R4" s="41">
        <v>37</v>
      </c>
      <c r="S4" s="41">
        <v>11</v>
      </c>
      <c r="T4" s="41">
        <f>1+78</f>
        <v>79</v>
      </c>
      <c r="U4" s="41"/>
      <c r="V4" s="41">
        <v>1</v>
      </c>
      <c r="W4" s="41">
        <v>4</v>
      </c>
      <c r="X4" s="41">
        <v>6</v>
      </c>
      <c r="Y4" s="41">
        <f>3+43</f>
        <v>46</v>
      </c>
      <c r="Z4" s="41">
        <v>11</v>
      </c>
      <c r="AA4" s="41">
        <v>0</v>
      </c>
      <c r="AB4" s="41">
        <v>4</v>
      </c>
      <c r="AC4" s="41">
        <v>2</v>
      </c>
      <c r="AD4" s="41">
        <v>6</v>
      </c>
      <c r="AE4" s="41">
        <f>1+62</f>
        <v>63</v>
      </c>
      <c r="AF4" s="41">
        <v>5</v>
      </c>
      <c r="AG4" s="41">
        <v>15</v>
      </c>
      <c r="AH4" s="41">
        <v>6</v>
      </c>
      <c r="AI4" s="41">
        <f>1+25</f>
        <v>26</v>
      </c>
      <c r="AJ4" s="43">
        <v>0</v>
      </c>
      <c r="AK4" s="41">
        <v>1</v>
      </c>
      <c r="AL4" s="43">
        <v>0</v>
      </c>
      <c r="AM4" s="43">
        <v>5</v>
      </c>
      <c r="AN4" s="43">
        <v>53</v>
      </c>
      <c r="AO4" s="43">
        <v>27</v>
      </c>
      <c r="AP4" s="43">
        <v>4</v>
      </c>
      <c r="AQ4" s="43">
        <v>8</v>
      </c>
      <c r="AR4" s="43">
        <v>7</v>
      </c>
      <c r="AS4" s="43">
        <v>6</v>
      </c>
      <c r="AT4" s="43">
        <f>SUM(C4:AS4)</f>
        <v>2461</v>
      </c>
    </row>
    <row r="5" spans="1:49" s="4" customFormat="1" x14ac:dyDescent="0.25">
      <c r="A5" s="54" t="s">
        <v>232</v>
      </c>
      <c r="B5" s="55" t="s">
        <v>80</v>
      </c>
      <c r="C5" s="52">
        <f>3+213</f>
        <v>216</v>
      </c>
      <c r="D5" s="56">
        <f>2+135</f>
        <v>137</v>
      </c>
      <c r="E5" s="56">
        <v>205</v>
      </c>
      <c r="F5" s="56">
        <f>1+229</f>
        <v>230</v>
      </c>
      <c r="G5" s="57">
        <v>24</v>
      </c>
      <c r="H5" s="56">
        <f>1+460</f>
        <v>461</v>
      </c>
      <c r="I5" s="56">
        <f>4+818</f>
        <v>822</v>
      </c>
      <c r="J5" s="56">
        <f>1+700</f>
        <v>701</v>
      </c>
      <c r="K5" s="56">
        <v>439</v>
      </c>
      <c r="L5" s="56">
        <v>168</v>
      </c>
      <c r="M5" s="56">
        <v>5</v>
      </c>
      <c r="N5" s="56">
        <v>0</v>
      </c>
      <c r="O5" s="56">
        <v>9</v>
      </c>
      <c r="P5" s="56">
        <v>43</v>
      </c>
      <c r="Q5" s="56">
        <v>0</v>
      </c>
      <c r="R5" s="56">
        <f>1+292</f>
        <v>293</v>
      </c>
      <c r="S5" s="56">
        <v>67</v>
      </c>
      <c r="T5" s="56">
        <v>329</v>
      </c>
      <c r="U5" s="56"/>
      <c r="V5" s="56">
        <v>37</v>
      </c>
      <c r="W5" s="56">
        <v>45</v>
      </c>
      <c r="X5" s="56">
        <v>45</v>
      </c>
      <c r="Y5" s="56">
        <v>166</v>
      </c>
      <c r="Z5" s="56">
        <v>35</v>
      </c>
      <c r="AA5" s="56">
        <v>1</v>
      </c>
      <c r="AB5" s="56">
        <v>10</v>
      </c>
      <c r="AC5" s="56">
        <v>11</v>
      </c>
      <c r="AD5" s="56">
        <f>1+17</f>
        <v>18</v>
      </c>
      <c r="AE5" s="56">
        <f>6+129</f>
        <v>135</v>
      </c>
      <c r="AF5" s="56">
        <v>3</v>
      </c>
      <c r="AG5" s="56">
        <f>1+105</f>
        <v>106</v>
      </c>
      <c r="AH5" s="56">
        <v>72</v>
      </c>
      <c r="AI5" s="56">
        <v>164</v>
      </c>
      <c r="AJ5" s="58">
        <v>0</v>
      </c>
      <c r="AK5" s="56">
        <v>10</v>
      </c>
      <c r="AL5" s="58">
        <v>1</v>
      </c>
      <c r="AM5" s="58">
        <v>13</v>
      </c>
      <c r="AN5" s="58">
        <v>162</v>
      </c>
      <c r="AO5" s="58">
        <f>1+110</f>
        <v>111</v>
      </c>
      <c r="AP5" s="58">
        <v>43</v>
      </c>
      <c r="AQ5" s="58">
        <v>185</v>
      </c>
      <c r="AR5" s="58">
        <f>2+62</f>
        <v>64</v>
      </c>
      <c r="AS5" s="58">
        <v>30</v>
      </c>
      <c r="AT5" s="58">
        <f>SUM(C5:AS5)</f>
        <v>5616</v>
      </c>
    </row>
    <row r="6" spans="1:49" s="30" customFormat="1" x14ac:dyDescent="0.25">
      <c r="A6" s="30" t="s">
        <v>233</v>
      </c>
      <c r="B6" s="47" t="s">
        <v>234</v>
      </c>
      <c r="C6" s="16">
        <v>1</v>
      </c>
      <c r="D6" s="40">
        <v>0</v>
      </c>
      <c r="E6" s="41">
        <v>1</v>
      </c>
      <c r="F6" s="41">
        <v>1</v>
      </c>
      <c r="G6" s="42">
        <v>0</v>
      </c>
      <c r="H6" s="41">
        <v>0</v>
      </c>
      <c r="I6" s="41">
        <v>10</v>
      </c>
      <c r="J6" s="41">
        <f>1+4</f>
        <v>5</v>
      </c>
      <c r="K6" s="41">
        <v>2</v>
      </c>
      <c r="L6" s="41">
        <v>1</v>
      </c>
      <c r="M6" s="41">
        <v>0</v>
      </c>
      <c r="N6" s="41">
        <v>0</v>
      </c>
      <c r="O6" s="41">
        <v>0</v>
      </c>
      <c r="P6" s="41">
        <v>0</v>
      </c>
      <c r="Q6" s="41">
        <v>0</v>
      </c>
      <c r="R6" s="41">
        <v>2</v>
      </c>
      <c r="S6" s="41">
        <v>0</v>
      </c>
      <c r="T6" s="41">
        <v>3</v>
      </c>
      <c r="U6" s="41"/>
      <c r="V6" s="41">
        <v>0</v>
      </c>
      <c r="W6" s="41">
        <v>0</v>
      </c>
      <c r="X6" s="41">
        <v>1</v>
      </c>
      <c r="Y6" s="41">
        <v>1</v>
      </c>
      <c r="Z6" s="41">
        <v>0</v>
      </c>
      <c r="AA6" s="41">
        <v>0</v>
      </c>
      <c r="AB6" s="41">
        <v>0</v>
      </c>
      <c r="AC6" s="41">
        <v>0</v>
      </c>
      <c r="AD6" s="41">
        <v>0</v>
      </c>
      <c r="AE6" s="41">
        <v>1</v>
      </c>
      <c r="AF6" s="41">
        <v>0</v>
      </c>
      <c r="AG6" s="41">
        <v>0</v>
      </c>
      <c r="AH6" s="41">
        <v>1</v>
      </c>
      <c r="AI6" s="41">
        <v>0</v>
      </c>
      <c r="AJ6" s="41">
        <v>0</v>
      </c>
      <c r="AK6" s="43">
        <v>0</v>
      </c>
      <c r="AL6" s="41">
        <v>0</v>
      </c>
      <c r="AM6" s="43">
        <v>0</v>
      </c>
      <c r="AN6" s="43">
        <v>0</v>
      </c>
      <c r="AO6" s="43">
        <v>0</v>
      </c>
      <c r="AP6" s="43">
        <v>0</v>
      </c>
      <c r="AQ6" s="43">
        <v>1</v>
      </c>
      <c r="AR6" s="43">
        <v>0</v>
      </c>
      <c r="AS6" s="43">
        <v>0</v>
      </c>
      <c r="AT6" s="43">
        <f>SUM(C6:AS6)</f>
        <v>31</v>
      </c>
      <c r="AU6" s="43"/>
      <c r="AV6" s="43"/>
      <c r="AW6" s="40"/>
    </row>
    <row r="7" spans="1:49" s="30" customFormat="1" x14ac:dyDescent="0.25">
      <c r="A7" s="30" t="s">
        <v>235</v>
      </c>
      <c r="B7" s="47" t="s">
        <v>248</v>
      </c>
      <c r="C7" s="16">
        <v>5</v>
      </c>
      <c r="D7" s="40">
        <v>3</v>
      </c>
      <c r="E7" s="41">
        <v>6</v>
      </c>
      <c r="F7" s="41">
        <v>10</v>
      </c>
      <c r="G7" s="42">
        <v>0</v>
      </c>
      <c r="H7" s="41">
        <v>7</v>
      </c>
      <c r="I7" s="41">
        <v>28</v>
      </c>
      <c r="J7" s="41">
        <f>1+15</f>
        <v>16</v>
      </c>
      <c r="K7" s="41">
        <v>12</v>
      </c>
      <c r="L7" s="41">
        <v>1</v>
      </c>
      <c r="M7" s="41">
        <v>0</v>
      </c>
      <c r="N7" s="41">
        <v>0</v>
      </c>
      <c r="O7" s="41">
        <v>0</v>
      </c>
      <c r="P7" s="41">
        <v>1</v>
      </c>
      <c r="Q7" s="41">
        <v>0</v>
      </c>
      <c r="R7" s="41">
        <v>3</v>
      </c>
      <c r="S7" s="41">
        <v>1</v>
      </c>
      <c r="T7" s="41">
        <v>1</v>
      </c>
      <c r="U7" s="41"/>
      <c r="V7" s="41">
        <v>1</v>
      </c>
      <c r="W7" s="41">
        <v>1</v>
      </c>
      <c r="X7" s="41">
        <v>0</v>
      </c>
      <c r="Y7" s="41">
        <v>1</v>
      </c>
      <c r="Z7" s="41">
        <v>0</v>
      </c>
      <c r="AA7" s="41">
        <v>0</v>
      </c>
      <c r="AB7" s="41">
        <v>0</v>
      </c>
      <c r="AC7" s="41">
        <v>0</v>
      </c>
      <c r="AD7" s="41">
        <v>0</v>
      </c>
      <c r="AE7" s="41">
        <v>4</v>
      </c>
      <c r="AF7" s="41">
        <v>0</v>
      </c>
      <c r="AG7" s="41">
        <v>3</v>
      </c>
      <c r="AH7" s="41">
        <v>1</v>
      </c>
      <c r="AI7" s="41">
        <v>2</v>
      </c>
      <c r="AJ7" s="41">
        <v>0</v>
      </c>
      <c r="AK7" s="43">
        <v>0</v>
      </c>
      <c r="AL7" s="41">
        <v>0</v>
      </c>
      <c r="AM7" s="43">
        <v>0</v>
      </c>
      <c r="AN7" s="43">
        <v>3</v>
      </c>
      <c r="AO7" s="43">
        <v>0</v>
      </c>
      <c r="AP7" s="43">
        <v>0</v>
      </c>
      <c r="AQ7" s="43">
        <v>4</v>
      </c>
      <c r="AR7" s="43">
        <v>2</v>
      </c>
      <c r="AS7" s="43">
        <v>0</v>
      </c>
      <c r="AT7" s="43">
        <f>SUM(C7:AS7)</f>
        <v>116</v>
      </c>
      <c r="AU7" s="43"/>
      <c r="AV7" s="43"/>
      <c r="AW7" s="40"/>
    </row>
    <row r="8" spans="1:49" s="16" customFormat="1" x14ac:dyDescent="0.25">
      <c r="A8" s="44" t="s">
        <v>117</v>
      </c>
      <c r="B8" s="47"/>
      <c r="D8" s="41"/>
      <c r="E8" s="41"/>
      <c r="F8" s="41"/>
      <c r="G8" s="42"/>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3"/>
      <c r="AK8" s="41"/>
      <c r="AL8" s="43"/>
      <c r="AM8" s="43"/>
      <c r="AN8" s="43"/>
    </row>
    <row r="9" spans="1:49" s="16" customFormat="1" x14ac:dyDescent="0.25">
      <c r="A9" s="37" t="s">
        <v>338</v>
      </c>
      <c r="B9" s="47"/>
      <c r="D9" s="41"/>
      <c r="E9" s="41"/>
      <c r="F9" s="41"/>
      <c r="G9" s="42"/>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3"/>
      <c r="AK9" s="41"/>
      <c r="AL9" s="43"/>
      <c r="AM9" s="43"/>
      <c r="AT9" s="43">
        <f t="shared" ref="AT9:AT22" si="0">SUM(C9:AS9)</f>
        <v>0</v>
      </c>
    </row>
    <row r="10" spans="1:49" s="16" customFormat="1" x14ac:dyDescent="0.25">
      <c r="A10" s="37" t="s">
        <v>339</v>
      </c>
      <c r="B10" s="47"/>
      <c r="D10" s="41"/>
      <c r="E10" s="41"/>
      <c r="F10" s="41"/>
      <c r="G10" s="42"/>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3"/>
      <c r="AK10" s="41"/>
      <c r="AL10" s="43"/>
      <c r="AM10" s="43"/>
      <c r="AT10" s="43">
        <f t="shared" si="0"/>
        <v>0</v>
      </c>
    </row>
    <row r="11" spans="1:49" s="16" customFormat="1" x14ac:dyDescent="0.25">
      <c r="A11" s="37" t="s">
        <v>340</v>
      </c>
      <c r="B11" s="47"/>
      <c r="D11" s="41"/>
      <c r="E11" s="41"/>
      <c r="F11" s="41"/>
      <c r="G11" s="42"/>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3"/>
      <c r="AK11" s="41"/>
      <c r="AL11" s="43"/>
      <c r="AM11" s="43"/>
      <c r="AT11" s="43">
        <f t="shared" si="0"/>
        <v>0</v>
      </c>
    </row>
    <row r="12" spans="1:49" s="16" customFormat="1" x14ac:dyDescent="0.25">
      <c r="A12" s="37" t="s">
        <v>341</v>
      </c>
      <c r="B12" s="47"/>
      <c r="D12" s="41"/>
      <c r="E12" s="41"/>
      <c r="F12" s="41"/>
      <c r="G12" s="42"/>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3"/>
      <c r="AK12" s="41"/>
      <c r="AL12" s="43"/>
      <c r="AM12" s="43"/>
      <c r="AT12" s="43">
        <f t="shared" si="0"/>
        <v>0</v>
      </c>
    </row>
    <row r="13" spans="1:49" s="16" customFormat="1" x14ac:dyDescent="0.25">
      <c r="A13" s="37" t="s">
        <v>342</v>
      </c>
      <c r="B13" s="47"/>
      <c r="C13" s="16">
        <v>1</v>
      </c>
      <c r="D13" s="41">
        <v>1</v>
      </c>
      <c r="E13" s="41"/>
      <c r="F13" s="41"/>
      <c r="G13" s="42"/>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3"/>
      <c r="AK13" s="41"/>
      <c r="AL13" s="43"/>
      <c r="AM13" s="43"/>
      <c r="AT13" s="43">
        <f t="shared" si="0"/>
        <v>2</v>
      </c>
    </row>
    <row r="14" spans="1:49" s="16" customFormat="1" x14ac:dyDescent="0.25">
      <c r="A14" s="37" t="s">
        <v>336</v>
      </c>
      <c r="B14" s="47"/>
      <c r="D14" s="41"/>
      <c r="E14" s="41"/>
      <c r="F14" s="41"/>
      <c r="G14" s="42"/>
      <c r="H14" s="41"/>
      <c r="I14" s="41"/>
      <c r="J14" s="41"/>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3"/>
      <c r="AK14" s="41"/>
      <c r="AL14" s="43"/>
      <c r="AM14" s="43"/>
      <c r="AT14" s="43">
        <f t="shared" si="0"/>
        <v>0</v>
      </c>
    </row>
    <row r="15" spans="1:49" s="16" customFormat="1" x14ac:dyDescent="0.25">
      <c r="A15" s="37" t="s">
        <v>343</v>
      </c>
      <c r="B15" s="47"/>
      <c r="D15" s="41"/>
      <c r="E15" s="41"/>
      <c r="F15" s="41"/>
      <c r="G15" s="42"/>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3"/>
      <c r="AK15" s="41"/>
      <c r="AL15" s="43"/>
      <c r="AM15" s="43"/>
      <c r="AT15" s="43">
        <f t="shared" si="0"/>
        <v>0</v>
      </c>
    </row>
    <row r="16" spans="1:49" s="16" customFormat="1" x14ac:dyDescent="0.25">
      <c r="A16" s="37" t="s">
        <v>344</v>
      </c>
      <c r="B16" s="47"/>
      <c r="D16" s="41"/>
      <c r="E16" s="41"/>
      <c r="F16" s="41"/>
      <c r="G16" s="42"/>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3"/>
      <c r="AK16" s="41"/>
      <c r="AL16" s="43"/>
      <c r="AM16" s="43"/>
      <c r="AT16" s="43">
        <f t="shared" si="0"/>
        <v>0</v>
      </c>
    </row>
    <row r="17" spans="1:49" s="16" customFormat="1" x14ac:dyDescent="0.25">
      <c r="A17" s="37" t="s">
        <v>345</v>
      </c>
      <c r="B17" s="47"/>
      <c r="D17" s="41"/>
      <c r="E17" s="41"/>
      <c r="F17" s="41"/>
      <c r="G17" s="42"/>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3"/>
      <c r="AK17" s="41"/>
      <c r="AL17" s="43"/>
      <c r="AM17" s="43"/>
      <c r="AT17" s="43">
        <f t="shared" si="0"/>
        <v>0</v>
      </c>
    </row>
    <row r="18" spans="1:49" s="16" customFormat="1" x14ac:dyDescent="0.25">
      <c r="A18" s="37" t="s">
        <v>337</v>
      </c>
      <c r="B18" s="47"/>
      <c r="D18" s="41"/>
      <c r="E18" s="41"/>
      <c r="F18" s="41"/>
      <c r="G18" s="42"/>
      <c r="H18" s="41"/>
      <c r="I18" s="41"/>
      <c r="J18" s="41"/>
      <c r="K18" s="41"/>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3"/>
      <c r="AK18" s="41"/>
      <c r="AL18" s="43"/>
      <c r="AM18" s="43"/>
      <c r="AT18" s="43">
        <f t="shared" si="0"/>
        <v>0</v>
      </c>
    </row>
    <row r="19" spans="1:49" s="16" customFormat="1" x14ac:dyDescent="0.25">
      <c r="A19" s="37" t="s">
        <v>346</v>
      </c>
      <c r="B19" s="47"/>
      <c r="D19" s="41"/>
      <c r="E19" s="41"/>
      <c r="F19" s="41"/>
      <c r="G19" s="42"/>
      <c r="H19" s="41"/>
      <c r="I19" s="41"/>
      <c r="J19" s="41"/>
      <c r="K19" s="41">
        <v>1</v>
      </c>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3"/>
      <c r="AK19" s="41"/>
      <c r="AL19" s="43"/>
      <c r="AM19" s="43"/>
      <c r="AQ19" s="16">
        <v>2</v>
      </c>
      <c r="AR19" s="16">
        <v>1</v>
      </c>
      <c r="AS19" s="16">
        <v>1</v>
      </c>
      <c r="AT19" s="43">
        <f t="shared" si="0"/>
        <v>5</v>
      </c>
    </row>
    <row r="20" spans="1:49" s="16" customFormat="1" x14ac:dyDescent="0.25">
      <c r="A20" s="37" t="s">
        <v>347</v>
      </c>
      <c r="B20" s="47"/>
      <c r="D20" s="41"/>
      <c r="E20" s="41"/>
      <c r="F20" s="41"/>
      <c r="G20" s="42"/>
      <c r="H20" s="41"/>
      <c r="I20" s="41"/>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3"/>
      <c r="AK20" s="41"/>
      <c r="AL20" s="43"/>
      <c r="AM20" s="43"/>
      <c r="AT20" s="43">
        <f t="shared" si="0"/>
        <v>0</v>
      </c>
    </row>
    <row r="21" spans="1:49" s="16" customFormat="1" x14ac:dyDescent="0.25">
      <c r="A21" s="37" t="s">
        <v>348</v>
      </c>
      <c r="B21" s="47"/>
      <c r="D21" s="41"/>
      <c r="E21" s="41"/>
      <c r="F21" s="41">
        <v>1</v>
      </c>
      <c r="G21" s="42"/>
      <c r="H21" s="41"/>
      <c r="I21" s="41">
        <v>2</v>
      </c>
      <c r="J21" s="41">
        <v>1</v>
      </c>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3"/>
      <c r="AK21" s="41"/>
      <c r="AL21" s="43"/>
      <c r="AM21" s="43"/>
      <c r="AT21" s="43">
        <f t="shared" si="0"/>
        <v>4</v>
      </c>
    </row>
    <row r="22" spans="1:49" s="16" customFormat="1" x14ac:dyDescent="0.25">
      <c r="A22" s="37" t="s">
        <v>349</v>
      </c>
      <c r="B22" s="47"/>
      <c r="D22" s="41"/>
      <c r="E22" s="41"/>
      <c r="F22" s="41"/>
      <c r="G22" s="42"/>
      <c r="H22" s="41"/>
      <c r="I22" s="41"/>
      <c r="J22" s="41"/>
      <c r="K22" s="41"/>
      <c r="L22" s="41"/>
      <c r="M22" s="41"/>
      <c r="N22" s="41"/>
      <c r="O22" s="41"/>
      <c r="P22" s="41"/>
      <c r="Q22" s="41"/>
      <c r="R22" s="41"/>
      <c r="S22" s="41"/>
      <c r="T22" s="41"/>
      <c r="U22" s="41"/>
      <c r="V22" s="41"/>
      <c r="W22" s="41"/>
      <c r="X22" s="41"/>
      <c r="Y22" s="41"/>
      <c r="Z22" s="41"/>
      <c r="AA22" s="41"/>
      <c r="AB22" s="41"/>
      <c r="AC22" s="41"/>
      <c r="AD22" s="41"/>
      <c r="AE22" s="41"/>
      <c r="AF22" s="41"/>
      <c r="AG22" s="41"/>
      <c r="AH22" s="41"/>
      <c r="AI22" s="41"/>
      <c r="AJ22" s="43"/>
      <c r="AK22" s="41"/>
      <c r="AL22" s="43"/>
      <c r="AM22" s="43"/>
      <c r="AN22" s="16">
        <v>1</v>
      </c>
      <c r="AT22" s="43">
        <f t="shared" si="0"/>
        <v>1</v>
      </c>
    </row>
    <row r="23" spans="1:49" s="3" customFormat="1" x14ac:dyDescent="0.25">
      <c r="A23" s="35" t="s">
        <v>118</v>
      </c>
      <c r="B23" s="49"/>
      <c r="C23" s="24"/>
      <c r="G23" s="19"/>
      <c r="AJ23" s="24"/>
      <c r="AN23" s="24"/>
      <c r="AO23" s="24"/>
      <c r="AP23" s="24"/>
      <c r="AQ23" s="24"/>
      <c r="AR23" s="24"/>
      <c r="AS23" s="24"/>
      <c r="AT23" s="24"/>
    </row>
    <row r="24" spans="1:49" s="23" customFormat="1" x14ac:dyDescent="0.25">
      <c r="A24" s="37" t="s">
        <v>192</v>
      </c>
      <c r="B24" s="47" t="s">
        <v>79</v>
      </c>
      <c r="C24" s="16">
        <f>1+130</f>
        <v>131</v>
      </c>
      <c r="D24" s="41">
        <v>123</v>
      </c>
      <c r="E24" s="41">
        <f>1+156</f>
        <v>157</v>
      </c>
      <c r="F24" s="41">
        <f>2+244</f>
        <v>246</v>
      </c>
      <c r="G24" s="42">
        <v>3</v>
      </c>
      <c r="H24" s="41">
        <f>4+315</f>
        <v>319</v>
      </c>
      <c r="I24" s="41">
        <f>2+362</f>
        <v>364</v>
      </c>
      <c r="J24" s="41">
        <f>3+287</f>
        <v>290</v>
      </c>
      <c r="K24" s="41">
        <v>174</v>
      </c>
      <c r="L24" s="41">
        <v>56</v>
      </c>
      <c r="M24" s="41">
        <v>5</v>
      </c>
      <c r="N24" s="41">
        <v>0</v>
      </c>
      <c r="O24" s="41">
        <v>0</v>
      </c>
      <c r="P24" s="41">
        <v>12</v>
      </c>
      <c r="Q24" s="41">
        <v>1</v>
      </c>
      <c r="R24" s="41">
        <v>32</v>
      </c>
      <c r="S24" s="41">
        <v>9</v>
      </c>
      <c r="T24" s="41">
        <f>1+62</f>
        <v>63</v>
      </c>
      <c r="U24" s="41"/>
      <c r="V24" s="41">
        <v>1</v>
      </c>
      <c r="W24" s="41">
        <v>3</v>
      </c>
      <c r="X24" s="41">
        <v>4</v>
      </c>
      <c r="Y24" s="41">
        <f>2+40</f>
        <v>42</v>
      </c>
      <c r="Z24" s="41">
        <v>12</v>
      </c>
      <c r="AA24" s="41">
        <v>0</v>
      </c>
      <c r="AB24" s="41">
        <v>3</v>
      </c>
      <c r="AC24" s="41">
        <v>1</v>
      </c>
      <c r="AD24" s="41">
        <v>5</v>
      </c>
      <c r="AE24" s="41">
        <f>2+54</f>
        <v>56</v>
      </c>
      <c r="AF24" s="41">
        <v>3</v>
      </c>
      <c r="AG24" s="41">
        <v>15</v>
      </c>
      <c r="AH24" s="41">
        <v>4</v>
      </c>
      <c r="AI24" s="41">
        <f>1+20</f>
        <v>21</v>
      </c>
      <c r="AJ24" s="43">
        <v>0</v>
      </c>
      <c r="AK24" s="41">
        <v>2</v>
      </c>
      <c r="AL24" s="43">
        <v>0</v>
      </c>
      <c r="AM24" s="43">
        <v>7</v>
      </c>
      <c r="AN24" s="43">
        <v>47</v>
      </c>
      <c r="AO24" s="43">
        <v>28</v>
      </c>
      <c r="AP24" s="43">
        <v>4</v>
      </c>
      <c r="AQ24" s="43">
        <f>1+14</f>
        <v>15</v>
      </c>
      <c r="AR24" s="43">
        <v>7</v>
      </c>
      <c r="AS24" s="43">
        <v>6</v>
      </c>
      <c r="AT24" s="43">
        <f>SUM(C24:AS24)</f>
        <v>2271</v>
      </c>
    </row>
    <row r="25" spans="1:49" s="4" customFormat="1" x14ac:dyDescent="0.25">
      <c r="A25" s="4" t="s">
        <v>119</v>
      </c>
      <c r="B25" s="55" t="s">
        <v>80</v>
      </c>
      <c r="C25" s="52">
        <f>3+214</f>
        <v>217</v>
      </c>
      <c r="D25" s="56">
        <f>2+127</f>
        <v>129</v>
      </c>
      <c r="E25" s="56">
        <v>199</v>
      </c>
      <c r="F25" s="56">
        <f>1+225</f>
        <v>226</v>
      </c>
      <c r="G25" s="57">
        <v>29</v>
      </c>
      <c r="H25" s="56">
        <f>1+456</f>
        <v>457</v>
      </c>
      <c r="I25" s="56">
        <f>3+874</f>
        <v>877</v>
      </c>
      <c r="J25" s="56">
        <f>3+734</f>
        <v>737</v>
      </c>
      <c r="K25" s="56">
        <v>451</v>
      </c>
      <c r="L25" s="56">
        <v>171</v>
      </c>
      <c r="M25" s="56">
        <v>6</v>
      </c>
      <c r="N25" s="56">
        <v>0</v>
      </c>
      <c r="O25" s="56">
        <v>8</v>
      </c>
      <c r="P25" s="56">
        <v>43</v>
      </c>
      <c r="Q25" s="56">
        <v>0</v>
      </c>
      <c r="R25" s="56">
        <f>1+297</f>
        <v>298</v>
      </c>
      <c r="S25" s="56">
        <v>68</v>
      </c>
      <c r="T25" s="56">
        <v>341</v>
      </c>
      <c r="U25" s="56"/>
      <c r="V25" s="56">
        <v>37</v>
      </c>
      <c r="W25" s="56">
        <v>49</v>
      </c>
      <c r="X25" s="56">
        <v>45</v>
      </c>
      <c r="Y25" s="56">
        <f>1+165</f>
        <v>166</v>
      </c>
      <c r="Z25" s="56">
        <v>35</v>
      </c>
      <c r="AA25" s="56">
        <v>1</v>
      </c>
      <c r="AB25" s="56">
        <v>11</v>
      </c>
      <c r="AC25" s="56">
        <v>11</v>
      </c>
      <c r="AD25" s="56">
        <f>1+18</f>
        <v>19</v>
      </c>
      <c r="AE25" s="56">
        <f>5+137</f>
        <v>142</v>
      </c>
      <c r="AF25" s="56">
        <v>4</v>
      </c>
      <c r="AG25" s="56">
        <f>1+107</f>
        <v>108</v>
      </c>
      <c r="AH25" s="56">
        <v>77</v>
      </c>
      <c r="AI25" s="56">
        <v>170</v>
      </c>
      <c r="AJ25" s="56">
        <v>0</v>
      </c>
      <c r="AK25" s="58">
        <v>9</v>
      </c>
      <c r="AL25" s="56">
        <v>1</v>
      </c>
      <c r="AM25" s="58">
        <v>11</v>
      </c>
      <c r="AN25" s="58">
        <v>167</v>
      </c>
      <c r="AO25" s="58">
        <f>1+105</f>
        <v>106</v>
      </c>
      <c r="AP25" s="58">
        <v>43</v>
      </c>
      <c r="AQ25" s="58">
        <f>1+180</f>
        <v>181</v>
      </c>
      <c r="AR25" s="58">
        <f>2+65</f>
        <v>67</v>
      </c>
      <c r="AS25" s="58">
        <v>30</v>
      </c>
      <c r="AT25" s="58">
        <f>SUM(C25:AS25)</f>
        <v>5747</v>
      </c>
      <c r="AU25" s="58"/>
      <c r="AV25" s="58"/>
      <c r="AW25" s="56"/>
    </row>
    <row r="26" spans="1:49" s="16" customFormat="1" x14ac:dyDescent="0.25">
      <c r="A26" s="44" t="s">
        <v>117</v>
      </c>
      <c r="B26" s="47"/>
      <c r="D26" s="41"/>
      <c r="E26" s="41"/>
      <c r="F26" s="41"/>
      <c r="G26" s="42"/>
      <c r="H26" s="41"/>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3"/>
      <c r="AK26" s="41"/>
      <c r="AL26" s="43"/>
      <c r="AM26" s="43"/>
      <c r="AN26" s="43"/>
    </row>
    <row r="27" spans="1:49" s="16" customFormat="1" x14ac:dyDescent="0.25">
      <c r="A27" s="37"/>
      <c r="B27" s="47"/>
      <c r="D27" s="41"/>
      <c r="E27" s="41"/>
      <c r="F27" s="41"/>
      <c r="G27" s="42"/>
      <c r="H27" s="41"/>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3"/>
      <c r="AK27" s="41"/>
      <c r="AL27" s="43"/>
      <c r="AM27" s="43"/>
      <c r="AT27" s="43">
        <f>SUM(C27:AS27)</f>
        <v>0</v>
      </c>
    </row>
    <row r="28" spans="1:49" s="3" customFormat="1" x14ac:dyDescent="0.25">
      <c r="A28" s="35" t="s">
        <v>120</v>
      </c>
      <c r="B28" s="49"/>
      <c r="C28" s="24"/>
      <c r="G28" s="19"/>
      <c r="AJ28" s="24"/>
      <c r="AN28" s="24"/>
      <c r="AO28" s="24"/>
      <c r="AP28" s="24"/>
      <c r="AQ28" s="24"/>
      <c r="AR28" s="24"/>
      <c r="AS28" s="24"/>
      <c r="AT28" s="24"/>
    </row>
    <row r="29" spans="1:49" s="23" customFormat="1" x14ac:dyDescent="0.25">
      <c r="A29" s="37" t="s">
        <v>194</v>
      </c>
      <c r="B29" s="50" t="s">
        <v>79</v>
      </c>
      <c r="C29" s="23">
        <f>2+131</f>
        <v>133</v>
      </c>
      <c r="D29" s="41">
        <v>132</v>
      </c>
      <c r="E29" s="23">
        <f>1+172</f>
        <v>173</v>
      </c>
      <c r="F29" s="41">
        <f>2+254</f>
        <v>256</v>
      </c>
      <c r="G29" s="41">
        <v>6</v>
      </c>
      <c r="H29" s="42">
        <f>4+333</f>
        <v>337</v>
      </c>
      <c r="I29" s="41">
        <f>2+383</f>
        <v>385</v>
      </c>
      <c r="J29" s="41">
        <f>3+270</f>
        <v>273</v>
      </c>
      <c r="K29" s="41">
        <v>182</v>
      </c>
      <c r="L29" s="41">
        <v>57</v>
      </c>
      <c r="M29" s="41">
        <v>7</v>
      </c>
      <c r="N29" s="41">
        <v>0</v>
      </c>
      <c r="O29" s="41">
        <v>0</v>
      </c>
      <c r="P29" s="41">
        <v>13</v>
      </c>
      <c r="Q29" s="41">
        <v>1</v>
      </c>
      <c r="R29" s="41">
        <v>34</v>
      </c>
      <c r="S29" s="41">
        <v>7</v>
      </c>
      <c r="T29" s="41">
        <f>1+68</f>
        <v>69</v>
      </c>
      <c r="U29" s="41">
        <v>1</v>
      </c>
      <c r="V29" s="41"/>
      <c r="W29" s="41">
        <v>4</v>
      </c>
      <c r="X29" s="41">
        <v>3</v>
      </c>
      <c r="Y29" s="41">
        <f>2+40</f>
        <v>42</v>
      </c>
      <c r="Z29" s="41">
        <v>11</v>
      </c>
      <c r="AA29" s="41">
        <v>0</v>
      </c>
      <c r="AB29" s="41">
        <v>2</v>
      </c>
      <c r="AC29" s="41">
        <v>2</v>
      </c>
      <c r="AD29" s="41">
        <v>6</v>
      </c>
      <c r="AE29" s="41">
        <f>1+60</f>
        <v>61</v>
      </c>
      <c r="AF29" s="41">
        <v>5</v>
      </c>
      <c r="AG29" s="41">
        <v>14</v>
      </c>
      <c r="AH29" s="41">
        <v>6</v>
      </c>
      <c r="AI29" s="41">
        <f>1+19</f>
        <v>20</v>
      </c>
      <c r="AJ29" s="41">
        <v>0</v>
      </c>
      <c r="AK29" s="43">
        <v>2</v>
      </c>
      <c r="AL29" s="41">
        <v>0</v>
      </c>
      <c r="AM29" s="43">
        <v>7</v>
      </c>
      <c r="AN29" s="43">
        <v>51</v>
      </c>
      <c r="AO29" s="43">
        <v>30</v>
      </c>
      <c r="AP29" s="43">
        <v>3</v>
      </c>
      <c r="AQ29" s="43">
        <v>11</v>
      </c>
      <c r="AR29" s="43">
        <v>5</v>
      </c>
      <c r="AS29" s="43">
        <v>4</v>
      </c>
      <c r="AT29" s="43">
        <f>SUM(C29:AS29)</f>
        <v>2355</v>
      </c>
    </row>
    <row r="30" spans="1:49" s="4" customFormat="1" x14ac:dyDescent="0.25">
      <c r="A30" s="54" t="s">
        <v>193</v>
      </c>
      <c r="B30" s="59" t="s">
        <v>80</v>
      </c>
      <c r="C30" s="4">
        <f>4+206</f>
        <v>210</v>
      </c>
      <c r="D30" s="56">
        <f>2+113</f>
        <v>115</v>
      </c>
      <c r="E30" s="56">
        <v>174</v>
      </c>
      <c r="F30" s="56">
        <f>1+201</f>
        <v>202</v>
      </c>
      <c r="G30" s="57">
        <v>25</v>
      </c>
      <c r="H30" s="56">
        <f>1+419</f>
        <v>420</v>
      </c>
      <c r="I30" s="56">
        <f>1+825</f>
        <v>826</v>
      </c>
      <c r="J30" s="56">
        <f>3+739</f>
        <v>742</v>
      </c>
      <c r="K30" s="56">
        <v>427</v>
      </c>
      <c r="L30" s="56">
        <v>160</v>
      </c>
      <c r="M30" s="56">
        <v>4</v>
      </c>
      <c r="N30" s="56">
        <v>0</v>
      </c>
      <c r="O30" s="56">
        <v>8</v>
      </c>
      <c r="P30" s="56">
        <v>41</v>
      </c>
      <c r="Q30" s="56">
        <v>0</v>
      </c>
      <c r="R30" s="56">
        <f>1+288</f>
        <v>289</v>
      </c>
      <c r="S30" s="56">
        <v>68</v>
      </c>
      <c r="T30" s="56">
        <v>329</v>
      </c>
      <c r="U30" s="56"/>
      <c r="V30" s="56">
        <v>37</v>
      </c>
      <c r="W30" s="56">
        <v>47</v>
      </c>
      <c r="X30" s="56">
        <v>46</v>
      </c>
      <c r="Y30" s="56">
        <f>1+166</f>
        <v>167</v>
      </c>
      <c r="Z30" s="56">
        <v>35</v>
      </c>
      <c r="AA30" s="56">
        <v>1</v>
      </c>
      <c r="AB30" s="56">
        <v>12</v>
      </c>
      <c r="AC30" s="56">
        <v>9</v>
      </c>
      <c r="AD30" s="56">
        <f>1+16</f>
        <v>17</v>
      </c>
      <c r="AE30" s="56">
        <f>6+129</f>
        <v>135</v>
      </c>
      <c r="AF30" s="56">
        <v>2</v>
      </c>
      <c r="AG30" s="56">
        <f>1+107</f>
        <v>108</v>
      </c>
      <c r="AH30" s="56">
        <v>75</v>
      </c>
      <c r="AI30" s="56">
        <v>173</v>
      </c>
      <c r="AJ30" s="58">
        <v>0</v>
      </c>
      <c r="AK30" s="56">
        <v>9</v>
      </c>
      <c r="AL30" s="58">
        <v>1</v>
      </c>
      <c r="AM30" s="58">
        <v>11</v>
      </c>
      <c r="AN30" s="58">
        <v>159</v>
      </c>
      <c r="AO30" s="58">
        <f>1+103</f>
        <v>104</v>
      </c>
      <c r="AP30" s="58">
        <v>44</v>
      </c>
      <c r="AQ30" s="58">
        <f>1+181</f>
        <v>182</v>
      </c>
      <c r="AR30" s="58">
        <f>2+63</f>
        <v>65</v>
      </c>
      <c r="AS30" s="58">
        <v>32</v>
      </c>
      <c r="AT30" s="58">
        <f>SUM(C30:AS30)</f>
        <v>5511</v>
      </c>
    </row>
    <row r="31" spans="1:49" s="30" customFormat="1" x14ac:dyDescent="0.25">
      <c r="A31" s="45" t="s">
        <v>117</v>
      </c>
      <c r="B31" s="48"/>
      <c r="C31" s="46"/>
      <c r="D31" s="40"/>
      <c r="E31" s="41"/>
      <c r="F31" s="41"/>
      <c r="G31" s="42"/>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3"/>
      <c r="AK31" s="41"/>
      <c r="AL31" s="43"/>
      <c r="AM31" s="43"/>
      <c r="AN31" s="48"/>
      <c r="AO31" s="48"/>
      <c r="AP31" s="48"/>
      <c r="AQ31" s="48"/>
      <c r="AR31" s="48"/>
      <c r="AS31" s="48"/>
      <c r="AT31" s="48"/>
    </row>
    <row r="32" spans="1:49" s="16" customFormat="1" x14ac:dyDescent="0.25">
      <c r="A32" s="37"/>
      <c r="B32" s="47"/>
      <c r="D32" s="41"/>
      <c r="E32" s="41"/>
      <c r="F32" s="41"/>
      <c r="G32" s="42"/>
      <c r="H32" s="41"/>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3"/>
      <c r="AK32" s="41"/>
      <c r="AL32" s="43"/>
      <c r="AM32" s="43"/>
      <c r="AT32" s="43">
        <f>SUM(C32:AS32)</f>
        <v>0</v>
      </c>
    </row>
    <row r="33" spans="1:47" s="3" customFormat="1" x14ac:dyDescent="0.25">
      <c r="A33" s="35" t="s">
        <v>121</v>
      </c>
      <c r="B33" s="49"/>
      <c r="C33" s="24"/>
      <c r="G33" s="19"/>
      <c r="AJ33" s="24"/>
      <c r="AN33" s="24"/>
      <c r="AO33" s="24"/>
      <c r="AP33" s="24"/>
      <c r="AQ33" s="24"/>
      <c r="AR33" s="24"/>
      <c r="AS33" s="24"/>
      <c r="AT33" s="24"/>
    </row>
    <row r="34" spans="1:47" s="4" customFormat="1" x14ac:dyDescent="0.25">
      <c r="A34" s="54" t="s">
        <v>195</v>
      </c>
      <c r="B34" s="59" t="s">
        <v>80</v>
      </c>
      <c r="C34" s="4">
        <f>4+278</f>
        <v>282</v>
      </c>
      <c r="D34" s="56"/>
      <c r="E34" s="56"/>
      <c r="F34" s="56"/>
      <c r="G34" s="57">
        <v>31</v>
      </c>
      <c r="H34" s="56"/>
      <c r="I34" s="56"/>
      <c r="J34" s="56">
        <f>4+830</f>
        <v>834</v>
      </c>
      <c r="K34" s="56"/>
      <c r="L34" s="56"/>
      <c r="M34" s="56"/>
      <c r="N34" s="56"/>
      <c r="O34" s="56"/>
      <c r="P34" s="56"/>
      <c r="Q34" s="56">
        <v>1</v>
      </c>
      <c r="R34" s="56">
        <f>1+303</f>
        <v>304</v>
      </c>
      <c r="S34" s="56">
        <v>71</v>
      </c>
      <c r="T34" s="56">
        <f>1+372</f>
        <v>373</v>
      </c>
      <c r="U34" s="56"/>
      <c r="V34" s="56">
        <v>37</v>
      </c>
      <c r="W34" s="56">
        <v>49</v>
      </c>
      <c r="X34" s="56">
        <v>47</v>
      </c>
      <c r="Y34" s="56">
        <f>2+181</f>
        <v>183</v>
      </c>
      <c r="Z34" s="56"/>
      <c r="AA34" s="56"/>
      <c r="AB34" s="56"/>
      <c r="AC34" s="56">
        <v>12</v>
      </c>
      <c r="AD34" s="56"/>
      <c r="AE34" s="56">
        <f>6+158</f>
        <v>164</v>
      </c>
      <c r="AF34" s="56"/>
      <c r="AG34" s="56">
        <f>1+113</f>
        <v>114</v>
      </c>
      <c r="AH34" s="56">
        <v>74</v>
      </c>
      <c r="AI34" s="56">
        <f>1+172</f>
        <v>173</v>
      </c>
      <c r="AJ34" s="58"/>
      <c r="AK34" s="56">
        <v>9</v>
      </c>
      <c r="AL34" s="58"/>
      <c r="AM34" s="58"/>
      <c r="AN34" s="58">
        <v>182</v>
      </c>
      <c r="AO34" s="58">
        <f>1+112</f>
        <v>113</v>
      </c>
      <c r="AP34" s="58">
        <v>44</v>
      </c>
      <c r="AQ34" s="58">
        <f>1+186</f>
        <v>187</v>
      </c>
      <c r="AR34" s="58">
        <f>2+67</f>
        <v>69</v>
      </c>
      <c r="AS34" s="58">
        <v>30</v>
      </c>
      <c r="AT34" s="58">
        <f>SUM(C34:AS34)</f>
        <v>3383</v>
      </c>
    </row>
    <row r="35" spans="1:47" s="30" customFormat="1" x14ac:dyDescent="0.25">
      <c r="A35" s="45" t="s">
        <v>117</v>
      </c>
      <c r="B35" s="48"/>
      <c r="C35" s="46"/>
      <c r="D35" s="40"/>
      <c r="E35" s="41"/>
      <c r="F35" s="41"/>
      <c r="G35" s="42"/>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3"/>
      <c r="AK35" s="41"/>
      <c r="AL35" s="43"/>
      <c r="AM35" s="43"/>
      <c r="AN35" s="48"/>
      <c r="AO35" s="48"/>
      <c r="AP35" s="48"/>
      <c r="AQ35" s="48"/>
      <c r="AR35" s="48"/>
      <c r="AS35" s="48"/>
      <c r="AT35" s="48"/>
    </row>
    <row r="36" spans="1:47" s="23" customFormat="1" x14ac:dyDescent="0.25">
      <c r="A36" s="37"/>
      <c r="B36" s="50"/>
      <c r="D36" s="41"/>
      <c r="E36" s="41"/>
      <c r="F36" s="41"/>
      <c r="G36" s="42"/>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3"/>
      <c r="AK36" s="41"/>
      <c r="AL36" s="43"/>
      <c r="AM36" s="43"/>
      <c r="AT36" s="43">
        <f>SUM(C36:AS36)</f>
        <v>0</v>
      </c>
    </row>
    <row r="37" spans="1:47" s="3" customFormat="1" x14ac:dyDescent="0.25">
      <c r="A37" s="35" t="s">
        <v>122</v>
      </c>
      <c r="B37" s="49"/>
      <c r="C37" s="24"/>
      <c r="G37" s="19"/>
      <c r="AJ37" s="24"/>
      <c r="AN37" s="24"/>
      <c r="AO37" s="24"/>
      <c r="AP37" s="24"/>
      <c r="AQ37" s="24"/>
      <c r="AR37" s="24"/>
      <c r="AS37" s="24"/>
      <c r="AT37" s="24"/>
    </row>
    <row r="38" spans="1:47" s="52" customFormat="1" x14ac:dyDescent="0.25">
      <c r="A38" s="54" t="s">
        <v>196</v>
      </c>
      <c r="B38" s="59" t="s">
        <v>80</v>
      </c>
      <c r="C38" s="4"/>
      <c r="D38" s="56">
        <f>2+196</f>
        <v>198</v>
      </c>
      <c r="E38" s="56">
        <f>1+290</f>
        <v>291</v>
      </c>
      <c r="F38" s="56">
        <f>1+351</f>
        <v>352</v>
      </c>
      <c r="G38" s="57"/>
      <c r="H38" s="56">
        <f>4+624</f>
        <v>628</v>
      </c>
      <c r="I38" s="56">
        <f>2+1045</f>
        <v>1047</v>
      </c>
      <c r="J38" s="56"/>
      <c r="K38" s="56">
        <v>520</v>
      </c>
      <c r="L38" s="56">
        <v>189</v>
      </c>
      <c r="M38" s="56">
        <v>10</v>
      </c>
      <c r="N38" s="56"/>
      <c r="O38" s="56">
        <v>8</v>
      </c>
      <c r="P38" s="56">
        <v>47</v>
      </c>
      <c r="Q38" s="56"/>
      <c r="R38" s="56"/>
      <c r="S38" s="56"/>
      <c r="T38" s="56"/>
      <c r="U38" s="56"/>
      <c r="V38" s="56"/>
      <c r="W38" s="56"/>
      <c r="X38" s="56"/>
      <c r="Y38" s="56"/>
      <c r="Z38" s="56">
        <f>1+39</f>
        <v>40</v>
      </c>
      <c r="AA38" s="56">
        <v>1</v>
      </c>
      <c r="AB38" s="56">
        <v>12</v>
      </c>
      <c r="AC38" s="56"/>
      <c r="AD38" s="56">
        <f>1+20</f>
        <v>21</v>
      </c>
      <c r="AE38" s="56"/>
      <c r="AF38" s="56">
        <v>5</v>
      </c>
      <c r="AG38" s="56"/>
      <c r="AH38" s="56"/>
      <c r="AI38" s="56"/>
      <c r="AJ38" s="58"/>
      <c r="AK38" s="56"/>
      <c r="AL38" s="58">
        <v>1</v>
      </c>
      <c r="AM38" s="58">
        <v>13</v>
      </c>
      <c r="AN38" s="58"/>
      <c r="AO38" s="58"/>
      <c r="AP38" s="58"/>
      <c r="AQ38" s="58"/>
      <c r="AR38" s="58"/>
      <c r="AS38" s="58"/>
      <c r="AT38" s="58">
        <f>SUM(C38:AS38)</f>
        <v>3383</v>
      </c>
      <c r="AU38" s="4"/>
    </row>
    <row r="39" spans="1:47" s="30" customFormat="1" x14ac:dyDescent="0.25">
      <c r="A39" s="45" t="s">
        <v>117</v>
      </c>
      <c r="B39" s="48"/>
      <c r="C39" s="48"/>
      <c r="D39" s="40"/>
      <c r="E39" s="41"/>
      <c r="F39" s="41"/>
      <c r="G39" s="42"/>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3"/>
      <c r="AK39" s="41"/>
      <c r="AL39" s="43"/>
      <c r="AM39" s="43"/>
      <c r="AN39" s="48"/>
      <c r="AO39" s="48"/>
      <c r="AP39" s="48"/>
      <c r="AQ39" s="48"/>
      <c r="AR39" s="48"/>
      <c r="AS39" s="48"/>
      <c r="AT39" s="48"/>
    </row>
    <row r="40" spans="1:47" s="16" customFormat="1" x14ac:dyDescent="0.25">
      <c r="A40" s="37"/>
      <c r="B40" s="50"/>
      <c r="C40" s="23"/>
      <c r="D40" s="41"/>
      <c r="E40" s="41"/>
      <c r="F40" s="41"/>
      <c r="G40" s="42"/>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3"/>
      <c r="AK40" s="41"/>
      <c r="AL40" s="43"/>
      <c r="AM40" s="43"/>
      <c r="AN40" s="23"/>
      <c r="AO40" s="23"/>
      <c r="AP40" s="23"/>
      <c r="AQ40" s="23"/>
      <c r="AR40" s="23"/>
      <c r="AS40" s="23"/>
      <c r="AT40" s="43">
        <f>SUM(C40:AS40)</f>
        <v>0</v>
      </c>
      <c r="AU40" s="23"/>
    </row>
    <row r="41" spans="1:47" s="3" customFormat="1" x14ac:dyDescent="0.25">
      <c r="A41" s="35" t="s">
        <v>124</v>
      </c>
      <c r="B41" s="49"/>
      <c r="C41" s="24"/>
      <c r="G41" s="19"/>
      <c r="AJ41" s="24"/>
      <c r="AN41" s="24"/>
      <c r="AO41" s="24"/>
      <c r="AP41" s="24"/>
      <c r="AQ41" s="24"/>
      <c r="AR41" s="24"/>
      <c r="AS41" s="24"/>
      <c r="AT41" s="24"/>
    </row>
    <row r="42" spans="1:47" s="52" customFormat="1" x14ac:dyDescent="0.25">
      <c r="A42" s="54" t="s">
        <v>126</v>
      </c>
      <c r="B42" s="55" t="s">
        <v>79</v>
      </c>
      <c r="C42" s="52">
        <f>3+250</f>
        <v>253</v>
      </c>
      <c r="D42" s="56">
        <f>3+191</f>
        <v>194</v>
      </c>
      <c r="E42" s="56">
        <f>1+264</f>
        <v>265</v>
      </c>
      <c r="F42" s="56">
        <f>3+369</f>
        <v>372</v>
      </c>
      <c r="G42" s="57">
        <v>23</v>
      </c>
      <c r="H42" s="56">
        <f>5+596</f>
        <v>601</v>
      </c>
      <c r="I42" s="56">
        <f>2+882</f>
        <v>884</v>
      </c>
      <c r="J42" s="56">
        <f>5+680</f>
        <v>685</v>
      </c>
      <c r="K42" s="56">
        <v>414</v>
      </c>
      <c r="L42" s="56">
        <v>159</v>
      </c>
      <c r="M42" s="56">
        <v>10</v>
      </c>
      <c r="N42" s="56">
        <v>0</v>
      </c>
      <c r="O42" s="56">
        <v>3</v>
      </c>
      <c r="P42" s="56">
        <v>38</v>
      </c>
      <c r="Q42" s="56">
        <v>1</v>
      </c>
      <c r="R42" s="56">
        <f>1+167</f>
        <v>168</v>
      </c>
      <c r="S42" s="56">
        <v>41</v>
      </c>
      <c r="T42" s="56">
        <f>1+272</f>
        <v>273</v>
      </c>
      <c r="U42" s="56"/>
      <c r="V42" s="56">
        <v>16</v>
      </c>
      <c r="W42" s="56">
        <v>33</v>
      </c>
      <c r="X42" s="56">
        <v>30</v>
      </c>
      <c r="Y42" s="56">
        <f>3+140</f>
        <v>143</v>
      </c>
      <c r="Z42" s="56">
        <v>25</v>
      </c>
      <c r="AA42" s="56">
        <v>0</v>
      </c>
      <c r="AB42" s="56">
        <v>10</v>
      </c>
      <c r="AC42" s="56">
        <v>8</v>
      </c>
      <c r="AD42" s="56">
        <f>1+14</f>
        <v>15</v>
      </c>
      <c r="AE42" s="56">
        <f>7+133</f>
        <v>140</v>
      </c>
      <c r="AF42" s="56">
        <v>7</v>
      </c>
      <c r="AG42" s="56">
        <f>1+77</f>
        <v>78</v>
      </c>
      <c r="AH42" s="56">
        <v>35</v>
      </c>
      <c r="AI42" s="56">
        <f>1+127</f>
        <v>128</v>
      </c>
      <c r="AJ42" s="58">
        <v>0</v>
      </c>
      <c r="AK42" s="56">
        <v>8</v>
      </c>
      <c r="AL42" s="58">
        <v>1</v>
      </c>
      <c r="AM42" s="58">
        <v>11</v>
      </c>
      <c r="AN42" s="58">
        <v>126</v>
      </c>
      <c r="AO42" s="58">
        <v>95</v>
      </c>
      <c r="AP42" s="58">
        <v>16</v>
      </c>
      <c r="AQ42" s="58">
        <v>134</v>
      </c>
      <c r="AR42" s="58">
        <f>1+43</f>
        <v>44</v>
      </c>
      <c r="AS42" s="58">
        <v>20</v>
      </c>
      <c r="AT42" s="58">
        <f>SUM(C42:AS42)</f>
        <v>5507</v>
      </c>
    </row>
    <row r="43" spans="1:47" s="16" customFormat="1" x14ac:dyDescent="0.25">
      <c r="A43" s="44" t="s">
        <v>117</v>
      </c>
      <c r="B43" s="47"/>
      <c r="D43" s="41"/>
      <c r="E43" s="41"/>
      <c r="F43" s="41"/>
      <c r="G43" s="42"/>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3"/>
      <c r="AK43" s="41"/>
      <c r="AL43" s="43"/>
      <c r="AM43" s="43"/>
    </row>
    <row r="44" spans="1:47" s="4" customFormat="1" x14ac:dyDescent="0.25">
      <c r="A44" s="37"/>
      <c r="B44" s="47"/>
      <c r="C44" s="16"/>
      <c r="D44" s="41"/>
      <c r="E44" s="41"/>
      <c r="F44" s="41"/>
      <c r="G44" s="42"/>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3"/>
      <c r="AK44" s="41"/>
      <c r="AL44" s="43"/>
      <c r="AM44" s="43"/>
      <c r="AN44" s="16"/>
      <c r="AO44" s="16"/>
      <c r="AP44" s="16"/>
      <c r="AQ44" s="16"/>
      <c r="AR44" s="16"/>
      <c r="AS44" s="16"/>
      <c r="AT44" s="43">
        <f>SUM(C44:AS44)</f>
        <v>0</v>
      </c>
    </row>
    <row r="45" spans="1:47" s="3" customFormat="1" x14ac:dyDescent="0.25">
      <c r="A45" s="35" t="s">
        <v>125</v>
      </c>
      <c r="B45" s="49"/>
      <c r="C45" s="24"/>
      <c r="G45" s="19"/>
      <c r="AJ45" s="24"/>
      <c r="AN45" s="24"/>
      <c r="AO45" s="24"/>
      <c r="AP45" s="24"/>
      <c r="AQ45" s="24"/>
      <c r="AR45" s="24"/>
      <c r="AS45" s="24"/>
      <c r="AT45" s="24"/>
    </row>
    <row r="46" spans="1:47" s="52" customFormat="1" x14ac:dyDescent="0.25">
      <c r="A46" s="54" t="s">
        <v>127</v>
      </c>
      <c r="B46" s="55" t="s">
        <v>80</v>
      </c>
      <c r="C46" s="52">
        <f>4+274</f>
        <v>278</v>
      </c>
      <c r="D46" s="56">
        <f>2+188</f>
        <v>190</v>
      </c>
      <c r="E46" s="56">
        <f>1+280</f>
        <v>281</v>
      </c>
      <c r="F46" s="56">
        <f>2+339</f>
        <v>341</v>
      </c>
      <c r="G46" s="57">
        <v>32</v>
      </c>
      <c r="H46" s="56">
        <f>4+627</f>
        <v>631</v>
      </c>
      <c r="I46" s="56">
        <f>3+1035</f>
        <v>1038</v>
      </c>
      <c r="J46" s="56">
        <f>4+821</f>
        <v>825</v>
      </c>
      <c r="K46" s="56">
        <v>515</v>
      </c>
      <c r="L46" s="56">
        <v>194</v>
      </c>
      <c r="M46" s="56">
        <v>10</v>
      </c>
      <c r="N46" s="56">
        <v>0</v>
      </c>
      <c r="O46" s="56">
        <v>8</v>
      </c>
      <c r="P46" s="56">
        <v>47</v>
      </c>
      <c r="Q46" s="56">
        <v>1</v>
      </c>
      <c r="R46" s="56">
        <f>1+299</f>
        <v>300</v>
      </c>
      <c r="S46" s="56">
        <v>64</v>
      </c>
      <c r="T46" s="56">
        <f>1+357</f>
        <v>358</v>
      </c>
      <c r="U46" s="56"/>
      <c r="V46" s="56">
        <v>33</v>
      </c>
      <c r="W46" s="56">
        <v>47</v>
      </c>
      <c r="X46" s="56">
        <v>48</v>
      </c>
      <c r="Y46" s="56">
        <f>3+176</f>
        <v>179</v>
      </c>
      <c r="Z46" s="56">
        <v>38</v>
      </c>
      <c r="AA46" s="56">
        <v>1</v>
      </c>
      <c r="AB46" s="56">
        <v>13</v>
      </c>
      <c r="AC46" s="56">
        <v>12</v>
      </c>
      <c r="AD46" s="56">
        <f>1+22</f>
        <v>23</v>
      </c>
      <c r="AE46" s="56">
        <f>5+153</f>
        <v>158</v>
      </c>
      <c r="AF46" s="56">
        <v>6</v>
      </c>
      <c r="AG46" s="56">
        <f>1+114</f>
        <v>115</v>
      </c>
      <c r="AH46" s="56">
        <v>66</v>
      </c>
      <c r="AI46" s="56">
        <f>1+168</f>
        <v>169</v>
      </c>
      <c r="AJ46" s="58">
        <v>0</v>
      </c>
      <c r="AK46" s="56">
        <v>8</v>
      </c>
      <c r="AL46" s="58">
        <v>1</v>
      </c>
      <c r="AM46" s="58">
        <v>12</v>
      </c>
      <c r="AN46" s="58">
        <v>181</v>
      </c>
      <c r="AO46" s="58">
        <f>1+117</f>
        <v>118</v>
      </c>
      <c r="AP46" s="58">
        <v>42</v>
      </c>
      <c r="AQ46" s="58">
        <v>176</v>
      </c>
      <c r="AR46" s="58">
        <f>1+64</f>
        <v>65</v>
      </c>
      <c r="AS46" s="58">
        <v>30</v>
      </c>
      <c r="AT46" s="58">
        <f>SUM(C46:AS46)</f>
        <v>6654</v>
      </c>
    </row>
    <row r="47" spans="1:47" s="16" customFormat="1" x14ac:dyDescent="0.25">
      <c r="A47" s="44" t="s">
        <v>117</v>
      </c>
      <c r="B47" s="47"/>
      <c r="D47" s="41"/>
      <c r="E47" s="41"/>
      <c r="F47" s="41"/>
      <c r="G47" s="42"/>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3"/>
      <c r="AK47" s="41"/>
      <c r="AL47" s="43"/>
      <c r="AM47" s="43"/>
    </row>
    <row r="48" spans="1:47" s="4" customFormat="1" x14ac:dyDescent="0.25">
      <c r="A48" s="37"/>
      <c r="B48" s="47"/>
      <c r="C48" s="16"/>
      <c r="D48" s="41"/>
      <c r="E48" s="41"/>
      <c r="F48" s="41"/>
      <c r="G48" s="42"/>
      <c r="H48" s="41"/>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3"/>
      <c r="AK48" s="41"/>
      <c r="AL48" s="43"/>
      <c r="AM48" s="43"/>
      <c r="AN48" s="16"/>
      <c r="AO48" s="16"/>
      <c r="AP48" s="16"/>
      <c r="AQ48" s="16"/>
      <c r="AR48" s="16"/>
      <c r="AS48" s="16"/>
      <c r="AT48" s="43">
        <f>SUM(C48:AS48)</f>
        <v>0</v>
      </c>
    </row>
    <row r="49" spans="1:46" s="3" customFormat="1" x14ac:dyDescent="0.25">
      <c r="A49" s="35" t="s">
        <v>236</v>
      </c>
      <c r="B49" s="24"/>
      <c r="F49" s="19"/>
      <c r="N49" s="24"/>
    </row>
    <row r="50" spans="1:46" s="52" customFormat="1" x14ac:dyDescent="0.25">
      <c r="A50" s="54" t="s">
        <v>239</v>
      </c>
      <c r="B50" s="52" t="s">
        <v>237</v>
      </c>
      <c r="C50" s="56">
        <f>4+214</f>
        <v>218</v>
      </c>
      <c r="D50" s="56">
        <f>2+158</f>
        <v>160</v>
      </c>
      <c r="E50" s="56">
        <f>1+240</f>
        <v>241</v>
      </c>
      <c r="F50" s="57">
        <f>3+315</f>
        <v>318</v>
      </c>
      <c r="G50" s="56">
        <v>26</v>
      </c>
      <c r="H50" s="56">
        <f>5+516</f>
        <v>521</v>
      </c>
      <c r="I50" s="56">
        <f>3+768</f>
        <v>771</v>
      </c>
      <c r="J50" s="56">
        <f>5+604</f>
        <v>609</v>
      </c>
      <c r="K50" s="56">
        <v>380</v>
      </c>
      <c r="L50" s="56">
        <v>131</v>
      </c>
      <c r="M50" s="56">
        <v>9</v>
      </c>
      <c r="N50" s="58">
        <v>0</v>
      </c>
      <c r="O50" s="56">
        <v>5</v>
      </c>
      <c r="P50" s="56">
        <v>36</v>
      </c>
      <c r="Q50" s="56">
        <v>1</v>
      </c>
      <c r="R50" s="56">
        <f>1+183</f>
        <v>184</v>
      </c>
      <c r="S50" s="56">
        <v>43</v>
      </c>
      <c r="T50" s="56">
        <f>1+235</f>
        <v>236</v>
      </c>
      <c r="U50" s="56"/>
      <c r="V50" s="56">
        <v>23</v>
      </c>
      <c r="W50" s="56">
        <v>21</v>
      </c>
      <c r="X50" s="56">
        <v>26</v>
      </c>
      <c r="Y50" s="56">
        <f>2+121</f>
        <v>123</v>
      </c>
      <c r="Z50" s="56">
        <v>24</v>
      </c>
      <c r="AA50" s="56">
        <v>0</v>
      </c>
      <c r="AB50" s="56">
        <v>12</v>
      </c>
      <c r="AC50" s="56">
        <v>4</v>
      </c>
      <c r="AD50" s="56">
        <v>12</v>
      </c>
      <c r="AE50" s="56">
        <f>3+116</f>
        <v>119</v>
      </c>
      <c r="AF50" s="56">
        <v>3</v>
      </c>
      <c r="AG50" s="56">
        <v>73</v>
      </c>
      <c r="AH50" s="58">
        <v>39</v>
      </c>
      <c r="AI50" s="58">
        <v>114</v>
      </c>
      <c r="AJ50" s="56">
        <v>0</v>
      </c>
      <c r="AK50" s="58">
        <v>5</v>
      </c>
      <c r="AL50" s="52">
        <v>0</v>
      </c>
      <c r="AM50" s="52">
        <v>8</v>
      </c>
      <c r="AN50" s="52">
        <v>119</v>
      </c>
      <c r="AO50" s="52">
        <v>80</v>
      </c>
      <c r="AP50" s="52">
        <v>29</v>
      </c>
      <c r="AQ50" s="52">
        <f>1+95</f>
        <v>96</v>
      </c>
      <c r="AR50" s="52">
        <f>1+36</f>
        <v>37</v>
      </c>
      <c r="AS50" s="52">
        <v>14</v>
      </c>
      <c r="AT50" s="58">
        <f t="shared" ref="AT50:AT63" si="1">SUM(C50:AS50)</f>
        <v>4870</v>
      </c>
    </row>
    <row r="51" spans="1:46" s="52" customFormat="1" x14ac:dyDescent="0.25">
      <c r="A51" s="37"/>
      <c r="B51" s="16" t="s">
        <v>238</v>
      </c>
      <c r="C51" s="40">
        <v>72</v>
      </c>
      <c r="D51" s="41">
        <v>47</v>
      </c>
      <c r="E51" s="41">
        <v>58</v>
      </c>
      <c r="F51" s="42">
        <v>73</v>
      </c>
      <c r="G51" s="41">
        <v>4</v>
      </c>
      <c r="H51" s="41">
        <v>141</v>
      </c>
      <c r="I51" s="41">
        <v>249</v>
      </c>
      <c r="J51" s="41">
        <v>215</v>
      </c>
      <c r="K51" s="41">
        <v>149</v>
      </c>
      <c r="L51" s="41">
        <v>54</v>
      </c>
      <c r="M51" s="41">
        <v>1</v>
      </c>
      <c r="N51" s="43">
        <v>0</v>
      </c>
      <c r="O51" s="41">
        <v>1</v>
      </c>
      <c r="P51" s="41">
        <v>13</v>
      </c>
      <c r="Q51" s="41">
        <v>0</v>
      </c>
      <c r="R51" s="41">
        <v>90</v>
      </c>
      <c r="S51" s="41">
        <v>24</v>
      </c>
      <c r="T51" s="41">
        <v>91</v>
      </c>
      <c r="U51" s="41"/>
      <c r="V51" s="41">
        <v>7</v>
      </c>
      <c r="W51" s="41">
        <v>19</v>
      </c>
      <c r="X51" s="41">
        <v>17</v>
      </c>
      <c r="Y51" s="41">
        <v>40</v>
      </c>
      <c r="Z51" s="41">
        <v>7</v>
      </c>
      <c r="AA51" s="41">
        <v>1</v>
      </c>
      <c r="AB51" s="41">
        <v>2</v>
      </c>
      <c r="AC51" s="41">
        <v>5</v>
      </c>
      <c r="AD51" s="41">
        <v>6</v>
      </c>
      <c r="AE51" s="41">
        <f>3+35</f>
        <v>38</v>
      </c>
      <c r="AF51" s="41">
        <v>3</v>
      </c>
      <c r="AG51" s="41">
        <f>1+31</f>
        <v>32</v>
      </c>
      <c r="AH51" s="43">
        <v>30</v>
      </c>
      <c r="AI51" s="43">
        <f>1+45</f>
        <v>46</v>
      </c>
      <c r="AJ51" s="41">
        <v>0</v>
      </c>
      <c r="AK51" s="43">
        <v>1</v>
      </c>
      <c r="AL51" s="16">
        <v>0</v>
      </c>
      <c r="AM51" s="16">
        <v>3</v>
      </c>
      <c r="AN51" s="16">
        <v>67</v>
      </c>
      <c r="AO51" s="16">
        <f>1+30</f>
        <v>31</v>
      </c>
      <c r="AP51" s="16">
        <v>8</v>
      </c>
      <c r="AQ51" s="16">
        <v>68</v>
      </c>
      <c r="AR51" s="16">
        <f>1+19</f>
        <v>20</v>
      </c>
      <c r="AS51" s="16">
        <v>9</v>
      </c>
      <c r="AT51" s="43">
        <f t="shared" si="1"/>
        <v>1742</v>
      </c>
    </row>
    <row r="52" spans="1:46" s="4" customFormat="1" x14ac:dyDescent="0.25">
      <c r="A52" s="54" t="s">
        <v>240</v>
      </c>
      <c r="B52" s="52" t="s">
        <v>237</v>
      </c>
      <c r="C52" s="56">
        <f>4+199</f>
        <v>203</v>
      </c>
      <c r="D52" s="56">
        <f>2+146</f>
        <v>148</v>
      </c>
      <c r="E52" s="56">
        <f>1+226</f>
        <v>227</v>
      </c>
      <c r="F52" s="57">
        <f>2+306</f>
        <v>308</v>
      </c>
      <c r="G52" s="56">
        <v>23</v>
      </c>
      <c r="H52" s="56">
        <f>4+509</f>
        <v>513</v>
      </c>
      <c r="I52" s="56">
        <f>3+754</f>
        <v>757</v>
      </c>
      <c r="J52" s="56">
        <f>4+572</f>
        <v>576</v>
      </c>
      <c r="K52" s="56">
        <v>376</v>
      </c>
      <c r="L52" s="56">
        <v>128</v>
      </c>
      <c r="M52" s="56">
        <v>8</v>
      </c>
      <c r="N52" s="58">
        <v>0</v>
      </c>
      <c r="O52" s="56">
        <v>7</v>
      </c>
      <c r="P52" s="56">
        <v>32</v>
      </c>
      <c r="Q52" s="56">
        <v>1</v>
      </c>
      <c r="R52" s="56">
        <f>1+193</f>
        <v>194</v>
      </c>
      <c r="S52" s="56">
        <v>42</v>
      </c>
      <c r="T52" s="56">
        <f>1+243</f>
        <v>244</v>
      </c>
      <c r="U52" s="56"/>
      <c r="V52" s="56">
        <v>23</v>
      </c>
      <c r="W52" s="56">
        <v>22</v>
      </c>
      <c r="X52" s="56">
        <v>31</v>
      </c>
      <c r="Y52" s="56">
        <f>3+119</f>
        <v>122</v>
      </c>
      <c r="Z52" s="56">
        <v>24</v>
      </c>
      <c r="AA52" s="56">
        <v>1</v>
      </c>
      <c r="AB52" s="56">
        <v>11</v>
      </c>
      <c r="AC52" s="56">
        <v>5</v>
      </c>
      <c r="AD52" s="56">
        <v>13</v>
      </c>
      <c r="AE52" s="56">
        <f>3+109</f>
        <v>112</v>
      </c>
      <c r="AF52" s="56">
        <v>3</v>
      </c>
      <c r="AG52" s="56">
        <f>1+74</f>
        <v>75</v>
      </c>
      <c r="AH52" s="58">
        <v>39</v>
      </c>
      <c r="AI52" s="58">
        <v>114</v>
      </c>
      <c r="AJ52" s="56">
        <v>0</v>
      </c>
      <c r="AK52" s="58">
        <v>5</v>
      </c>
      <c r="AL52" s="58">
        <v>0</v>
      </c>
      <c r="AM52" s="58">
        <v>7</v>
      </c>
      <c r="AN52" s="58">
        <v>113</v>
      </c>
      <c r="AO52" s="58">
        <v>78</v>
      </c>
      <c r="AP52" s="58">
        <v>28</v>
      </c>
      <c r="AQ52" s="4">
        <f>1+96</f>
        <v>97</v>
      </c>
      <c r="AR52" s="58">
        <v>37</v>
      </c>
      <c r="AS52" s="58">
        <v>16</v>
      </c>
      <c r="AT52" s="58">
        <f t="shared" si="1"/>
        <v>4763</v>
      </c>
    </row>
    <row r="53" spans="1:46" s="30" customFormat="1" x14ac:dyDescent="0.25">
      <c r="A53" s="37"/>
      <c r="B53" s="16" t="s">
        <v>238</v>
      </c>
      <c r="C53" s="40">
        <v>79</v>
      </c>
      <c r="D53" s="41">
        <v>58</v>
      </c>
      <c r="E53" s="41">
        <v>69</v>
      </c>
      <c r="F53" s="42">
        <f>1+80</f>
        <v>81</v>
      </c>
      <c r="G53" s="41">
        <v>5</v>
      </c>
      <c r="H53" s="41">
        <f>1+144</f>
        <v>145</v>
      </c>
      <c r="I53" s="41">
        <v>262</v>
      </c>
      <c r="J53" s="41">
        <f>1+232</f>
        <v>233</v>
      </c>
      <c r="K53" s="41">
        <v>143</v>
      </c>
      <c r="L53" s="41">
        <v>55</v>
      </c>
      <c r="M53" s="41">
        <v>2</v>
      </c>
      <c r="N53" s="43">
        <v>0</v>
      </c>
      <c r="O53" s="41">
        <v>0</v>
      </c>
      <c r="P53" s="41">
        <v>15</v>
      </c>
      <c r="Q53" s="41">
        <v>0</v>
      </c>
      <c r="R53" s="41">
        <v>79</v>
      </c>
      <c r="S53" s="41">
        <v>24</v>
      </c>
      <c r="T53" s="41">
        <v>83</v>
      </c>
      <c r="U53" s="41"/>
      <c r="V53" s="41">
        <v>7</v>
      </c>
      <c r="W53" s="41">
        <v>18</v>
      </c>
      <c r="X53" s="41">
        <v>13</v>
      </c>
      <c r="Y53" s="41">
        <v>40</v>
      </c>
      <c r="Z53" s="41">
        <v>8</v>
      </c>
      <c r="AA53" s="41">
        <v>0</v>
      </c>
      <c r="AB53" s="41">
        <v>2</v>
      </c>
      <c r="AC53" s="41">
        <v>4</v>
      </c>
      <c r="AD53" s="41">
        <v>5</v>
      </c>
      <c r="AE53" s="41">
        <f>3+43</f>
        <v>46</v>
      </c>
      <c r="AF53" s="41">
        <v>3</v>
      </c>
      <c r="AG53" s="41">
        <v>30</v>
      </c>
      <c r="AH53" s="43">
        <v>29</v>
      </c>
      <c r="AI53" s="43">
        <f>1+41</f>
        <v>42</v>
      </c>
      <c r="AJ53" s="41">
        <v>0</v>
      </c>
      <c r="AK53" s="43">
        <v>1</v>
      </c>
      <c r="AL53" s="43">
        <v>0</v>
      </c>
      <c r="AM53" s="43">
        <v>4</v>
      </c>
      <c r="AN53" s="43">
        <v>68</v>
      </c>
      <c r="AO53" s="30">
        <f>1+29</f>
        <v>30</v>
      </c>
      <c r="AP53" s="43">
        <v>9</v>
      </c>
      <c r="AQ53" s="30">
        <v>67</v>
      </c>
      <c r="AR53" s="43">
        <f>2+18</f>
        <v>20</v>
      </c>
      <c r="AS53" s="16">
        <v>9</v>
      </c>
      <c r="AT53" s="43">
        <f t="shared" si="1"/>
        <v>1788</v>
      </c>
    </row>
    <row r="54" spans="1:46" s="4" customFormat="1" x14ac:dyDescent="0.25">
      <c r="A54" s="54" t="s">
        <v>241</v>
      </c>
      <c r="B54" s="52" t="s">
        <v>237</v>
      </c>
      <c r="C54" s="56">
        <f>3+195</f>
        <v>198</v>
      </c>
      <c r="D54" s="56">
        <f>2+150</f>
        <v>152</v>
      </c>
      <c r="E54" s="56">
        <f>1+212</f>
        <v>213</v>
      </c>
      <c r="F54" s="57">
        <f>3+289</f>
        <v>292</v>
      </c>
      <c r="G54" s="56">
        <v>18</v>
      </c>
      <c r="H54" s="56">
        <f>4+468</f>
        <v>472</v>
      </c>
      <c r="I54" s="56">
        <f>3+719</f>
        <v>722</v>
      </c>
      <c r="J54" s="56">
        <f>5+526</f>
        <v>531</v>
      </c>
      <c r="K54" s="56">
        <v>348</v>
      </c>
      <c r="L54" s="56">
        <v>120</v>
      </c>
      <c r="M54" s="56">
        <v>8</v>
      </c>
      <c r="N54" s="58">
        <v>0</v>
      </c>
      <c r="O54" s="56">
        <v>7</v>
      </c>
      <c r="P54" s="56">
        <v>30</v>
      </c>
      <c r="Q54" s="56">
        <v>1</v>
      </c>
      <c r="R54" s="56">
        <f>1+175</f>
        <v>176</v>
      </c>
      <c r="S54" s="56">
        <v>37</v>
      </c>
      <c r="T54" s="56">
        <f>1+213</f>
        <v>214</v>
      </c>
      <c r="U54" s="56"/>
      <c r="V54" s="56">
        <v>20</v>
      </c>
      <c r="W54" s="56">
        <v>18</v>
      </c>
      <c r="X54" s="56">
        <v>27</v>
      </c>
      <c r="Y54" s="56">
        <f>3+106</f>
        <v>109</v>
      </c>
      <c r="Z54" s="56">
        <v>21</v>
      </c>
      <c r="AA54" s="56">
        <v>1</v>
      </c>
      <c r="AB54" s="56">
        <v>9</v>
      </c>
      <c r="AC54" s="56">
        <v>4</v>
      </c>
      <c r="AD54" s="56">
        <v>11</v>
      </c>
      <c r="AE54" s="56">
        <f>3+100</f>
        <v>103</v>
      </c>
      <c r="AF54" s="56">
        <v>3</v>
      </c>
      <c r="AG54" s="56">
        <v>60</v>
      </c>
      <c r="AH54" s="58">
        <v>28</v>
      </c>
      <c r="AI54" s="58">
        <v>93</v>
      </c>
      <c r="AJ54" s="56">
        <v>0</v>
      </c>
      <c r="AK54" s="58">
        <v>4</v>
      </c>
      <c r="AL54" s="58">
        <v>0</v>
      </c>
      <c r="AM54" s="58">
        <v>7</v>
      </c>
      <c r="AN54" s="58">
        <v>102</v>
      </c>
      <c r="AO54" s="58">
        <v>71</v>
      </c>
      <c r="AP54" s="58">
        <v>23</v>
      </c>
      <c r="AQ54" s="58">
        <v>89</v>
      </c>
      <c r="AR54" s="58">
        <v>33</v>
      </c>
      <c r="AS54" s="58">
        <v>12</v>
      </c>
      <c r="AT54" s="58">
        <f t="shared" si="1"/>
        <v>4387</v>
      </c>
    </row>
    <row r="55" spans="1:46" s="30" customFormat="1" x14ac:dyDescent="0.25">
      <c r="A55" s="37"/>
      <c r="B55" s="16" t="s">
        <v>238</v>
      </c>
      <c r="C55" s="40">
        <v>81</v>
      </c>
      <c r="D55" s="41">
        <v>52</v>
      </c>
      <c r="E55" s="41">
        <v>83</v>
      </c>
      <c r="F55" s="42">
        <v>89</v>
      </c>
      <c r="G55" s="41">
        <v>9</v>
      </c>
      <c r="H55" s="41">
        <f>1+170</f>
        <v>171</v>
      </c>
      <c r="I55" s="41">
        <v>298</v>
      </c>
      <c r="J55" s="41">
        <v>275</v>
      </c>
      <c r="K55" s="41">
        <v>170</v>
      </c>
      <c r="L55" s="41">
        <v>62</v>
      </c>
      <c r="M55" s="41">
        <v>2</v>
      </c>
      <c r="N55" s="43">
        <v>0</v>
      </c>
      <c r="O55" s="41">
        <v>0</v>
      </c>
      <c r="P55" s="41">
        <v>17</v>
      </c>
      <c r="Q55" s="41">
        <v>0</v>
      </c>
      <c r="R55" s="41">
        <v>95</v>
      </c>
      <c r="S55" s="41">
        <v>28</v>
      </c>
      <c r="T55" s="41">
        <v>111</v>
      </c>
      <c r="U55" s="41"/>
      <c r="V55" s="41">
        <v>10</v>
      </c>
      <c r="W55" s="41">
        <v>21</v>
      </c>
      <c r="X55" s="41">
        <v>17</v>
      </c>
      <c r="Y55" s="41">
        <v>53</v>
      </c>
      <c r="Z55" s="41">
        <v>10</v>
      </c>
      <c r="AA55" s="41">
        <v>0</v>
      </c>
      <c r="AB55" s="41">
        <v>5</v>
      </c>
      <c r="AC55" s="41">
        <v>5</v>
      </c>
      <c r="AD55" s="41">
        <v>7</v>
      </c>
      <c r="AE55" s="41">
        <f>5+50</f>
        <v>55</v>
      </c>
      <c r="AF55" s="41">
        <v>3</v>
      </c>
      <c r="AG55" s="41">
        <f>1+43</f>
        <v>44</v>
      </c>
      <c r="AH55" s="43">
        <v>41</v>
      </c>
      <c r="AI55" s="43">
        <f>1+63</f>
        <v>64</v>
      </c>
      <c r="AJ55" s="41">
        <v>0</v>
      </c>
      <c r="AK55" s="43">
        <v>2</v>
      </c>
      <c r="AL55" s="43">
        <v>0</v>
      </c>
      <c r="AM55" s="43">
        <v>3</v>
      </c>
      <c r="AN55" s="43">
        <v>78</v>
      </c>
      <c r="AO55" s="30">
        <f>1+39</f>
        <v>40</v>
      </c>
      <c r="AP55" s="43">
        <v>14</v>
      </c>
      <c r="AQ55" s="30">
        <f>1+74</f>
        <v>75</v>
      </c>
      <c r="AR55" s="30">
        <f>2+22</f>
        <v>24</v>
      </c>
      <c r="AS55" s="16">
        <v>12</v>
      </c>
      <c r="AT55" s="43">
        <f t="shared" si="1"/>
        <v>2126</v>
      </c>
    </row>
    <row r="56" spans="1:46" s="4" customFormat="1" x14ac:dyDescent="0.25">
      <c r="A56" s="54" t="s">
        <v>242</v>
      </c>
      <c r="B56" s="52" t="s">
        <v>237</v>
      </c>
      <c r="C56" s="56">
        <f>3+199</f>
        <v>202</v>
      </c>
      <c r="D56" s="56">
        <f>2+153</f>
        <v>155</v>
      </c>
      <c r="E56" s="56">
        <f>1+218</f>
        <v>219</v>
      </c>
      <c r="F56" s="57">
        <f>2+288</f>
        <v>290</v>
      </c>
      <c r="G56" s="56">
        <v>20</v>
      </c>
      <c r="H56" s="56">
        <f>2+481</f>
        <v>483</v>
      </c>
      <c r="I56" s="56">
        <f>2+712</f>
        <v>714</v>
      </c>
      <c r="J56" s="56">
        <f>5+531</f>
        <v>536</v>
      </c>
      <c r="K56" s="56">
        <v>363</v>
      </c>
      <c r="L56" s="56">
        <v>118</v>
      </c>
      <c r="M56" s="56">
        <v>8</v>
      </c>
      <c r="N56" s="58">
        <v>0</v>
      </c>
      <c r="O56" s="56">
        <v>7</v>
      </c>
      <c r="P56" s="56">
        <v>31</v>
      </c>
      <c r="Q56" s="56">
        <v>1</v>
      </c>
      <c r="R56" s="56">
        <f>1+177</f>
        <v>178</v>
      </c>
      <c r="S56" s="56">
        <v>37</v>
      </c>
      <c r="T56" s="56">
        <f>1+214</f>
        <v>215</v>
      </c>
      <c r="U56" s="56"/>
      <c r="V56" s="56">
        <v>20</v>
      </c>
      <c r="W56" s="56">
        <v>18</v>
      </c>
      <c r="X56" s="56">
        <v>25</v>
      </c>
      <c r="Y56" s="56">
        <f>3+108</f>
        <v>111</v>
      </c>
      <c r="Z56" s="56">
        <v>23</v>
      </c>
      <c r="AA56" s="56">
        <v>0</v>
      </c>
      <c r="AB56" s="56">
        <v>10</v>
      </c>
      <c r="AC56" s="56">
        <v>4</v>
      </c>
      <c r="AD56" s="56">
        <v>11</v>
      </c>
      <c r="AE56" s="56">
        <f>2+103</f>
        <v>105</v>
      </c>
      <c r="AF56" s="56">
        <f>1+3</f>
        <v>4</v>
      </c>
      <c r="AG56" s="56">
        <f>1+64</f>
        <v>65</v>
      </c>
      <c r="AH56" s="58">
        <v>27</v>
      </c>
      <c r="AI56" s="58">
        <v>98</v>
      </c>
      <c r="AJ56" s="56">
        <v>0</v>
      </c>
      <c r="AK56" s="58">
        <v>4</v>
      </c>
      <c r="AL56" s="58">
        <v>0</v>
      </c>
      <c r="AM56" s="58">
        <v>7</v>
      </c>
      <c r="AN56" s="58">
        <v>105</v>
      </c>
      <c r="AO56" s="58">
        <v>70</v>
      </c>
      <c r="AP56" s="58">
        <v>24</v>
      </c>
      <c r="AQ56" s="58">
        <v>83</v>
      </c>
      <c r="AR56" s="58">
        <v>32</v>
      </c>
      <c r="AS56" s="58">
        <v>14</v>
      </c>
      <c r="AT56" s="58">
        <f t="shared" si="1"/>
        <v>4437</v>
      </c>
    </row>
    <row r="57" spans="1:46" s="30" customFormat="1" x14ac:dyDescent="0.25">
      <c r="A57" s="37"/>
      <c r="B57" s="16" t="s">
        <v>238</v>
      </c>
      <c r="C57" s="40">
        <v>79</v>
      </c>
      <c r="D57" s="41">
        <v>50</v>
      </c>
      <c r="E57" s="41">
        <v>74</v>
      </c>
      <c r="F57" s="42">
        <v>91</v>
      </c>
      <c r="G57" s="41">
        <v>7</v>
      </c>
      <c r="H57" s="41">
        <f>3+156</f>
        <v>159</v>
      </c>
      <c r="I57" s="41">
        <f>1+297</f>
        <v>298</v>
      </c>
      <c r="J57" s="41">
        <v>269</v>
      </c>
      <c r="K57" s="41">
        <v>158</v>
      </c>
      <c r="L57" s="41">
        <v>66</v>
      </c>
      <c r="M57" s="41">
        <v>2</v>
      </c>
      <c r="N57" s="43">
        <v>0</v>
      </c>
      <c r="O57" s="41">
        <v>0</v>
      </c>
      <c r="P57" s="41">
        <v>17</v>
      </c>
      <c r="Q57" s="41">
        <v>0</v>
      </c>
      <c r="R57" s="41">
        <v>94</v>
      </c>
      <c r="S57" s="41">
        <v>27</v>
      </c>
      <c r="T57" s="41">
        <v>110</v>
      </c>
      <c r="U57" s="41"/>
      <c r="V57" s="41">
        <v>10</v>
      </c>
      <c r="W57" s="41">
        <v>21</v>
      </c>
      <c r="X57" s="41">
        <v>19</v>
      </c>
      <c r="Y57" s="41">
        <v>51</v>
      </c>
      <c r="Z57" s="41">
        <v>8</v>
      </c>
      <c r="AA57" s="41">
        <v>1</v>
      </c>
      <c r="AB57" s="41">
        <v>4</v>
      </c>
      <c r="AC57" s="41">
        <v>5</v>
      </c>
      <c r="AD57" s="41">
        <v>7</v>
      </c>
      <c r="AE57" s="41">
        <f>4+48</f>
        <v>52</v>
      </c>
      <c r="AF57" s="41">
        <v>3</v>
      </c>
      <c r="AG57" s="41">
        <v>41</v>
      </c>
      <c r="AH57" s="43">
        <v>40</v>
      </c>
      <c r="AI57" s="43">
        <f>1+57</f>
        <v>58</v>
      </c>
      <c r="AJ57" s="41">
        <v>0</v>
      </c>
      <c r="AK57" s="43">
        <v>2</v>
      </c>
      <c r="AL57" s="43">
        <v>0</v>
      </c>
      <c r="AM57" s="43">
        <v>4</v>
      </c>
      <c r="AN57" s="43">
        <v>79</v>
      </c>
      <c r="AO57" s="30">
        <f>1+38</f>
        <v>39</v>
      </c>
      <c r="AP57" s="43">
        <v>13</v>
      </c>
      <c r="AQ57" s="30">
        <f>1+80</f>
        <v>81</v>
      </c>
      <c r="AR57" s="30">
        <f>2+23</f>
        <v>25</v>
      </c>
      <c r="AS57" s="16">
        <v>10</v>
      </c>
      <c r="AT57" s="43">
        <f t="shared" si="1"/>
        <v>2074</v>
      </c>
    </row>
    <row r="58" spans="1:46" s="4" customFormat="1" x14ac:dyDescent="0.25">
      <c r="A58" s="54" t="s">
        <v>243</v>
      </c>
      <c r="B58" s="52" t="s">
        <v>237</v>
      </c>
      <c r="C58" s="56">
        <f>4+204</f>
        <v>208</v>
      </c>
      <c r="D58" s="56">
        <f>1+153</f>
        <v>154</v>
      </c>
      <c r="E58" s="56">
        <f>1+215</f>
        <v>216</v>
      </c>
      <c r="F58" s="57">
        <f>3+296</f>
        <v>299</v>
      </c>
      <c r="G58" s="56">
        <v>21</v>
      </c>
      <c r="H58" s="56">
        <f>5+488</f>
        <v>493</v>
      </c>
      <c r="I58" s="56">
        <f>3+705</f>
        <v>708</v>
      </c>
      <c r="J58" s="56">
        <f>5+537</f>
        <v>542</v>
      </c>
      <c r="K58" s="56">
        <v>369</v>
      </c>
      <c r="L58" s="56">
        <v>122</v>
      </c>
      <c r="M58" s="56">
        <v>8</v>
      </c>
      <c r="N58" s="58">
        <v>0</v>
      </c>
      <c r="O58" s="56">
        <v>7</v>
      </c>
      <c r="P58" s="56">
        <v>29</v>
      </c>
      <c r="Q58" s="56">
        <v>1</v>
      </c>
      <c r="R58" s="56">
        <f>1+173</f>
        <v>174</v>
      </c>
      <c r="S58" s="56">
        <v>39</v>
      </c>
      <c r="T58" s="56">
        <f>1+217</f>
        <v>218</v>
      </c>
      <c r="U58" s="56"/>
      <c r="V58" s="56">
        <v>19</v>
      </c>
      <c r="W58" s="56">
        <v>19</v>
      </c>
      <c r="X58" s="56">
        <v>26</v>
      </c>
      <c r="Y58" s="56">
        <f>3+109</f>
        <v>112</v>
      </c>
      <c r="Z58" s="56">
        <v>20</v>
      </c>
      <c r="AA58" s="56">
        <v>0</v>
      </c>
      <c r="AB58" s="56">
        <v>10</v>
      </c>
      <c r="AC58" s="56">
        <v>4</v>
      </c>
      <c r="AD58" s="56">
        <f>2+12</f>
        <v>14</v>
      </c>
      <c r="AE58" s="56">
        <v>98</v>
      </c>
      <c r="AF58" s="56">
        <v>3</v>
      </c>
      <c r="AG58" s="56">
        <f>1+60</f>
        <v>61</v>
      </c>
      <c r="AH58" s="58">
        <v>26</v>
      </c>
      <c r="AI58" s="58">
        <v>93</v>
      </c>
      <c r="AJ58" s="56">
        <v>0</v>
      </c>
      <c r="AK58" s="58">
        <v>4</v>
      </c>
      <c r="AL58" s="58">
        <v>0</v>
      </c>
      <c r="AM58" s="58">
        <v>8</v>
      </c>
      <c r="AN58" s="58">
        <v>106</v>
      </c>
      <c r="AO58" s="4">
        <f>1+70</f>
        <v>71</v>
      </c>
      <c r="AP58" s="58">
        <v>24</v>
      </c>
      <c r="AQ58" s="58">
        <v>85</v>
      </c>
      <c r="AR58" s="4">
        <f>2+33</f>
        <v>35</v>
      </c>
      <c r="AS58" s="58">
        <v>13</v>
      </c>
      <c r="AT58" s="58">
        <f t="shared" si="1"/>
        <v>4459</v>
      </c>
    </row>
    <row r="59" spans="1:46" s="30" customFormat="1" x14ac:dyDescent="0.25">
      <c r="A59" s="37"/>
      <c r="B59" s="16" t="s">
        <v>238</v>
      </c>
      <c r="C59" s="40">
        <v>73</v>
      </c>
      <c r="D59" s="41">
        <f>1+54</f>
        <v>55</v>
      </c>
      <c r="E59" s="41">
        <v>75</v>
      </c>
      <c r="F59" s="42">
        <v>81</v>
      </c>
      <c r="G59" s="41">
        <v>8</v>
      </c>
      <c r="H59" s="41">
        <v>153</v>
      </c>
      <c r="I59" s="41">
        <v>309</v>
      </c>
      <c r="J59" s="41">
        <v>265</v>
      </c>
      <c r="K59" s="41">
        <v>149</v>
      </c>
      <c r="L59" s="41">
        <v>62</v>
      </c>
      <c r="M59" s="41">
        <v>2</v>
      </c>
      <c r="N59" s="43">
        <v>0</v>
      </c>
      <c r="O59" s="41">
        <v>0</v>
      </c>
      <c r="P59" s="41">
        <v>18</v>
      </c>
      <c r="Q59" s="41">
        <v>0</v>
      </c>
      <c r="R59" s="41">
        <v>97</v>
      </c>
      <c r="S59" s="41">
        <v>27</v>
      </c>
      <c r="T59" s="41">
        <v>105</v>
      </c>
      <c r="U59" s="41"/>
      <c r="V59" s="41">
        <v>11</v>
      </c>
      <c r="W59" s="41">
        <v>21</v>
      </c>
      <c r="X59" s="41">
        <v>18</v>
      </c>
      <c r="Y59" s="41">
        <v>50</v>
      </c>
      <c r="Z59" s="41">
        <v>11</v>
      </c>
      <c r="AA59" s="41">
        <v>1</v>
      </c>
      <c r="AB59" s="41">
        <v>4</v>
      </c>
      <c r="AC59" s="41">
        <v>5</v>
      </c>
      <c r="AD59" s="41">
        <f>4+6</f>
        <v>10</v>
      </c>
      <c r="AE59" s="41">
        <v>49</v>
      </c>
      <c r="AF59" s="41">
        <v>3</v>
      </c>
      <c r="AG59" s="41">
        <v>44</v>
      </c>
      <c r="AH59" s="43">
        <v>42</v>
      </c>
      <c r="AI59" s="43">
        <f>1+61</f>
        <v>62</v>
      </c>
      <c r="AJ59" s="41">
        <v>0</v>
      </c>
      <c r="AK59" s="43">
        <v>2</v>
      </c>
      <c r="AL59" s="43">
        <v>0</v>
      </c>
      <c r="AM59" s="43">
        <v>3</v>
      </c>
      <c r="AN59" s="43">
        <v>76</v>
      </c>
      <c r="AO59" s="43">
        <v>40</v>
      </c>
      <c r="AP59" s="43">
        <v>12</v>
      </c>
      <c r="AQ59" s="30">
        <f>1+78</f>
        <v>79</v>
      </c>
      <c r="AR59" s="30">
        <f>1+23</f>
        <v>24</v>
      </c>
      <c r="AS59" s="43">
        <v>11</v>
      </c>
      <c r="AT59" s="43">
        <f t="shared" si="1"/>
        <v>2057</v>
      </c>
    </row>
    <row r="60" spans="1:46" s="4" customFormat="1" x14ac:dyDescent="0.25">
      <c r="A60" s="54" t="s">
        <v>244</v>
      </c>
      <c r="B60" s="52" t="s">
        <v>237</v>
      </c>
      <c r="C60" s="56">
        <f>3+206</f>
        <v>209</v>
      </c>
      <c r="D60" s="56">
        <f>2+153</f>
        <v>155</v>
      </c>
      <c r="E60" s="56">
        <f>1+213</f>
        <v>214</v>
      </c>
      <c r="F60" s="57">
        <f>3+306</f>
        <v>309</v>
      </c>
      <c r="G60" s="56">
        <v>22</v>
      </c>
      <c r="H60" s="56">
        <f>5+491</f>
        <v>496</v>
      </c>
      <c r="I60" s="56">
        <f>3+733</f>
        <v>736</v>
      </c>
      <c r="J60" s="56">
        <f>5+561</f>
        <v>566</v>
      </c>
      <c r="K60" s="56">
        <v>380</v>
      </c>
      <c r="L60" s="56">
        <v>125</v>
      </c>
      <c r="M60" s="56">
        <v>7</v>
      </c>
      <c r="N60" s="58">
        <v>0</v>
      </c>
      <c r="O60" s="56">
        <v>7</v>
      </c>
      <c r="P60" s="56">
        <v>32</v>
      </c>
      <c r="Q60" s="56">
        <v>1</v>
      </c>
      <c r="R60" s="56">
        <f>1+174</f>
        <v>175</v>
      </c>
      <c r="S60" s="56">
        <v>40</v>
      </c>
      <c r="T60" s="56">
        <f>1+216</f>
        <v>217</v>
      </c>
      <c r="U60" s="56"/>
      <c r="V60" s="56">
        <v>20</v>
      </c>
      <c r="W60" s="56">
        <v>23</v>
      </c>
      <c r="X60" s="56">
        <v>28</v>
      </c>
      <c r="Y60" s="56">
        <f>3+112</f>
        <v>115</v>
      </c>
      <c r="Z60" s="56">
        <v>22</v>
      </c>
      <c r="AA60" s="56">
        <v>1</v>
      </c>
      <c r="AB60" s="56">
        <v>10</v>
      </c>
      <c r="AC60" s="56">
        <v>5</v>
      </c>
      <c r="AD60" s="56">
        <v>12</v>
      </c>
      <c r="AE60" s="56">
        <f>2+110</f>
        <v>112</v>
      </c>
      <c r="AF60" s="56">
        <v>4</v>
      </c>
      <c r="AG60" s="56">
        <f>1+66</f>
        <v>67</v>
      </c>
      <c r="AH60" s="58">
        <v>26</v>
      </c>
      <c r="AI60" s="58">
        <v>93</v>
      </c>
      <c r="AJ60" s="56">
        <v>0</v>
      </c>
      <c r="AK60" s="58">
        <v>5</v>
      </c>
      <c r="AL60" s="58">
        <v>0</v>
      </c>
      <c r="AM60" s="58">
        <v>9</v>
      </c>
      <c r="AN60" s="58">
        <v>109</v>
      </c>
      <c r="AO60" s="4">
        <f>1+77</f>
        <v>78</v>
      </c>
      <c r="AP60" s="58">
        <v>24</v>
      </c>
      <c r="AQ60" s="58">
        <v>96</v>
      </c>
      <c r="AR60" s="58">
        <v>35</v>
      </c>
      <c r="AS60" s="58">
        <v>14</v>
      </c>
      <c r="AT60" s="58">
        <f t="shared" si="1"/>
        <v>4599</v>
      </c>
    </row>
    <row r="61" spans="1:46" s="30" customFormat="1" x14ac:dyDescent="0.25">
      <c r="A61" s="37"/>
      <c r="B61" s="16" t="s">
        <v>238</v>
      </c>
      <c r="C61" s="40">
        <v>74</v>
      </c>
      <c r="D61" s="41">
        <v>52</v>
      </c>
      <c r="E61" s="41">
        <v>79</v>
      </c>
      <c r="F61" s="42">
        <v>72</v>
      </c>
      <c r="G61" s="41">
        <v>7</v>
      </c>
      <c r="H61" s="41">
        <v>148</v>
      </c>
      <c r="I61" s="41">
        <v>272</v>
      </c>
      <c r="J61" s="41">
        <v>238</v>
      </c>
      <c r="K61" s="41">
        <v>139</v>
      </c>
      <c r="L61" s="41">
        <v>58</v>
      </c>
      <c r="M61" s="41">
        <v>2</v>
      </c>
      <c r="N61" s="43">
        <v>0</v>
      </c>
      <c r="O61" s="41">
        <v>0</v>
      </c>
      <c r="P61" s="41">
        <v>15</v>
      </c>
      <c r="Q61" s="41">
        <v>0</v>
      </c>
      <c r="R61" s="41">
        <v>92</v>
      </c>
      <c r="S61" s="41">
        <v>26</v>
      </c>
      <c r="T61" s="41">
        <v>104</v>
      </c>
      <c r="U61" s="41"/>
      <c r="V61" s="41">
        <v>10</v>
      </c>
      <c r="W61" s="41">
        <v>17</v>
      </c>
      <c r="X61" s="41">
        <v>16</v>
      </c>
      <c r="Y61" s="41">
        <v>47</v>
      </c>
      <c r="Z61" s="41">
        <v>9</v>
      </c>
      <c r="AA61" s="41">
        <v>0</v>
      </c>
      <c r="AB61" s="41">
        <v>4</v>
      </c>
      <c r="AC61" s="41">
        <v>4</v>
      </c>
      <c r="AD61" s="41">
        <v>6</v>
      </c>
      <c r="AE61" s="41">
        <v>40</v>
      </c>
      <c r="AF61" s="41">
        <v>2</v>
      </c>
      <c r="AG61" s="41">
        <v>38</v>
      </c>
      <c r="AH61" s="43">
        <v>42</v>
      </c>
      <c r="AI61" s="43">
        <f>1+61</f>
        <v>62</v>
      </c>
      <c r="AJ61" s="41">
        <v>0</v>
      </c>
      <c r="AK61" s="43">
        <v>1</v>
      </c>
      <c r="AL61" s="43">
        <v>0</v>
      </c>
      <c r="AM61" s="43">
        <v>3</v>
      </c>
      <c r="AN61" s="43">
        <v>69</v>
      </c>
      <c r="AO61" s="43">
        <v>31</v>
      </c>
      <c r="AP61" s="43">
        <v>12</v>
      </c>
      <c r="AQ61" s="30">
        <f>1+67</f>
        <v>68</v>
      </c>
      <c r="AR61" s="30">
        <f>2+22</f>
        <v>24</v>
      </c>
      <c r="AS61" s="43">
        <v>10</v>
      </c>
      <c r="AT61" s="43">
        <f t="shared" si="1"/>
        <v>1893</v>
      </c>
    </row>
    <row r="62" spans="1:46" s="4" customFormat="1" x14ac:dyDescent="0.25">
      <c r="A62" s="54" t="s">
        <v>245</v>
      </c>
      <c r="B62" s="52" t="s">
        <v>237</v>
      </c>
      <c r="C62" s="56">
        <f>4+214</f>
        <v>218</v>
      </c>
      <c r="D62" s="56">
        <f>2+152</f>
        <v>154</v>
      </c>
      <c r="E62" s="56">
        <f>1+222</f>
        <v>223</v>
      </c>
      <c r="F62" s="57">
        <f>2+299</f>
        <v>301</v>
      </c>
      <c r="G62" s="56">
        <v>22</v>
      </c>
      <c r="H62" s="56">
        <f>2+487</f>
        <v>489</v>
      </c>
      <c r="I62" s="56">
        <f>2+762</f>
        <v>764</v>
      </c>
      <c r="J62" s="56">
        <f>4+574</f>
        <v>578</v>
      </c>
      <c r="K62" s="56">
        <v>373</v>
      </c>
      <c r="L62" s="56">
        <v>127</v>
      </c>
      <c r="M62" s="56">
        <v>7</v>
      </c>
      <c r="N62" s="58">
        <v>0</v>
      </c>
      <c r="O62" s="56">
        <v>7</v>
      </c>
      <c r="P62" s="56">
        <v>30</v>
      </c>
      <c r="Q62" s="56">
        <v>1</v>
      </c>
      <c r="R62" s="56">
        <f>1+198</f>
        <v>199</v>
      </c>
      <c r="S62" s="56">
        <v>45</v>
      </c>
      <c r="T62" s="56">
        <f>1+240</f>
        <v>241</v>
      </c>
      <c r="U62" s="56"/>
      <c r="V62" s="56">
        <v>22</v>
      </c>
      <c r="W62" s="56">
        <v>21</v>
      </c>
      <c r="X62" s="56">
        <v>28</v>
      </c>
      <c r="Y62" s="56">
        <f>3+114</f>
        <v>117</v>
      </c>
      <c r="Z62" s="56">
        <v>21</v>
      </c>
      <c r="AA62" s="56">
        <v>0</v>
      </c>
      <c r="AB62" s="56">
        <v>12</v>
      </c>
      <c r="AC62" s="56">
        <v>6</v>
      </c>
      <c r="AD62" s="56">
        <v>12</v>
      </c>
      <c r="AE62" s="56">
        <f>2+109</f>
        <v>111</v>
      </c>
      <c r="AF62" s="56">
        <v>3</v>
      </c>
      <c r="AG62" s="56">
        <f>1+74</f>
        <v>75</v>
      </c>
      <c r="AH62" s="58">
        <v>39</v>
      </c>
      <c r="AI62" s="58">
        <v>112</v>
      </c>
      <c r="AJ62" s="56">
        <v>0</v>
      </c>
      <c r="AK62" s="58">
        <v>5</v>
      </c>
      <c r="AL62" s="58">
        <v>0</v>
      </c>
      <c r="AM62" s="58">
        <v>7</v>
      </c>
      <c r="AN62" s="58">
        <v>120</v>
      </c>
      <c r="AO62" s="4">
        <f>1+79</f>
        <v>80</v>
      </c>
      <c r="AP62" s="58">
        <v>27</v>
      </c>
      <c r="AQ62" s="4">
        <f>1+103</f>
        <v>104</v>
      </c>
      <c r="AR62" s="4">
        <f>1+40</f>
        <v>41</v>
      </c>
      <c r="AS62" s="58">
        <v>16</v>
      </c>
      <c r="AT62" s="58">
        <f t="shared" si="1"/>
        <v>4758</v>
      </c>
    </row>
    <row r="63" spans="1:46" s="30" customFormat="1" x14ac:dyDescent="0.25">
      <c r="A63" s="37"/>
      <c r="B63" s="16" t="s">
        <v>238</v>
      </c>
      <c r="C63" s="40">
        <v>73</v>
      </c>
      <c r="D63" s="41">
        <v>55</v>
      </c>
      <c r="E63" s="41">
        <v>72</v>
      </c>
      <c r="F63" s="42">
        <f>1+80</f>
        <v>81</v>
      </c>
      <c r="G63" s="41">
        <v>7</v>
      </c>
      <c r="H63" s="41">
        <f>3+150</f>
        <v>153</v>
      </c>
      <c r="I63" s="41">
        <v>247</v>
      </c>
      <c r="J63" s="41">
        <f>1+230</f>
        <v>231</v>
      </c>
      <c r="K63" s="41">
        <v>144</v>
      </c>
      <c r="L63" s="41">
        <v>55</v>
      </c>
      <c r="M63" s="41">
        <v>2</v>
      </c>
      <c r="N63" s="43">
        <v>0</v>
      </c>
      <c r="O63" s="41">
        <v>0</v>
      </c>
      <c r="P63" s="41">
        <v>16</v>
      </c>
      <c r="Q63" s="41">
        <v>0</v>
      </c>
      <c r="R63" s="41">
        <v>74</v>
      </c>
      <c r="S63" s="41">
        <v>21</v>
      </c>
      <c r="T63" s="41">
        <v>81</v>
      </c>
      <c r="U63" s="41"/>
      <c r="V63" s="41">
        <v>8</v>
      </c>
      <c r="W63" s="41">
        <v>20</v>
      </c>
      <c r="X63" s="41">
        <v>16</v>
      </c>
      <c r="Y63" s="41">
        <v>45</v>
      </c>
      <c r="Z63" s="41">
        <v>10</v>
      </c>
      <c r="AA63" s="41">
        <v>1</v>
      </c>
      <c r="AB63" s="41">
        <v>2</v>
      </c>
      <c r="AC63" s="41">
        <v>3</v>
      </c>
      <c r="AD63" s="41">
        <v>6</v>
      </c>
      <c r="AE63" s="41">
        <f>4+43</f>
        <v>47</v>
      </c>
      <c r="AF63" s="41">
        <v>3</v>
      </c>
      <c r="AG63" s="41">
        <v>30</v>
      </c>
      <c r="AH63" s="43">
        <v>29</v>
      </c>
      <c r="AI63" s="43">
        <f>1+42</f>
        <v>43</v>
      </c>
      <c r="AJ63" s="41">
        <v>0</v>
      </c>
      <c r="AK63" s="43">
        <v>1</v>
      </c>
      <c r="AL63" s="43">
        <v>0</v>
      </c>
      <c r="AM63" s="43">
        <v>4</v>
      </c>
      <c r="AN63" s="43">
        <v>62</v>
      </c>
      <c r="AO63" s="43">
        <v>30</v>
      </c>
      <c r="AP63" s="43">
        <v>9</v>
      </c>
      <c r="AQ63" s="43">
        <v>61</v>
      </c>
      <c r="AR63" s="30">
        <f>1+16</f>
        <v>17</v>
      </c>
      <c r="AS63" s="43">
        <v>9</v>
      </c>
      <c r="AT63" s="43">
        <f t="shared" si="1"/>
        <v>1768</v>
      </c>
    </row>
    <row r="64" spans="1:46" s="3" customFormat="1" x14ac:dyDescent="0.25">
      <c r="A64" s="36" t="s">
        <v>128</v>
      </c>
      <c r="B64" s="49"/>
      <c r="C64" s="24"/>
      <c r="G64" s="19"/>
      <c r="AJ64" s="24"/>
      <c r="AN64" s="24"/>
      <c r="AO64" s="24"/>
      <c r="AP64" s="24"/>
      <c r="AQ64" s="24"/>
      <c r="AR64" s="24"/>
      <c r="AS64" s="24"/>
      <c r="AT64" s="24"/>
    </row>
    <row r="65" spans="1:46" s="52" customFormat="1" x14ac:dyDescent="0.25">
      <c r="A65" s="54" t="s">
        <v>130</v>
      </c>
      <c r="B65" s="55" t="s">
        <v>80</v>
      </c>
      <c r="D65" s="56"/>
      <c r="E65" s="56"/>
      <c r="F65" s="56"/>
      <c r="G65" s="57">
        <v>30</v>
      </c>
      <c r="H65" s="56">
        <f>5+623</f>
        <v>628</v>
      </c>
      <c r="I65" s="56">
        <f>3+1023</f>
        <v>1026</v>
      </c>
      <c r="J65" s="56"/>
      <c r="K65" s="56"/>
      <c r="L65" s="56">
        <v>188</v>
      </c>
      <c r="M65" s="56">
        <v>11</v>
      </c>
      <c r="N65" s="56">
        <v>0</v>
      </c>
      <c r="O65" s="56">
        <v>8</v>
      </c>
      <c r="P65" s="56">
        <v>46</v>
      </c>
      <c r="Q65" s="56">
        <v>1</v>
      </c>
      <c r="R65" s="56"/>
      <c r="S65" s="56"/>
      <c r="T65" s="56"/>
      <c r="U65" s="56"/>
      <c r="V65" s="56"/>
      <c r="W65" s="56"/>
      <c r="X65" s="56">
        <v>45</v>
      </c>
      <c r="Y65" s="56">
        <f>3+166</f>
        <v>169</v>
      </c>
      <c r="Z65" s="56">
        <v>40</v>
      </c>
      <c r="AA65" s="56">
        <v>1</v>
      </c>
      <c r="AB65" s="56">
        <v>11</v>
      </c>
      <c r="AC65" s="56"/>
      <c r="AD65" s="56"/>
      <c r="AE65" s="56"/>
      <c r="AF65" s="56"/>
      <c r="AG65" s="56">
        <f>1+107</f>
        <v>108</v>
      </c>
      <c r="AH65" s="56"/>
      <c r="AI65" s="56"/>
      <c r="AJ65" s="58"/>
      <c r="AK65" s="56"/>
      <c r="AL65" s="58"/>
      <c r="AM65" s="58"/>
      <c r="AN65" s="58"/>
      <c r="AO65" s="52">
        <f>1+109</f>
        <v>110</v>
      </c>
      <c r="AP65" s="58"/>
      <c r="AQ65" s="58"/>
      <c r="AR65" s="58"/>
      <c r="AS65" s="52">
        <v>29</v>
      </c>
      <c r="AT65" s="58">
        <f>SUM(C65:AS65)</f>
        <v>2451</v>
      </c>
    </row>
    <row r="66" spans="1:46" s="16" customFormat="1" x14ac:dyDescent="0.25">
      <c r="A66" s="45" t="s">
        <v>117</v>
      </c>
      <c r="B66" s="47"/>
      <c r="D66" s="41"/>
      <c r="E66" s="41"/>
      <c r="F66" s="41"/>
      <c r="G66" s="42"/>
      <c r="H66" s="41"/>
      <c r="I66" s="41"/>
      <c r="J66" s="41"/>
      <c r="K66" s="41"/>
      <c r="L66" s="41"/>
      <c r="M66" s="41"/>
      <c r="N66" s="41"/>
      <c r="O66" s="41"/>
      <c r="P66" s="41"/>
      <c r="Q66" s="41"/>
      <c r="R66" s="41"/>
      <c r="S66" s="41"/>
      <c r="T66" s="41"/>
      <c r="U66" s="41"/>
      <c r="V66" s="41"/>
      <c r="W66" s="41"/>
      <c r="X66" s="41"/>
      <c r="Y66" s="41"/>
      <c r="Z66" s="41"/>
      <c r="AA66" s="41"/>
      <c r="AB66" s="41"/>
      <c r="AC66" s="41"/>
      <c r="AD66" s="41"/>
      <c r="AE66" s="41"/>
      <c r="AF66" s="41"/>
      <c r="AG66" s="41"/>
      <c r="AH66" s="41"/>
      <c r="AI66" s="41"/>
      <c r="AJ66" s="43"/>
      <c r="AK66" s="41"/>
      <c r="AL66" s="43"/>
      <c r="AM66" s="43"/>
    </row>
    <row r="67" spans="1:46" s="23" customFormat="1" x14ac:dyDescent="0.25">
      <c r="A67" s="37" t="s">
        <v>250</v>
      </c>
      <c r="B67" s="47"/>
      <c r="C67" s="16"/>
      <c r="D67" s="41"/>
      <c r="E67" s="41"/>
      <c r="F67" s="41"/>
      <c r="G67" s="42"/>
      <c r="H67" s="41">
        <v>4</v>
      </c>
      <c r="I67" s="41">
        <v>19</v>
      </c>
      <c r="J67" s="41"/>
      <c r="K67" s="41">
        <v>2</v>
      </c>
      <c r="L67" s="41">
        <v>2</v>
      </c>
      <c r="M67" s="41"/>
      <c r="N67" s="41"/>
      <c r="O67" s="41"/>
      <c r="P67" s="41"/>
      <c r="Q67" s="41"/>
      <c r="R67" s="41"/>
      <c r="S67" s="41"/>
      <c r="T67" s="41">
        <v>1</v>
      </c>
      <c r="U67" s="41"/>
      <c r="V67" s="41"/>
      <c r="W67" s="41"/>
      <c r="X67" s="41">
        <v>1</v>
      </c>
      <c r="Y67" s="41">
        <f>3+4</f>
        <v>7</v>
      </c>
      <c r="Z67" s="41">
        <v>2</v>
      </c>
      <c r="AA67" s="41"/>
      <c r="AB67" s="41"/>
      <c r="AC67" s="41"/>
      <c r="AD67" s="41"/>
      <c r="AE67" s="41"/>
      <c r="AF67" s="41"/>
      <c r="AG67" s="41"/>
      <c r="AH67" s="41"/>
      <c r="AI67" s="41"/>
      <c r="AJ67" s="43"/>
      <c r="AK67" s="41"/>
      <c r="AL67" s="43"/>
      <c r="AM67" s="43"/>
      <c r="AN67" s="16"/>
      <c r="AO67" s="16"/>
      <c r="AP67" s="16"/>
      <c r="AQ67" s="16"/>
      <c r="AR67" s="16"/>
      <c r="AS67" s="16"/>
      <c r="AT67" s="43">
        <f>SUM(C67:AS67)</f>
        <v>38</v>
      </c>
    </row>
    <row r="68" spans="1:46" s="3" customFormat="1" x14ac:dyDescent="0.25">
      <c r="A68" s="36" t="s">
        <v>129</v>
      </c>
      <c r="B68" s="49"/>
      <c r="C68" s="24"/>
      <c r="G68" s="19"/>
      <c r="AJ68" s="24"/>
      <c r="AN68" s="24"/>
      <c r="AO68" s="24"/>
      <c r="AP68" s="24"/>
      <c r="AQ68" s="24"/>
      <c r="AR68" s="24"/>
      <c r="AS68" s="24"/>
      <c r="AT68" s="24"/>
    </row>
    <row r="69" spans="1:46" s="16" customFormat="1" x14ac:dyDescent="0.25">
      <c r="A69" s="37" t="s">
        <v>123</v>
      </c>
      <c r="B69" s="47" t="s">
        <v>79</v>
      </c>
      <c r="D69" s="41"/>
      <c r="E69" s="41">
        <f>1+165</f>
        <v>166</v>
      </c>
      <c r="F69" s="41">
        <f>2+244</f>
        <v>246</v>
      </c>
      <c r="G69" s="42"/>
      <c r="H69" s="41"/>
      <c r="I69" s="41"/>
      <c r="J69" s="41">
        <f>3+293</f>
        <v>296</v>
      </c>
      <c r="K69" s="41">
        <v>219</v>
      </c>
      <c r="L69" s="41"/>
      <c r="M69" s="41"/>
      <c r="N69" s="41"/>
      <c r="O69" s="41"/>
      <c r="P69" s="41"/>
      <c r="Q69" s="41"/>
      <c r="R69" s="41"/>
      <c r="S69" s="41"/>
      <c r="T69" s="41"/>
      <c r="U69" s="41"/>
      <c r="V69" s="41"/>
      <c r="W69" s="41"/>
      <c r="X69" s="41"/>
      <c r="Y69" s="41"/>
      <c r="Z69" s="41"/>
      <c r="AA69" s="41"/>
      <c r="AB69" s="41"/>
      <c r="AC69" s="41"/>
      <c r="AD69" s="41"/>
      <c r="AE69" s="41"/>
      <c r="AF69" s="41"/>
      <c r="AG69" s="41"/>
      <c r="AH69" s="41"/>
      <c r="AI69" s="41">
        <f>1+36</f>
        <v>37</v>
      </c>
      <c r="AJ69" s="43">
        <v>0</v>
      </c>
      <c r="AK69" s="41">
        <v>2</v>
      </c>
      <c r="AL69" s="43">
        <v>0</v>
      </c>
      <c r="AM69" s="43">
        <v>8</v>
      </c>
      <c r="AT69" s="43">
        <f>SUM(C69:AS69)</f>
        <v>974</v>
      </c>
    </row>
    <row r="70" spans="1:46" s="52" customFormat="1" x14ac:dyDescent="0.25">
      <c r="A70" s="54" t="s">
        <v>197</v>
      </c>
      <c r="B70" s="55" t="s">
        <v>80</v>
      </c>
      <c r="D70" s="56"/>
      <c r="E70" s="56">
        <v>193</v>
      </c>
      <c r="F70" s="56">
        <f>1+220</f>
        <v>221</v>
      </c>
      <c r="G70" s="57"/>
      <c r="H70" s="56"/>
      <c r="I70" s="56"/>
      <c r="J70" s="56">
        <f>2+723</f>
        <v>725</v>
      </c>
      <c r="K70" s="56">
        <v>402</v>
      </c>
      <c r="L70" s="56"/>
      <c r="M70" s="56"/>
      <c r="N70" s="56"/>
      <c r="O70" s="56"/>
      <c r="P70" s="56"/>
      <c r="Q70" s="56"/>
      <c r="R70" s="56"/>
      <c r="S70" s="56"/>
      <c r="T70" s="56"/>
      <c r="U70" s="56"/>
      <c r="V70" s="56"/>
      <c r="W70" s="56"/>
      <c r="X70" s="56"/>
      <c r="Y70" s="56"/>
      <c r="Z70" s="56"/>
      <c r="AA70" s="56"/>
      <c r="AB70" s="56"/>
      <c r="AC70" s="56"/>
      <c r="AD70" s="56"/>
      <c r="AE70" s="56"/>
      <c r="AF70" s="56"/>
      <c r="AG70" s="56"/>
      <c r="AH70" s="56"/>
      <c r="AI70" s="56">
        <v>154</v>
      </c>
      <c r="AJ70" s="58">
        <v>0</v>
      </c>
      <c r="AK70" s="56">
        <v>9</v>
      </c>
      <c r="AL70" s="58">
        <v>1</v>
      </c>
      <c r="AM70" s="58">
        <v>10</v>
      </c>
      <c r="AT70" s="58">
        <f>SUM(C70:AS70)</f>
        <v>1715</v>
      </c>
    </row>
    <row r="71" spans="1:46" s="16" customFormat="1" x14ac:dyDescent="0.25">
      <c r="A71" s="45" t="s">
        <v>117</v>
      </c>
      <c r="B71" s="47"/>
      <c r="D71" s="41"/>
      <c r="E71" s="41"/>
      <c r="F71" s="41"/>
      <c r="G71" s="42"/>
      <c r="H71" s="41"/>
      <c r="I71" s="41"/>
      <c r="J71" s="41"/>
      <c r="K71" s="41"/>
      <c r="L71" s="41"/>
      <c r="M71" s="41"/>
      <c r="N71" s="41"/>
      <c r="O71" s="41"/>
      <c r="P71" s="41"/>
      <c r="Q71" s="41"/>
      <c r="R71" s="41"/>
      <c r="S71" s="41"/>
      <c r="T71" s="41"/>
      <c r="U71" s="41"/>
      <c r="V71" s="41"/>
      <c r="W71" s="41"/>
      <c r="X71" s="41"/>
      <c r="Y71" s="41"/>
      <c r="Z71" s="41"/>
      <c r="AA71" s="41"/>
      <c r="AB71" s="41"/>
      <c r="AC71" s="41"/>
      <c r="AD71" s="41"/>
      <c r="AE71" s="41"/>
      <c r="AF71" s="41"/>
      <c r="AG71" s="41"/>
      <c r="AH71" s="41"/>
      <c r="AI71" s="41"/>
      <c r="AJ71" s="43"/>
      <c r="AK71" s="41"/>
      <c r="AL71" s="43"/>
      <c r="AM71" s="43"/>
    </row>
    <row r="72" spans="1:46" s="23" customFormat="1" x14ac:dyDescent="0.25">
      <c r="A72" s="37"/>
      <c r="B72" s="47"/>
      <c r="C72" s="16"/>
      <c r="D72" s="41"/>
      <c r="E72" s="41"/>
      <c r="F72" s="41"/>
      <c r="G72" s="42"/>
      <c r="H72" s="41"/>
      <c r="I72" s="41"/>
      <c r="J72" s="41"/>
      <c r="K72" s="41"/>
      <c r="L72" s="41"/>
      <c r="M72" s="41"/>
      <c r="N72" s="41"/>
      <c r="O72" s="41"/>
      <c r="P72" s="41"/>
      <c r="Q72" s="41"/>
      <c r="R72" s="41"/>
      <c r="S72" s="41"/>
      <c r="T72" s="41"/>
      <c r="U72" s="41"/>
      <c r="V72" s="41"/>
      <c r="W72" s="41"/>
      <c r="X72" s="41"/>
      <c r="Y72" s="41"/>
      <c r="Z72" s="41"/>
      <c r="AA72" s="41"/>
      <c r="AB72" s="41"/>
      <c r="AC72" s="41"/>
      <c r="AD72" s="41"/>
      <c r="AE72" s="41"/>
      <c r="AF72" s="41"/>
      <c r="AG72" s="41"/>
      <c r="AH72" s="41"/>
      <c r="AI72" s="41"/>
      <c r="AJ72" s="43"/>
      <c r="AK72" s="41"/>
      <c r="AL72" s="43"/>
      <c r="AM72" s="43"/>
      <c r="AN72" s="16"/>
      <c r="AO72" s="16"/>
      <c r="AP72" s="16"/>
      <c r="AQ72" s="16"/>
      <c r="AR72" s="16"/>
      <c r="AS72" s="16"/>
      <c r="AT72" s="43">
        <f>SUM(C72:AS72)</f>
        <v>0</v>
      </c>
    </row>
    <row r="73" spans="1:46" s="3" customFormat="1" x14ac:dyDescent="0.25">
      <c r="A73" s="36" t="s">
        <v>131</v>
      </c>
      <c r="B73" s="49"/>
      <c r="C73" s="24"/>
      <c r="G73" s="19"/>
      <c r="AJ73" s="24"/>
      <c r="AN73" s="24"/>
      <c r="AO73" s="24"/>
      <c r="AP73" s="24"/>
      <c r="AQ73" s="24"/>
      <c r="AR73" s="24"/>
      <c r="AS73" s="24"/>
      <c r="AT73" s="24"/>
    </row>
    <row r="74" spans="1:46" s="52" customFormat="1" x14ac:dyDescent="0.25">
      <c r="A74" s="54" t="s">
        <v>132</v>
      </c>
      <c r="B74" s="55" t="s">
        <v>80</v>
      </c>
      <c r="C74" s="52">
        <f>5+284</f>
        <v>289</v>
      </c>
      <c r="D74" s="56">
        <f>2+201</f>
        <v>203</v>
      </c>
      <c r="E74" s="56">
        <f>1+297</f>
        <v>298</v>
      </c>
      <c r="F74" s="56">
        <f>1+365</f>
        <v>366</v>
      </c>
      <c r="G74" s="57">
        <v>30</v>
      </c>
      <c r="H74" s="56">
        <f>5+641</f>
        <v>646</v>
      </c>
      <c r="I74" s="56">
        <f>3+1074</f>
        <v>1077</v>
      </c>
      <c r="J74" s="56">
        <f>5+868</f>
        <v>873</v>
      </c>
      <c r="K74" s="56">
        <v>548</v>
      </c>
      <c r="L74" s="56">
        <v>198</v>
      </c>
      <c r="M74" s="56">
        <v>10</v>
      </c>
      <c r="N74" s="56">
        <v>0</v>
      </c>
      <c r="O74" s="56">
        <v>8</v>
      </c>
      <c r="P74" s="56">
        <v>52</v>
      </c>
      <c r="Q74" s="56">
        <v>1</v>
      </c>
      <c r="R74" s="56">
        <f>1+297</f>
        <v>298</v>
      </c>
      <c r="S74" s="56">
        <v>67</v>
      </c>
      <c r="T74" s="56">
        <f>1+377</f>
        <v>378</v>
      </c>
      <c r="U74" s="56"/>
      <c r="V74" s="56">
        <v>36</v>
      </c>
      <c r="W74" s="56">
        <v>47</v>
      </c>
      <c r="X74" s="56">
        <v>48</v>
      </c>
      <c r="Y74" s="56">
        <f>3+187</f>
        <v>190</v>
      </c>
      <c r="Z74" s="56">
        <v>39</v>
      </c>
      <c r="AA74" s="56">
        <v>1</v>
      </c>
      <c r="AB74" s="56">
        <v>13</v>
      </c>
      <c r="AC74" s="56">
        <v>12</v>
      </c>
      <c r="AD74" s="56">
        <f>1+23</f>
        <v>24</v>
      </c>
      <c r="AE74" s="56">
        <f>6+164</f>
        <v>170</v>
      </c>
      <c r="AF74" s="56">
        <v>5</v>
      </c>
      <c r="AG74" s="56">
        <f>1+117</f>
        <v>118</v>
      </c>
      <c r="AH74" s="56">
        <v>76</v>
      </c>
      <c r="AI74" s="56">
        <f>1+185</f>
        <v>186</v>
      </c>
      <c r="AJ74" s="58">
        <v>0</v>
      </c>
      <c r="AK74" s="56">
        <v>8</v>
      </c>
      <c r="AL74" s="58">
        <v>1</v>
      </c>
      <c r="AM74" s="58">
        <v>14</v>
      </c>
      <c r="AN74" s="58">
        <v>185</v>
      </c>
      <c r="AO74" s="58">
        <f>1+117</f>
        <v>118</v>
      </c>
      <c r="AP74" s="58">
        <v>42</v>
      </c>
      <c r="AQ74" s="58">
        <v>186</v>
      </c>
      <c r="AR74" s="58">
        <f>2+61</f>
        <v>63</v>
      </c>
      <c r="AS74" s="58">
        <v>32</v>
      </c>
      <c r="AT74" s="58">
        <f>SUM(C74:AS74)</f>
        <v>6956</v>
      </c>
    </row>
    <row r="75" spans="1:46" s="16" customFormat="1" x14ac:dyDescent="0.25">
      <c r="A75" s="45" t="s">
        <v>117</v>
      </c>
      <c r="B75" s="47"/>
      <c r="D75" s="41"/>
      <c r="E75" s="41"/>
      <c r="F75" s="41"/>
      <c r="G75" s="42"/>
      <c r="H75" s="41"/>
      <c r="I75" s="41"/>
      <c r="J75" s="41"/>
      <c r="K75" s="41"/>
      <c r="L75" s="41"/>
      <c r="M75" s="41"/>
      <c r="N75" s="41"/>
      <c r="O75" s="41"/>
      <c r="P75" s="41"/>
      <c r="Q75" s="41"/>
      <c r="R75" s="41"/>
      <c r="S75" s="41"/>
      <c r="T75" s="41"/>
      <c r="U75" s="41"/>
      <c r="V75" s="41"/>
      <c r="W75" s="41"/>
      <c r="X75" s="41"/>
      <c r="Y75" s="41"/>
      <c r="Z75" s="41"/>
      <c r="AA75" s="41"/>
      <c r="AB75" s="41"/>
      <c r="AC75" s="41"/>
      <c r="AD75" s="41"/>
      <c r="AE75" s="41"/>
      <c r="AF75" s="41"/>
      <c r="AG75" s="41"/>
      <c r="AH75" s="41"/>
      <c r="AI75" s="41"/>
      <c r="AJ75" s="43"/>
      <c r="AK75" s="41"/>
      <c r="AL75" s="43"/>
      <c r="AM75" s="43"/>
    </row>
    <row r="76" spans="1:46" s="23" customFormat="1" x14ac:dyDescent="0.25">
      <c r="A76" s="37"/>
      <c r="B76" s="47"/>
      <c r="C76" s="16"/>
      <c r="D76" s="41"/>
      <c r="E76" s="41"/>
      <c r="F76" s="41"/>
      <c r="G76" s="42"/>
      <c r="H76" s="41"/>
      <c r="I76" s="41"/>
      <c r="J76" s="41"/>
      <c r="K76" s="41"/>
      <c r="L76" s="41"/>
      <c r="M76" s="41"/>
      <c r="N76" s="41"/>
      <c r="O76" s="41"/>
      <c r="P76" s="41"/>
      <c r="Q76" s="41"/>
      <c r="S76" s="41"/>
      <c r="T76" s="41"/>
      <c r="U76" s="41"/>
      <c r="V76" s="41"/>
      <c r="W76" s="41"/>
      <c r="X76" s="41"/>
      <c r="Y76" s="41"/>
      <c r="Z76" s="41"/>
      <c r="AA76" s="41"/>
      <c r="AB76" s="41"/>
      <c r="AC76" s="41"/>
      <c r="AD76" s="41"/>
      <c r="AE76" s="41"/>
      <c r="AF76" s="41"/>
      <c r="AG76" s="41"/>
      <c r="AH76" s="41"/>
      <c r="AI76" s="41"/>
      <c r="AJ76" s="43"/>
      <c r="AK76" s="41"/>
      <c r="AL76" s="43"/>
      <c r="AM76" s="43"/>
      <c r="AN76" s="16"/>
      <c r="AO76" s="16"/>
      <c r="AP76" s="16"/>
      <c r="AQ76" s="16"/>
      <c r="AR76" s="16"/>
      <c r="AS76" s="16"/>
      <c r="AT76" s="43">
        <f>SUM(C76:AS76)</f>
        <v>0</v>
      </c>
    </row>
    <row r="77" spans="1:46" s="3" customFormat="1" x14ac:dyDescent="0.25">
      <c r="A77" s="36" t="s">
        <v>198</v>
      </c>
      <c r="B77" s="49"/>
      <c r="C77" s="24"/>
      <c r="G77" s="19"/>
      <c r="AJ77" s="24"/>
      <c r="AN77" s="24"/>
      <c r="AO77" s="24"/>
      <c r="AP77" s="24"/>
      <c r="AQ77" s="24"/>
      <c r="AR77" s="24"/>
      <c r="AS77" s="24"/>
      <c r="AT77" s="24"/>
    </row>
    <row r="78" spans="1:46" s="52" customFormat="1" x14ac:dyDescent="0.25">
      <c r="A78" s="54" t="s">
        <v>174</v>
      </c>
      <c r="B78" s="55" t="s">
        <v>80</v>
      </c>
      <c r="C78" s="52">
        <f>5+288</f>
        <v>293</v>
      </c>
      <c r="D78" s="56">
        <f>2+201</f>
        <v>203</v>
      </c>
      <c r="E78" s="56">
        <f>1+295</f>
        <v>296</v>
      </c>
      <c r="F78" s="56">
        <f>2+370</f>
        <v>372</v>
      </c>
      <c r="G78" s="57">
        <v>31</v>
      </c>
      <c r="H78" s="56">
        <f>5+636</f>
        <v>641</v>
      </c>
      <c r="I78" s="56">
        <f>2+1076</f>
        <v>1078</v>
      </c>
      <c r="J78" s="56">
        <f>4+863</f>
        <v>867</v>
      </c>
      <c r="K78" s="56">
        <v>542</v>
      </c>
      <c r="L78" s="56">
        <v>198</v>
      </c>
      <c r="M78" s="56">
        <v>10</v>
      </c>
      <c r="N78" s="56">
        <v>0</v>
      </c>
      <c r="O78" s="56">
        <v>8</v>
      </c>
      <c r="P78" s="56">
        <v>50</v>
      </c>
      <c r="Q78" s="56">
        <v>1</v>
      </c>
      <c r="R78" s="56">
        <f>1+299</f>
        <v>300</v>
      </c>
      <c r="S78" s="56">
        <v>68</v>
      </c>
      <c r="T78" s="56">
        <f>1+359</f>
        <v>360</v>
      </c>
      <c r="U78" s="56"/>
      <c r="V78" s="56">
        <v>35</v>
      </c>
      <c r="W78" s="56">
        <v>49</v>
      </c>
      <c r="X78" s="56">
        <v>48</v>
      </c>
      <c r="Y78" s="56">
        <f>3+180</f>
        <v>183</v>
      </c>
      <c r="Z78" s="56">
        <v>42</v>
      </c>
      <c r="AA78" s="56">
        <v>1</v>
      </c>
      <c r="AB78" s="56">
        <v>13</v>
      </c>
      <c r="AC78" s="56">
        <v>12</v>
      </c>
      <c r="AD78" s="56">
        <f>1+21</f>
        <v>22</v>
      </c>
      <c r="AE78" s="56">
        <f>6+163</f>
        <v>169</v>
      </c>
      <c r="AF78" s="56">
        <v>4</v>
      </c>
      <c r="AG78" s="56">
        <f>1+115</f>
        <v>116</v>
      </c>
      <c r="AH78" s="56">
        <v>75</v>
      </c>
      <c r="AI78" s="56">
        <f>1+182</f>
        <v>183</v>
      </c>
      <c r="AJ78" s="58">
        <v>0</v>
      </c>
      <c r="AK78" s="56">
        <v>8</v>
      </c>
      <c r="AL78" s="58">
        <v>1</v>
      </c>
      <c r="AM78" s="58">
        <v>12</v>
      </c>
      <c r="AN78" s="58">
        <v>185</v>
      </c>
      <c r="AO78" s="58">
        <f>1+119</f>
        <v>120</v>
      </c>
      <c r="AP78" s="58">
        <v>41</v>
      </c>
      <c r="AQ78" s="58">
        <v>181</v>
      </c>
      <c r="AR78" s="58">
        <f>2+65</f>
        <v>67</v>
      </c>
      <c r="AS78" s="58">
        <v>30</v>
      </c>
      <c r="AT78" s="58">
        <f>SUM(C78:AS78)</f>
        <v>6915</v>
      </c>
    </row>
    <row r="79" spans="1:46" s="16" customFormat="1" x14ac:dyDescent="0.25">
      <c r="A79" s="45" t="s">
        <v>117</v>
      </c>
      <c r="B79" s="47"/>
      <c r="D79" s="41"/>
      <c r="E79" s="41"/>
      <c r="F79" s="41"/>
      <c r="G79" s="42"/>
      <c r="H79" s="41"/>
      <c r="I79" s="41"/>
      <c r="J79" s="41"/>
      <c r="K79" s="41"/>
      <c r="L79" s="41"/>
      <c r="M79" s="41"/>
      <c r="N79" s="41"/>
      <c r="O79" s="41"/>
      <c r="P79" s="41"/>
      <c r="R79" s="41"/>
      <c r="S79" s="41"/>
      <c r="T79" s="41"/>
      <c r="U79" s="41"/>
      <c r="V79" s="41"/>
      <c r="W79" s="41"/>
      <c r="X79" s="41"/>
      <c r="Y79" s="41"/>
      <c r="Z79" s="41"/>
      <c r="AA79" s="41"/>
      <c r="AB79" s="41"/>
      <c r="AC79" s="41"/>
      <c r="AD79" s="41"/>
      <c r="AE79" s="41"/>
      <c r="AF79" s="41"/>
      <c r="AG79" s="41"/>
      <c r="AH79" s="41"/>
      <c r="AI79" s="41"/>
      <c r="AJ79" s="43"/>
      <c r="AK79" s="41"/>
      <c r="AL79" s="43"/>
      <c r="AM79" s="43"/>
    </row>
    <row r="80" spans="1:46" s="23" customFormat="1" x14ac:dyDescent="0.25">
      <c r="A80" s="37"/>
      <c r="B80" s="47"/>
      <c r="C80" s="16"/>
      <c r="D80" s="41"/>
      <c r="E80" s="41"/>
      <c r="F80" s="41"/>
      <c r="G80" s="42"/>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c r="AI80" s="41"/>
      <c r="AJ80" s="43"/>
      <c r="AK80" s="41"/>
      <c r="AL80" s="43"/>
      <c r="AM80" s="43"/>
      <c r="AN80" s="16"/>
      <c r="AO80" s="16"/>
      <c r="AP80" s="16"/>
      <c r="AQ80" s="16"/>
      <c r="AR80" s="16"/>
      <c r="AS80" s="16"/>
      <c r="AT80" s="43">
        <f>SUM(C80:AS80)</f>
        <v>0</v>
      </c>
    </row>
    <row r="81" spans="1:46" s="3" customFormat="1" x14ac:dyDescent="0.25">
      <c r="A81" s="36" t="s">
        <v>133</v>
      </c>
      <c r="B81" s="49"/>
      <c r="C81" s="24"/>
      <c r="G81" s="19"/>
      <c r="AJ81" s="24"/>
      <c r="AN81" s="24"/>
      <c r="AO81" s="24"/>
      <c r="AP81" s="24"/>
      <c r="AQ81" s="24"/>
      <c r="AR81" s="24"/>
      <c r="AS81" s="24"/>
      <c r="AT81" s="24"/>
    </row>
    <row r="82" spans="1:46" s="52" customFormat="1" x14ac:dyDescent="0.25">
      <c r="A82" s="54" t="s">
        <v>136</v>
      </c>
      <c r="B82" s="55" t="s">
        <v>80</v>
      </c>
      <c r="C82" s="52">
        <f>5+284</f>
        <v>289</v>
      </c>
      <c r="D82" s="56">
        <f>2+189</f>
        <v>191</v>
      </c>
      <c r="E82" s="56">
        <f>1+286</f>
        <v>287</v>
      </c>
      <c r="F82" s="56">
        <f>2+353</f>
        <v>355</v>
      </c>
      <c r="G82" s="57">
        <v>31</v>
      </c>
      <c r="H82" s="56">
        <f>5+639</f>
        <v>644</v>
      </c>
      <c r="I82" s="56">
        <f>2+1071</f>
        <v>1073</v>
      </c>
      <c r="J82" s="56">
        <f>4+866</f>
        <v>870</v>
      </c>
      <c r="K82" s="56">
        <v>556</v>
      </c>
      <c r="L82" s="56">
        <v>192</v>
      </c>
      <c r="M82" s="56">
        <v>10</v>
      </c>
      <c r="N82" s="56">
        <v>0</v>
      </c>
      <c r="O82" s="56">
        <v>8</v>
      </c>
      <c r="P82" s="56">
        <v>51</v>
      </c>
      <c r="Q82" s="56">
        <v>1</v>
      </c>
      <c r="R82" s="56">
        <f>1+302</f>
        <v>303</v>
      </c>
      <c r="S82" s="56">
        <v>68</v>
      </c>
      <c r="T82" s="56">
        <f>1+369</f>
        <v>370</v>
      </c>
      <c r="U82" s="56"/>
      <c r="V82" s="56">
        <v>37</v>
      </c>
      <c r="W82" s="56">
        <v>50</v>
      </c>
      <c r="X82" s="56">
        <v>47</v>
      </c>
      <c r="Y82" s="56">
        <f>3+182</f>
        <v>185</v>
      </c>
      <c r="Z82" s="56">
        <v>39</v>
      </c>
      <c r="AA82" s="56">
        <v>1</v>
      </c>
      <c r="AB82" s="56">
        <v>14</v>
      </c>
      <c r="AC82" s="56">
        <v>12</v>
      </c>
      <c r="AD82" s="56">
        <f>1+23</f>
        <v>24</v>
      </c>
      <c r="AE82" s="56">
        <f>6+169</f>
        <v>175</v>
      </c>
      <c r="AF82" s="56">
        <v>5</v>
      </c>
      <c r="AG82" s="56">
        <f>1+117</f>
        <v>118</v>
      </c>
      <c r="AH82" s="56">
        <v>75</v>
      </c>
      <c r="AI82" s="56">
        <f>1+179</f>
        <v>180</v>
      </c>
      <c r="AJ82" s="58">
        <v>0</v>
      </c>
      <c r="AK82" s="56">
        <v>10</v>
      </c>
      <c r="AL82" s="58">
        <v>1</v>
      </c>
      <c r="AM82" s="58">
        <v>12</v>
      </c>
      <c r="AN82" s="58">
        <v>185</v>
      </c>
      <c r="AO82" s="58">
        <f>1+120</f>
        <v>121</v>
      </c>
      <c r="AP82" s="58">
        <v>43</v>
      </c>
      <c r="AQ82" s="58">
        <v>189</v>
      </c>
      <c r="AR82" s="58">
        <f>2+66</f>
        <v>68</v>
      </c>
      <c r="AS82" s="58">
        <v>29</v>
      </c>
      <c r="AT82" s="58">
        <f>SUM(C82:AS82)</f>
        <v>6919</v>
      </c>
    </row>
    <row r="83" spans="1:46" s="16" customFormat="1" x14ac:dyDescent="0.25">
      <c r="A83" s="45" t="s">
        <v>117</v>
      </c>
      <c r="B83" s="47"/>
      <c r="D83" s="41"/>
      <c r="E83" s="41"/>
      <c r="F83" s="41"/>
      <c r="G83" s="42"/>
      <c r="H83" s="41"/>
      <c r="I83" s="41"/>
      <c r="J83" s="41"/>
      <c r="K83" s="41"/>
      <c r="L83" s="41"/>
      <c r="M83" s="41"/>
      <c r="N83" s="41"/>
      <c r="O83" s="41"/>
      <c r="P83" s="41"/>
      <c r="Q83" s="41"/>
      <c r="R83" s="41"/>
      <c r="S83" s="41"/>
      <c r="T83" s="41"/>
      <c r="U83" s="41"/>
      <c r="V83" s="41"/>
      <c r="W83" s="41"/>
      <c r="X83" s="41"/>
      <c r="Y83" s="41"/>
      <c r="Z83" s="41"/>
      <c r="AA83" s="41"/>
      <c r="AB83" s="41"/>
      <c r="AC83" s="41"/>
      <c r="AD83" s="41"/>
      <c r="AE83" s="41"/>
      <c r="AF83" s="41"/>
      <c r="AG83" s="41"/>
      <c r="AH83" s="41"/>
      <c r="AI83" s="41"/>
      <c r="AJ83" s="43"/>
      <c r="AK83" s="41"/>
      <c r="AL83" s="43"/>
      <c r="AM83" s="43"/>
    </row>
    <row r="84" spans="1:46" s="23" customFormat="1" x14ac:dyDescent="0.25">
      <c r="A84" s="37"/>
      <c r="B84" s="47"/>
      <c r="C84" s="16"/>
      <c r="D84" s="41"/>
      <c r="E84" s="41"/>
      <c r="F84" s="41"/>
      <c r="G84" s="42"/>
      <c r="H84" s="41"/>
      <c r="I84" s="41"/>
      <c r="J84" s="41"/>
      <c r="K84" s="41"/>
      <c r="L84" s="41"/>
      <c r="M84" s="41"/>
      <c r="N84" s="41"/>
      <c r="O84" s="41"/>
      <c r="P84" s="41"/>
      <c r="Q84" s="41"/>
      <c r="R84" s="41"/>
      <c r="S84" s="41"/>
      <c r="T84" s="41"/>
      <c r="U84" s="41"/>
      <c r="V84" s="41"/>
      <c r="W84" s="41"/>
      <c r="X84" s="41"/>
      <c r="Y84" s="41"/>
      <c r="Z84" s="41"/>
      <c r="AA84" s="41"/>
      <c r="AB84" s="41"/>
      <c r="AC84" s="41"/>
      <c r="AD84" s="41"/>
      <c r="AE84" s="41"/>
      <c r="AF84" s="41"/>
      <c r="AG84" s="41"/>
      <c r="AH84" s="41"/>
      <c r="AI84" s="41"/>
      <c r="AJ84" s="43"/>
      <c r="AK84" s="41"/>
      <c r="AL84" s="43"/>
      <c r="AM84" s="43"/>
      <c r="AN84" s="16"/>
      <c r="AO84" s="16"/>
      <c r="AP84" s="16"/>
      <c r="AQ84" s="16"/>
      <c r="AR84" s="16"/>
      <c r="AS84" s="16"/>
      <c r="AT84" s="43">
        <f>SUM(C84:AS84)</f>
        <v>0</v>
      </c>
    </row>
    <row r="85" spans="1:46" s="3" customFormat="1" x14ac:dyDescent="0.25">
      <c r="A85" s="36" t="s">
        <v>134</v>
      </c>
      <c r="B85" s="49"/>
      <c r="C85" s="24"/>
      <c r="G85" s="19"/>
      <c r="AJ85" s="24"/>
      <c r="AN85" s="24"/>
      <c r="AO85" s="24"/>
      <c r="AP85" s="24"/>
      <c r="AQ85" s="24"/>
      <c r="AR85" s="24"/>
      <c r="AS85" s="24"/>
      <c r="AT85" s="24"/>
    </row>
    <row r="86" spans="1:46" s="52" customFormat="1" x14ac:dyDescent="0.25">
      <c r="A86" s="54" t="s">
        <v>137</v>
      </c>
      <c r="B86" s="55" t="s">
        <v>80</v>
      </c>
      <c r="C86" s="52">
        <f>5+282</f>
        <v>287</v>
      </c>
      <c r="D86" s="56">
        <f>2+193</f>
        <v>195</v>
      </c>
      <c r="E86" s="56">
        <f>1+285</f>
        <v>286</v>
      </c>
      <c r="F86" s="56">
        <f>2+350</f>
        <v>352</v>
      </c>
      <c r="G86" s="57">
        <v>31</v>
      </c>
      <c r="H86" s="56">
        <f>5+622</f>
        <v>627</v>
      </c>
      <c r="I86" s="56">
        <f>3+1043</f>
        <v>1046</v>
      </c>
      <c r="J86" s="56">
        <f>4+840</f>
        <v>844</v>
      </c>
      <c r="K86" s="56">
        <v>531</v>
      </c>
      <c r="L86" s="56">
        <v>193</v>
      </c>
      <c r="M86" s="56">
        <v>10</v>
      </c>
      <c r="N86" s="56">
        <v>0</v>
      </c>
      <c r="O86" s="56">
        <v>8</v>
      </c>
      <c r="P86" s="56">
        <v>46</v>
      </c>
      <c r="Q86" s="56">
        <v>1</v>
      </c>
      <c r="R86" s="56">
        <f>1+292</f>
        <v>293</v>
      </c>
      <c r="S86" s="56">
        <v>64</v>
      </c>
      <c r="T86" s="56">
        <f>1+362</f>
        <v>363</v>
      </c>
      <c r="U86" s="56"/>
      <c r="V86" s="56">
        <v>34</v>
      </c>
      <c r="W86" s="56">
        <v>48</v>
      </c>
      <c r="X86" s="56">
        <v>48</v>
      </c>
      <c r="Y86" s="56">
        <f>3+178</f>
        <v>181</v>
      </c>
      <c r="Z86" s="56">
        <v>40</v>
      </c>
      <c r="AA86" s="56">
        <v>1</v>
      </c>
      <c r="AB86" s="56">
        <v>14</v>
      </c>
      <c r="AC86" s="56">
        <v>12</v>
      </c>
      <c r="AD86" s="56">
        <f>1+21</f>
        <v>22</v>
      </c>
      <c r="AE86" s="56">
        <f>6+159</f>
        <v>165</v>
      </c>
      <c r="AF86" s="56">
        <v>5</v>
      </c>
      <c r="AG86" s="56">
        <f>1+116</f>
        <v>117</v>
      </c>
      <c r="AH86" s="56">
        <v>69</v>
      </c>
      <c r="AI86" s="56">
        <f>1+178</f>
        <v>179</v>
      </c>
      <c r="AJ86" s="58">
        <v>0</v>
      </c>
      <c r="AK86" s="56">
        <v>6</v>
      </c>
      <c r="AL86" s="58">
        <v>1</v>
      </c>
      <c r="AM86" s="58">
        <v>12</v>
      </c>
      <c r="AN86" s="58">
        <v>180</v>
      </c>
      <c r="AO86" s="58">
        <f>1+111</f>
        <v>112</v>
      </c>
      <c r="AP86" s="58">
        <v>42</v>
      </c>
      <c r="AQ86" s="58">
        <v>186</v>
      </c>
      <c r="AR86" s="58">
        <f>2+64</f>
        <v>66</v>
      </c>
      <c r="AS86" s="58">
        <v>27</v>
      </c>
      <c r="AT86" s="58">
        <f>SUM(C86:AS86)</f>
        <v>6744</v>
      </c>
    </row>
    <row r="87" spans="1:46" s="16" customFormat="1" x14ac:dyDescent="0.25">
      <c r="A87" s="45" t="s">
        <v>117</v>
      </c>
      <c r="B87" s="47"/>
      <c r="D87" s="41"/>
      <c r="E87" s="41"/>
      <c r="F87" s="41"/>
      <c r="G87" s="42"/>
      <c r="H87" s="41"/>
      <c r="I87" s="41"/>
      <c r="J87" s="41"/>
      <c r="K87" s="41"/>
      <c r="L87" s="41"/>
      <c r="M87" s="41"/>
      <c r="N87" s="41"/>
      <c r="O87" s="41"/>
      <c r="P87" s="41"/>
      <c r="Q87" s="41"/>
      <c r="R87" s="41"/>
      <c r="S87" s="41"/>
      <c r="T87" s="41"/>
      <c r="U87" s="41"/>
      <c r="V87" s="41"/>
      <c r="W87" s="41"/>
      <c r="X87" s="41"/>
      <c r="Y87" s="41"/>
      <c r="Z87" s="41"/>
      <c r="AA87" s="41"/>
      <c r="AB87" s="41"/>
      <c r="AC87" s="41"/>
      <c r="AD87" s="41"/>
      <c r="AE87" s="41"/>
      <c r="AF87" s="41"/>
      <c r="AG87" s="41"/>
      <c r="AH87" s="41"/>
      <c r="AI87" s="41"/>
      <c r="AJ87" s="43"/>
      <c r="AK87" s="41"/>
      <c r="AL87" s="43"/>
      <c r="AM87" s="43"/>
    </row>
    <row r="88" spans="1:46" s="23" customFormat="1" x14ac:dyDescent="0.25">
      <c r="A88" s="37"/>
      <c r="B88" s="47"/>
      <c r="C88" s="16"/>
      <c r="D88" s="41"/>
      <c r="E88" s="41"/>
      <c r="F88" s="41"/>
      <c r="G88" s="42"/>
      <c r="H88" s="41"/>
      <c r="I88" s="41"/>
      <c r="J88" s="41"/>
      <c r="K88" s="41"/>
      <c r="L88" s="41"/>
      <c r="M88" s="41"/>
      <c r="N88" s="41"/>
      <c r="O88" s="41"/>
      <c r="P88" s="41"/>
      <c r="Q88" s="41"/>
      <c r="R88" s="41"/>
      <c r="S88" s="41"/>
      <c r="T88" s="41"/>
      <c r="U88" s="41"/>
      <c r="V88" s="41"/>
      <c r="W88" s="41"/>
      <c r="X88" s="41"/>
      <c r="Y88" s="41"/>
      <c r="Z88" s="41"/>
      <c r="AA88" s="41"/>
      <c r="AB88" s="41"/>
      <c r="AC88" s="41"/>
      <c r="AD88" s="41"/>
      <c r="AE88" s="41"/>
      <c r="AF88" s="41"/>
      <c r="AG88" s="41"/>
      <c r="AH88" s="41"/>
      <c r="AI88" s="41"/>
      <c r="AJ88" s="43"/>
      <c r="AK88" s="41"/>
      <c r="AL88" s="43"/>
      <c r="AM88" s="43"/>
      <c r="AN88" s="16"/>
      <c r="AO88" s="16"/>
      <c r="AP88" s="16"/>
      <c r="AQ88" s="16"/>
      <c r="AR88" s="16"/>
      <c r="AS88" s="16"/>
      <c r="AT88" s="43">
        <f>SUM(C88:AS88)</f>
        <v>0</v>
      </c>
    </row>
    <row r="89" spans="1:46" s="3" customFormat="1" x14ac:dyDescent="0.25">
      <c r="A89" s="36" t="s">
        <v>135</v>
      </c>
      <c r="B89" s="49"/>
      <c r="C89" s="24"/>
      <c r="G89" s="19"/>
      <c r="AJ89" s="24"/>
      <c r="AN89" s="24"/>
      <c r="AO89" s="24"/>
      <c r="AP89" s="24"/>
      <c r="AQ89" s="24"/>
      <c r="AR89" s="24"/>
      <c r="AS89" s="24"/>
      <c r="AT89" s="24"/>
    </row>
    <row r="90" spans="1:46" s="52" customFormat="1" x14ac:dyDescent="0.25">
      <c r="A90" s="54" t="s">
        <v>138</v>
      </c>
      <c r="B90" s="55" t="s">
        <v>80</v>
      </c>
      <c r="C90" s="52">
        <f>4+274</f>
        <v>278</v>
      </c>
      <c r="D90" s="56">
        <f>2+195</f>
        <v>197</v>
      </c>
      <c r="E90" s="56">
        <f>1+293</f>
        <v>294</v>
      </c>
      <c r="F90" s="56">
        <f>2+364</f>
        <v>366</v>
      </c>
      <c r="G90" s="57">
        <v>31</v>
      </c>
      <c r="H90" s="56">
        <f>5+644</f>
        <v>649</v>
      </c>
      <c r="I90" s="56">
        <f>3+1093</f>
        <v>1096</v>
      </c>
      <c r="J90" s="56">
        <f>4+888</f>
        <v>892</v>
      </c>
      <c r="K90" s="56">
        <v>557</v>
      </c>
      <c r="L90" s="56">
        <v>205</v>
      </c>
      <c r="M90" s="56">
        <v>11</v>
      </c>
      <c r="N90" s="56">
        <v>0</v>
      </c>
      <c r="O90" s="56">
        <v>8</v>
      </c>
      <c r="P90" s="56">
        <v>50</v>
      </c>
      <c r="Q90" s="56">
        <v>1</v>
      </c>
      <c r="R90" s="56">
        <f>1+305</f>
        <v>306</v>
      </c>
      <c r="S90" s="56">
        <v>69</v>
      </c>
      <c r="T90" s="56">
        <f>1+378</f>
        <v>379</v>
      </c>
      <c r="U90" s="56"/>
      <c r="V90" s="56">
        <v>35</v>
      </c>
      <c r="W90" s="56">
        <v>50</v>
      </c>
      <c r="X90" s="56">
        <v>48</v>
      </c>
      <c r="Y90" s="56">
        <f>3+184</f>
        <v>187</v>
      </c>
      <c r="Z90" s="56">
        <v>42</v>
      </c>
      <c r="AA90" s="56">
        <v>1</v>
      </c>
      <c r="AB90" s="56">
        <v>13</v>
      </c>
      <c r="AC90" s="56">
        <v>12</v>
      </c>
      <c r="AD90" s="56">
        <v>19</v>
      </c>
      <c r="AE90" s="56">
        <f>6+168</f>
        <v>174</v>
      </c>
      <c r="AF90" s="56">
        <v>4</v>
      </c>
      <c r="AG90" s="56">
        <f>1+116</f>
        <v>117</v>
      </c>
      <c r="AH90" s="56">
        <v>74</v>
      </c>
      <c r="AI90" s="56">
        <f>1+184</f>
        <v>185</v>
      </c>
      <c r="AJ90" s="58">
        <v>0</v>
      </c>
      <c r="AK90" s="56">
        <v>9</v>
      </c>
      <c r="AL90" s="58">
        <v>1</v>
      </c>
      <c r="AM90" s="58">
        <v>12</v>
      </c>
      <c r="AN90" s="58">
        <v>186</v>
      </c>
      <c r="AO90" s="58">
        <f>1+119</f>
        <v>120</v>
      </c>
      <c r="AP90" s="58">
        <v>40</v>
      </c>
      <c r="AQ90" s="58">
        <v>194</v>
      </c>
      <c r="AR90" s="58">
        <f>2+65</f>
        <v>67</v>
      </c>
      <c r="AS90" s="58">
        <v>31</v>
      </c>
      <c r="AT90" s="58">
        <f>SUM(C90:AS90)</f>
        <v>7010</v>
      </c>
    </row>
    <row r="91" spans="1:46" s="16" customFormat="1" x14ac:dyDescent="0.25">
      <c r="A91" s="45" t="s">
        <v>117</v>
      </c>
      <c r="B91" s="47"/>
      <c r="D91" s="41"/>
      <c r="E91" s="41"/>
      <c r="F91" s="41"/>
      <c r="G91" s="42"/>
      <c r="H91" s="41"/>
      <c r="I91" s="41"/>
      <c r="J91" s="41"/>
      <c r="K91" s="41"/>
      <c r="L91" s="41"/>
      <c r="M91" s="41"/>
      <c r="N91" s="41"/>
      <c r="O91" s="41"/>
      <c r="P91" s="41"/>
      <c r="Q91" s="41"/>
      <c r="R91" s="41"/>
      <c r="S91" s="41"/>
      <c r="T91" s="41"/>
      <c r="U91" s="41"/>
      <c r="V91" s="41"/>
      <c r="W91" s="41"/>
      <c r="X91" s="41"/>
      <c r="Y91" s="41"/>
      <c r="Z91" s="41"/>
      <c r="AA91" s="41"/>
      <c r="AB91" s="41"/>
      <c r="AC91" s="41"/>
      <c r="AD91" s="41"/>
      <c r="AE91" s="41"/>
      <c r="AF91" s="41"/>
      <c r="AG91" s="41"/>
      <c r="AH91" s="41"/>
      <c r="AI91" s="41"/>
      <c r="AJ91" s="43"/>
      <c r="AK91" s="41"/>
      <c r="AL91" s="43"/>
      <c r="AM91" s="43"/>
    </row>
    <row r="92" spans="1:46" s="23" customFormat="1" x14ac:dyDescent="0.25">
      <c r="A92" s="37"/>
      <c r="B92" s="47"/>
      <c r="C92" s="16"/>
      <c r="D92" s="41"/>
      <c r="E92" s="41"/>
      <c r="F92" s="41"/>
      <c r="G92" s="42"/>
      <c r="H92" s="41"/>
      <c r="I92" s="41"/>
      <c r="J92" s="41"/>
      <c r="K92" s="41"/>
      <c r="L92" s="41"/>
      <c r="M92" s="41"/>
      <c r="N92" s="41"/>
      <c r="O92" s="41"/>
      <c r="P92" s="41"/>
      <c r="Q92" s="41"/>
      <c r="R92" s="41"/>
      <c r="S92" s="41"/>
      <c r="T92" s="41"/>
      <c r="U92" s="41"/>
      <c r="V92" s="41"/>
      <c r="W92" s="41"/>
      <c r="X92" s="41"/>
      <c r="Y92" s="41"/>
      <c r="Z92" s="41"/>
      <c r="AA92" s="41"/>
      <c r="AB92" s="41"/>
      <c r="AC92" s="41"/>
      <c r="AD92" s="41"/>
      <c r="AE92" s="41"/>
      <c r="AF92" s="41"/>
      <c r="AG92" s="41"/>
      <c r="AH92" s="41"/>
      <c r="AI92" s="41"/>
      <c r="AJ92" s="43"/>
      <c r="AK92" s="41"/>
      <c r="AL92" s="43"/>
      <c r="AM92" s="43"/>
      <c r="AN92" s="16"/>
      <c r="AO92" s="16"/>
      <c r="AP92" s="16"/>
      <c r="AQ92" s="16"/>
      <c r="AR92" s="16"/>
      <c r="AS92" s="16"/>
      <c r="AT92" s="43">
        <f>SUM(C92:AS92)</f>
        <v>0</v>
      </c>
    </row>
    <row r="93" spans="1:46" s="3" customFormat="1" x14ac:dyDescent="0.25">
      <c r="A93" s="35" t="s">
        <v>139</v>
      </c>
      <c r="B93" s="49"/>
      <c r="C93" s="24"/>
      <c r="G93" s="19"/>
      <c r="AJ93" s="24"/>
      <c r="AN93" s="24"/>
      <c r="AO93" s="24"/>
      <c r="AP93" s="24"/>
      <c r="AQ93" s="24"/>
      <c r="AR93" s="24"/>
      <c r="AS93" s="24"/>
      <c r="AT93" s="24"/>
    </row>
    <row r="94" spans="1:46" s="4" customFormat="1" x14ac:dyDescent="0.25">
      <c r="A94" s="52" t="s">
        <v>229</v>
      </c>
      <c r="B94" s="59" t="s">
        <v>80</v>
      </c>
      <c r="D94" s="56"/>
      <c r="E94" s="56"/>
      <c r="F94" s="56"/>
      <c r="G94" s="57"/>
      <c r="H94" s="56"/>
      <c r="I94" s="56"/>
      <c r="J94" s="56"/>
      <c r="K94" s="56"/>
      <c r="L94" s="56"/>
      <c r="M94" s="56"/>
      <c r="N94" s="56"/>
      <c r="O94" s="56"/>
      <c r="P94" s="56"/>
      <c r="Q94" s="56"/>
      <c r="R94" s="56"/>
      <c r="S94" s="56"/>
      <c r="T94" s="56"/>
      <c r="U94" s="56"/>
      <c r="V94" s="56">
        <v>39</v>
      </c>
      <c r="W94" s="56"/>
      <c r="X94" s="56"/>
      <c r="Y94" s="56"/>
      <c r="Z94" s="56"/>
      <c r="AA94" s="56"/>
      <c r="AB94" s="56"/>
      <c r="AC94" s="56"/>
      <c r="AD94" s="56"/>
      <c r="AE94" s="56"/>
      <c r="AF94" s="56"/>
      <c r="AG94" s="56"/>
      <c r="AH94" s="56"/>
      <c r="AI94" s="56"/>
      <c r="AJ94" s="58"/>
      <c r="AK94" s="56"/>
      <c r="AL94" s="58"/>
      <c r="AM94" s="58"/>
      <c r="AT94" s="58">
        <f>SUM(C94:AS94)</f>
        <v>39</v>
      </c>
    </row>
    <row r="95" spans="1:46" s="23" customFormat="1" x14ac:dyDescent="0.25">
      <c r="A95" s="45" t="s">
        <v>117</v>
      </c>
      <c r="B95" s="50"/>
      <c r="D95" s="41"/>
      <c r="E95" s="41"/>
      <c r="F95" s="41"/>
      <c r="G95" s="42"/>
      <c r="H95" s="41"/>
      <c r="I95" s="41"/>
      <c r="J95" s="41"/>
      <c r="K95" s="41"/>
      <c r="L95" s="41"/>
      <c r="M95" s="41"/>
      <c r="N95" s="41"/>
      <c r="O95" s="41"/>
      <c r="P95" s="41"/>
      <c r="Q95" s="41"/>
      <c r="R95" s="41"/>
      <c r="S95" s="41"/>
      <c r="T95" s="41"/>
      <c r="U95" s="41"/>
      <c r="V95" s="41"/>
      <c r="W95" s="41"/>
      <c r="X95" s="41"/>
      <c r="Y95" s="41"/>
      <c r="Z95" s="41"/>
      <c r="AA95" s="41"/>
      <c r="AB95" s="41"/>
      <c r="AC95" s="41"/>
      <c r="AD95" s="41"/>
      <c r="AE95" s="41"/>
      <c r="AF95" s="41"/>
      <c r="AG95" s="41"/>
      <c r="AH95" s="41"/>
      <c r="AI95" s="41"/>
      <c r="AJ95" s="43"/>
      <c r="AK95" s="41"/>
      <c r="AL95" s="43"/>
      <c r="AM95" s="43"/>
      <c r="AT95" s="43"/>
    </row>
    <row r="96" spans="1:46" s="16" customFormat="1" x14ac:dyDescent="0.25">
      <c r="B96" s="47"/>
      <c r="D96" s="41"/>
      <c r="E96" s="41"/>
      <c r="F96" s="41"/>
      <c r="G96" s="42"/>
      <c r="H96" s="41"/>
      <c r="I96" s="41"/>
      <c r="J96" s="41"/>
      <c r="K96" s="41"/>
      <c r="L96" s="41"/>
      <c r="M96" s="41"/>
      <c r="N96" s="41"/>
      <c r="O96" s="41"/>
      <c r="P96" s="41"/>
      <c r="Q96" s="41"/>
      <c r="R96" s="41"/>
      <c r="S96" s="41"/>
      <c r="T96" s="41"/>
      <c r="U96" s="41"/>
      <c r="V96" s="41"/>
      <c r="W96" s="41"/>
      <c r="X96" s="41"/>
      <c r="Y96" s="41"/>
      <c r="Z96" s="41"/>
      <c r="AA96" s="41"/>
      <c r="AB96" s="41"/>
      <c r="AC96" s="41"/>
      <c r="AD96" s="41"/>
      <c r="AE96" s="41"/>
      <c r="AF96" s="41"/>
      <c r="AG96" s="41"/>
      <c r="AH96" s="41"/>
      <c r="AI96" s="41"/>
      <c r="AJ96" s="43"/>
      <c r="AK96" s="41"/>
      <c r="AL96" s="43"/>
      <c r="AM96" s="43"/>
      <c r="AT96" s="43">
        <f>SUM(C96:AS96)</f>
        <v>0</v>
      </c>
    </row>
    <row r="97" spans="1:46" s="3" customFormat="1" x14ac:dyDescent="0.25">
      <c r="A97" s="35" t="s">
        <v>140</v>
      </c>
      <c r="B97" s="49"/>
      <c r="C97" s="24"/>
      <c r="G97" s="19"/>
      <c r="AJ97" s="24"/>
      <c r="AN97" s="24"/>
      <c r="AO97" s="24"/>
      <c r="AP97" s="24"/>
      <c r="AQ97" s="24"/>
      <c r="AR97" s="24"/>
      <c r="AS97" s="24"/>
      <c r="AT97" s="24"/>
    </row>
    <row r="98" spans="1:46" s="4" customFormat="1" x14ac:dyDescent="0.25">
      <c r="A98" s="54" t="s">
        <v>141</v>
      </c>
      <c r="B98" s="59" t="s">
        <v>80</v>
      </c>
      <c r="D98" s="56"/>
      <c r="E98" s="56"/>
      <c r="F98" s="56"/>
      <c r="G98" s="57"/>
      <c r="H98" s="56"/>
      <c r="I98" s="56"/>
      <c r="J98" s="56"/>
      <c r="K98" s="56"/>
      <c r="L98" s="56"/>
      <c r="M98" s="56"/>
      <c r="N98" s="56"/>
      <c r="O98" s="56"/>
      <c r="P98" s="56"/>
      <c r="Q98" s="56"/>
      <c r="R98" s="56"/>
      <c r="S98" s="56"/>
      <c r="T98" s="56"/>
      <c r="U98" s="56"/>
      <c r="V98" s="56">
        <v>35</v>
      </c>
      <c r="W98" s="56"/>
      <c r="X98" s="56"/>
      <c r="Y98" s="56"/>
      <c r="Z98" s="56"/>
      <c r="AA98" s="56"/>
      <c r="AB98" s="56"/>
      <c r="AC98" s="56"/>
      <c r="AD98" s="56"/>
      <c r="AE98" s="56"/>
      <c r="AF98" s="56"/>
      <c r="AG98" s="56"/>
      <c r="AH98" s="56"/>
      <c r="AI98" s="56"/>
      <c r="AJ98" s="58"/>
      <c r="AK98" s="56"/>
      <c r="AL98" s="58"/>
      <c r="AM98" s="58"/>
      <c r="AT98" s="58">
        <f>SUM(C98:AS98)</f>
        <v>35</v>
      </c>
    </row>
    <row r="99" spans="1:46" s="23" customFormat="1" x14ac:dyDescent="0.25">
      <c r="A99" s="45" t="s">
        <v>117</v>
      </c>
      <c r="B99" s="50"/>
      <c r="D99" s="41"/>
      <c r="E99" s="41"/>
      <c r="F99" s="41"/>
      <c r="G99" s="42"/>
      <c r="H99" s="41"/>
      <c r="I99" s="41"/>
      <c r="J99" s="41"/>
      <c r="K99" s="41"/>
      <c r="L99" s="41"/>
      <c r="M99" s="41"/>
      <c r="N99" s="41"/>
      <c r="O99" s="41"/>
      <c r="P99" s="41"/>
      <c r="Q99" s="41"/>
      <c r="R99" s="41"/>
      <c r="S99" s="41"/>
      <c r="T99" s="41"/>
      <c r="U99" s="41"/>
      <c r="V99" s="41"/>
      <c r="W99" s="41"/>
      <c r="X99" s="41"/>
      <c r="Y99" s="41"/>
      <c r="Z99" s="41"/>
      <c r="AA99" s="41"/>
      <c r="AB99" s="41"/>
      <c r="AC99" s="41"/>
      <c r="AD99" s="41"/>
      <c r="AE99" s="41"/>
      <c r="AF99" s="41"/>
      <c r="AG99" s="41"/>
      <c r="AH99" s="41"/>
      <c r="AI99" s="41"/>
      <c r="AJ99" s="43"/>
      <c r="AK99" s="41"/>
      <c r="AL99" s="43"/>
      <c r="AM99" s="43"/>
      <c r="AT99" s="43"/>
    </row>
    <row r="100" spans="1:46" s="16" customFormat="1" x14ac:dyDescent="0.25">
      <c r="A100" s="16" t="s">
        <v>273</v>
      </c>
      <c r="B100" s="47"/>
      <c r="D100" s="41"/>
      <c r="E100" s="41"/>
      <c r="F100" s="41"/>
      <c r="G100" s="42"/>
      <c r="H100" s="41"/>
      <c r="I100" s="41"/>
      <c r="J100" s="41"/>
      <c r="K100" s="41"/>
      <c r="L100" s="41"/>
      <c r="M100" s="41"/>
      <c r="N100" s="41"/>
      <c r="O100" s="41"/>
      <c r="P100" s="41"/>
      <c r="Q100" s="41"/>
      <c r="R100" s="41"/>
      <c r="S100" s="41"/>
      <c r="T100" s="41"/>
      <c r="U100" s="41"/>
      <c r="V100" s="41">
        <v>1</v>
      </c>
      <c r="W100" s="41"/>
      <c r="X100" s="41"/>
      <c r="Y100" s="41"/>
      <c r="Z100" s="41"/>
      <c r="AA100" s="41"/>
      <c r="AB100" s="41"/>
      <c r="AC100" s="41"/>
      <c r="AD100" s="41"/>
      <c r="AE100" s="41"/>
      <c r="AF100" s="41"/>
      <c r="AG100" s="41"/>
      <c r="AH100" s="41"/>
      <c r="AI100" s="41"/>
      <c r="AJ100" s="43"/>
      <c r="AK100" s="41"/>
      <c r="AL100" s="43"/>
      <c r="AM100" s="43"/>
      <c r="AT100" s="43">
        <f>SUM(C100:AS100)</f>
        <v>1</v>
      </c>
    </row>
    <row r="101" spans="1:46" s="16" customFormat="1" x14ac:dyDescent="0.25">
      <c r="A101" s="16" t="s">
        <v>274</v>
      </c>
      <c r="B101" s="47"/>
      <c r="D101" s="41"/>
      <c r="E101" s="41"/>
      <c r="F101" s="41"/>
      <c r="G101" s="42"/>
      <c r="H101" s="41"/>
      <c r="I101" s="41"/>
      <c r="J101" s="41"/>
      <c r="K101" s="41"/>
      <c r="L101" s="41"/>
      <c r="M101" s="41"/>
      <c r="N101" s="41"/>
      <c r="O101" s="41"/>
      <c r="P101" s="41"/>
      <c r="Q101" s="41"/>
      <c r="R101" s="41"/>
      <c r="S101" s="41"/>
      <c r="T101" s="41"/>
      <c r="U101" s="41"/>
      <c r="V101" s="41">
        <v>1</v>
      </c>
      <c r="W101" s="41"/>
      <c r="X101" s="41"/>
      <c r="Y101" s="41"/>
      <c r="Z101" s="41"/>
      <c r="AA101" s="41"/>
      <c r="AB101" s="41"/>
      <c r="AC101" s="41"/>
      <c r="AD101" s="41"/>
      <c r="AE101" s="41"/>
      <c r="AF101" s="41"/>
      <c r="AG101" s="41"/>
      <c r="AH101" s="41"/>
      <c r="AI101" s="41"/>
      <c r="AJ101" s="43"/>
      <c r="AK101" s="41"/>
      <c r="AL101" s="43"/>
      <c r="AM101" s="43"/>
      <c r="AT101" s="43">
        <f>SUM(C101:AS101)</f>
        <v>1</v>
      </c>
    </row>
    <row r="102" spans="1:46" s="3" customFormat="1" x14ac:dyDescent="0.25">
      <c r="A102" s="35" t="s">
        <v>142</v>
      </c>
      <c r="B102" s="49"/>
      <c r="C102" s="24"/>
      <c r="G102" s="19"/>
      <c r="AJ102" s="24"/>
      <c r="AN102" s="24"/>
      <c r="AO102" s="24"/>
      <c r="AP102" s="24"/>
      <c r="AQ102" s="24"/>
      <c r="AR102" s="24"/>
      <c r="AS102" s="24"/>
      <c r="AT102" s="24"/>
    </row>
    <row r="103" spans="1:46" s="4" customFormat="1" x14ac:dyDescent="0.25">
      <c r="A103" s="54" t="s">
        <v>200</v>
      </c>
      <c r="B103" s="59" t="s">
        <v>80</v>
      </c>
      <c r="D103" s="56"/>
      <c r="E103" s="56"/>
      <c r="F103" s="56"/>
      <c r="G103" s="57"/>
      <c r="H103" s="56"/>
      <c r="I103" s="56"/>
      <c r="J103" s="56"/>
      <c r="K103" s="56"/>
      <c r="L103" s="56"/>
      <c r="M103" s="56"/>
      <c r="N103" s="56"/>
      <c r="O103" s="56"/>
      <c r="P103" s="56"/>
      <c r="Q103" s="56"/>
      <c r="R103" s="56">
        <f>1+308</f>
        <v>309</v>
      </c>
      <c r="S103" s="56"/>
      <c r="T103" s="56"/>
      <c r="U103" s="56"/>
      <c r="V103" s="56"/>
      <c r="W103" s="56">
        <v>47</v>
      </c>
      <c r="X103" s="56"/>
      <c r="Y103" s="56"/>
      <c r="Z103" s="56"/>
      <c r="AA103" s="56"/>
      <c r="AB103" s="56"/>
      <c r="AC103" s="56"/>
      <c r="AD103" s="56"/>
      <c r="AE103" s="56"/>
      <c r="AF103" s="56"/>
      <c r="AG103" s="56"/>
      <c r="AH103" s="56"/>
      <c r="AI103" s="56"/>
      <c r="AJ103" s="58"/>
      <c r="AK103" s="56"/>
      <c r="AL103" s="58"/>
      <c r="AM103" s="58"/>
      <c r="AT103" s="58">
        <f>SUM(C103:AS103)</f>
        <v>356</v>
      </c>
    </row>
    <row r="104" spans="1:46" s="23" customFormat="1" x14ac:dyDescent="0.25">
      <c r="A104" s="45" t="s">
        <v>117</v>
      </c>
      <c r="B104" s="50"/>
      <c r="D104" s="41"/>
      <c r="E104" s="41"/>
      <c r="F104" s="41"/>
      <c r="G104" s="42"/>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c r="AF104" s="41"/>
      <c r="AG104" s="41"/>
      <c r="AH104" s="41"/>
      <c r="AI104" s="41"/>
      <c r="AJ104" s="43"/>
      <c r="AK104" s="41"/>
      <c r="AL104" s="43"/>
      <c r="AM104" s="43"/>
      <c r="AT104" s="43"/>
    </row>
    <row r="105" spans="1:46" s="16" customFormat="1" x14ac:dyDescent="0.25">
      <c r="A105" s="16" t="s">
        <v>268</v>
      </c>
      <c r="B105" s="47"/>
      <c r="D105" s="41"/>
      <c r="E105" s="41"/>
      <c r="F105" s="41"/>
      <c r="G105" s="42"/>
      <c r="H105" s="41"/>
      <c r="I105" s="41"/>
      <c r="J105" s="41"/>
      <c r="K105" s="41"/>
      <c r="L105" s="41"/>
      <c r="M105" s="41"/>
      <c r="N105" s="41"/>
      <c r="O105" s="41"/>
      <c r="P105" s="41"/>
      <c r="Q105" s="41"/>
      <c r="R105" s="41">
        <v>1</v>
      </c>
      <c r="S105" s="41"/>
      <c r="T105" s="41"/>
      <c r="U105" s="41"/>
      <c r="V105" s="41"/>
      <c r="W105" s="41"/>
      <c r="X105" s="41"/>
      <c r="Y105" s="41"/>
      <c r="Z105" s="41"/>
      <c r="AA105" s="41"/>
      <c r="AB105" s="41"/>
      <c r="AC105" s="41"/>
      <c r="AD105" s="41"/>
      <c r="AE105" s="41"/>
      <c r="AF105" s="41"/>
      <c r="AG105" s="41"/>
      <c r="AH105" s="41"/>
      <c r="AI105" s="41"/>
      <c r="AJ105" s="43"/>
      <c r="AK105" s="41"/>
      <c r="AL105" s="43"/>
      <c r="AM105" s="43"/>
      <c r="AT105" s="43">
        <f>SUM(C105:AS105)</f>
        <v>1</v>
      </c>
    </row>
    <row r="106" spans="1:46" s="16" customFormat="1" x14ac:dyDescent="0.25">
      <c r="A106" s="16" t="s">
        <v>269</v>
      </c>
      <c r="B106" s="47"/>
      <c r="D106" s="41"/>
      <c r="E106" s="41"/>
      <c r="F106" s="41"/>
      <c r="G106" s="42"/>
      <c r="H106" s="41"/>
      <c r="I106" s="41"/>
      <c r="J106" s="41"/>
      <c r="K106" s="41"/>
      <c r="L106" s="41"/>
      <c r="M106" s="41"/>
      <c r="N106" s="41"/>
      <c r="O106" s="41"/>
      <c r="P106" s="41"/>
      <c r="Q106" s="41"/>
      <c r="R106" s="41">
        <v>1</v>
      </c>
      <c r="S106" s="41"/>
      <c r="T106" s="41"/>
      <c r="U106" s="41"/>
      <c r="V106" s="41"/>
      <c r="W106" s="41"/>
      <c r="X106" s="41"/>
      <c r="Y106" s="41"/>
      <c r="Z106" s="41"/>
      <c r="AA106" s="41"/>
      <c r="AB106" s="41"/>
      <c r="AC106" s="41"/>
      <c r="AD106" s="41"/>
      <c r="AE106" s="41"/>
      <c r="AF106" s="41"/>
      <c r="AG106" s="41"/>
      <c r="AH106" s="41"/>
      <c r="AI106" s="41"/>
      <c r="AJ106" s="43"/>
      <c r="AK106" s="41"/>
      <c r="AL106" s="43"/>
      <c r="AM106" s="43"/>
      <c r="AT106" s="43">
        <f>SUM(C106:AS106)</f>
        <v>1</v>
      </c>
    </row>
    <row r="107" spans="1:46" s="16" customFormat="1" x14ac:dyDescent="0.25">
      <c r="A107" s="16" t="s">
        <v>270</v>
      </c>
      <c r="B107" s="47"/>
      <c r="D107" s="41"/>
      <c r="E107" s="41"/>
      <c r="F107" s="41"/>
      <c r="G107" s="42"/>
      <c r="H107" s="41"/>
      <c r="I107" s="41"/>
      <c r="J107" s="41"/>
      <c r="K107" s="41"/>
      <c r="L107" s="41"/>
      <c r="M107" s="41"/>
      <c r="N107" s="41"/>
      <c r="O107" s="41"/>
      <c r="P107" s="41"/>
      <c r="Q107" s="41"/>
      <c r="R107" s="41">
        <v>1</v>
      </c>
      <c r="S107" s="41"/>
      <c r="T107" s="41"/>
      <c r="U107" s="41"/>
      <c r="V107" s="41"/>
      <c r="W107" s="41"/>
      <c r="X107" s="41"/>
      <c r="Y107" s="41"/>
      <c r="Z107" s="41"/>
      <c r="AA107" s="41"/>
      <c r="AB107" s="41"/>
      <c r="AC107" s="41"/>
      <c r="AD107" s="41"/>
      <c r="AE107" s="41"/>
      <c r="AF107" s="41"/>
      <c r="AG107" s="41"/>
      <c r="AH107" s="41"/>
      <c r="AI107" s="41"/>
      <c r="AJ107" s="43"/>
      <c r="AK107" s="41"/>
      <c r="AL107" s="43"/>
      <c r="AM107" s="43"/>
      <c r="AT107" s="43">
        <f>SUM(C107:AS107)</f>
        <v>1</v>
      </c>
    </row>
    <row r="108" spans="1:46" s="16" customFormat="1" x14ac:dyDescent="0.25">
      <c r="A108" s="16" t="s">
        <v>271</v>
      </c>
      <c r="B108" s="47"/>
      <c r="D108" s="41"/>
      <c r="E108" s="41"/>
      <c r="F108" s="41"/>
      <c r="G108" s="42"/>
      <c r="H108" s="41"/>
      <c r="I108" s="41"/>
      <c r="J108" s="41"/>
      <c r="K108" s="41"/>
      <c r="L108" s="41"/>
      <c r="M108" s="41"/>
      <c r="N108" s="41"/>
      <c r="O108" s="41"/>
      <c r="P108" s="41"/>
      <c r="Q108" s="41"/>
      <c r="R108" s="41">
        <v>1</v>
      </c>
      <c r="S108" s="41"/>
      <c r="T108" s="41"/>
      <c r="U108" s="41"/>
      <c r="V108" s="41"/>
      <c r="W108" s="41"/>
      <c r="X108" s="41"/>
      <c r="Y108" s="41"/>
      <c r="Z108" s="41"/>
      <c r="AA108" s="41"/>
      <c r="AB108" s="41"/>
      <c r="AC108" s="41"/>
      <c r="AD108" s="41"/>
      <c r="AE108" s="41"/>
      <c r="AF108" s="41"/>
      <c r="AG108" s="41"/>
      <c r="AH108" s="41"/>
      <c r="AI108" s="41"/>
      <c r="AJ108" s="43"/>
      <c r="AK108" s="41"/>
      <c r="AL108" s="43"/>
      <c r="AM108" s="43"/>
      <c r="AT108" s="43">
        <f>SUM(C108:AS108)</f>
        <v>1</v>
      </c>
    </row>
    <row r="109" spans="1:46" s="3" customFormat="1" x14ac:dyDescent="0.25">
      <c r="A109" s="35" t="s">
        <v>143</v>
      </c>
      <c r="B109" s="49"/>
      <c r="C109" s="24"/>
      <c r="G109" s="19"/>
      <c r="AJ109" s="24"/>
      <c r="AN109" s="24"/>
      <c r="AO109" s="24"/>
      <c r="AP109" s="24"/>
      <c r="AQ109" s="24"/>
      <c r="AR109" s="24"/>
      <c r="AS109" s="24"/>
      <c r="AT109" s="24"/>
    </row>
    <row r="110" spans="1:46" s="4" customFormat="1" x14ac:dyDescent="0.25">
      <c r="A110" s="54" t="s">
        <v>144</v>
      </c>
      <c r="B110" s="59" t="s">
        <v>80</v>
      </c>
      <c r="D110" s="56"/>
      <c r="E110" s="56"/>
      <c r="F110" s="56"/>
      <c r="G110" s="57"/>
      <c r="H110" s="56"/>
      <c r="I110" s="56"/>
      <c r="J110" s="56"/>
      <c r="K110" s="56"/>
      <c r="L110" s="56"/>
      <c r="M110" s="56"/>
      <c r="N110" s="56"/>
      <c r="O110" s="56"/>
      <c r="P110" s="56"/>
      <c r="Q110" s="56"/>
      <c r="R110" s="56">
        <f>1+317</f>
        <v>318</v>
      </c>
      <c r="S110" s="56"/>
      <c r="T110" s="56"/>
      <c r="U110" s="56"/>
      <c r="V110" s="56"/>
      <c r="W110" s="56">
        <v>49</v>
      </c>
      <c r="X110" s="56"/>
      <c r="Y110" s="56"/>
      <c r="Z110" s="56"/>
      <c r="AA110" s="56"/>
      <c r="AB110" s="56"/>
      <c r="AC110" s="56"/>
      <c r="AD110" s="56"/>
      <c r="AE110" s="56"/>
      <c r="AF110" s="56"/>
      <c r="AG110" s="56"/>
      <c r="AH110" s="56"/>
      <c r="AI110" s="56"/>
      <c r="AJ110" s="58"/>
      <c r="AK110" s="56"/>
      <c r="AL110" s="58"/>
      <c r="AM110" s="58"/>
      <c r="AT110" s="58">
        <f>SUM(C110:AS110)</f>
        <v>367</v>
      </c>
    </row>
    <row r="111" spans="1:46" s="23" customFormat="1" x14ac:dyDescent="0.25">
      <c r="A111" s="45" t="s">
        <v>117</v>
      </c>
      <c r="B111" s="50"/>
      <c r="D111" s="41"/>
      <c r="E111" s="41"/>
      <c r="F111" s="41"/>
      <c r="G111" s="42"/>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c r="AF111" s="41"/>
      <c r="AG111" s="41"/>
      <c r="AH111" s="41"/>
      <c r="AI111" s="41"/>
      <c r="AJ111" s="43"/>
      <c r="AK111" s="41"/>
      <c r="AL111" s="43"/>
      <c r="AM111" s="43"/>
      <c r="AT111" s="43"/>
    </row>
    <row r="112" spans="1:46" s="16" customFormat="1" x14ac:dyDescent="0.25">
      <c r="A112" s="16" t="s">
        <v>270</v>
      </c>
      <c r="B112" s="47"/>
      <c r="D112" s="41"/>
      <c r="E112" s="41"/>
      <c r="F112" s="41"/>
      <c r="G112" s="42"/>
      <c r="H112" s="41"/>
      <c r="I112" s="41"/>
      <c r="J112" s="41"/>
      <c r="K112" s="41"/>
      <c r="L112" s="41"/>
      <c r="M112" s="41"/>
      <c r="N112" s="41"/>
      <c r="O112" s="41"/>
      <c r="P112" s="41"/>
      <c r="Q112" s="41"/>
      <c r="R112" s="41">
        <v>1</v>
      </c>
      <c r="S112" s="41"/>
      <c r="T112" s="41"/>
      <c r="U112" s="41"/>
      <c r="V112" s="41"/>
      <c r="W112" s="41"/>
      <c r="X112" s="41"/>
      <c r="Y112" s="41"/>
      <c r="Z112" s="41"/>
      <c r="AA112" s="41"/>
      <c r="AB112" s="41"/>
      <c r="AC112" s="41"/>
      <c r="AD112" s="41"/>
      <c r="AE112" s="41"/>
      <c r="AF112" s="41"/>
      <c r="AG112" s="41"/>
      <c r="AH112" s="41"/>
      <c r="AI112" s="41"/>
      <c r="AJ112" s="43"/>
      <c r="AK112" s="41"/>
      <c r="AL112" s="43"/>
      <c r="AM112" s="43"/>
      <c r="AT112" s="43">
        <f>SUM(C112:AS112)</f>
        <v>1</v>
      </c>
    </row>
    <row r="113" spans="1:46" s="16" customFormat="1" x14ac:dyDescent="0.25">
      <c r="A113" s="16" t="s">
        <v>272</v>
      </c>
      <c r="B113" s="47"/>
      <c r="D113" s="41"/>
      <c r="E113" s="41"/>
      <c r="F113" s="41"/>
      <c r="G113" s="42"/>
      <c r="H113" s="41"/>
      <c r="I113" s="41"/>
      <c r="J113" s="41"/>
      <c r="K113" s="41"/>
      <c r="L113" s="41"/>
      <c r="M113" s="41"/>
      <c r="N113" s="41"/>
      <c r="O113" s="41"/>
      <c r="P113" s="41"/>
      <c r="Q113" s="41"/>
      <c r="R113" s="41">
        <v>1</v>
      </c>
      <c r="S113" s="41"/>
      <c r="T113" s="41"/>
      <c r="U113" s="41"/>
      <c r="V113" s="41"/>
      <c r="W113" s="41"/>
      <c r="X113" s="41"/>
      <c r="Y113" s="41"/>
      <c r="Z113" s="41"/>
      <c r="AA113" s="41"/>
      <c r="AB113" s="41"/>
      <c r="AC113" s="41"/>
      <c r="AD113" s="41"/>
      <c r="AE113" s="41"/>
      <c r="AF113" s="41"/>
      <c r="AG113" s="41"/>
      <c r="AH113" s="41"/>
      <c r="AI113" s="41"/>
      <c r="AJ113" s="43"/>
      <c r="AK113" s="41"/>
      <c r="AL113" s="43"/>
      <c r="AM113" s="43"/>
      <c r="AT113" s="43">
        <f>SUM(C113:AS113)</f>
        <v>1</v>
      </c>
    </row>
    <row r="114" spans="1:46" s="3" customFormat="1" x14ac:dyDescent="0.25">
      <c r="A114" s="35" t="s">
        <v>145</v>
      </c>
      <c r="B114" s="49"/>
      <c r="C114" s="24"/>
      <c r="G114" s="19"/>
      <c r="AJ114" s="24"/>
      <c r="AN114" s="24"/>
      <c r="AO114" s="24"/>
      <c r="AP114" s="24"/>
      <c r="AQ114" s="24"/>
      <c r="AR114" s="24"/>
      <c r="AS114" s="24"/>
      <c r="AT114" s="24"/>
    </row>
    <row r="115" spans="1:46" s="4" customFormat="1" x14ac:dyDescent="0.25">
      <c r="A115" s="54" t="s">
        <v>201</v>
      </c>
      <c r="B115" s="59" t="s">
        <v>80</v>
      </c>
      <c r="D115" s="56"/>
      <c r="E115" s="56"/>
      <c r="F115" s="56"/>
      <c r="G115" s="57"/>
      <c r="H115" s="56"/>
      <c r="I115" s="56"/>
      <c r="J115" s="56"/>
      <c r="K115" s="56"/>
      <c r="L115" s="56"/>
      <c r="M115" s="56"/>
      <c r="N115" s="56"/>
      <c r="O115" s="56"/>
      <c r="P115" s="56"/>
      <c r="Q115" s="56"/>
      <c r="R115" s="56"/>
      <c r="S115" s="56"/>
      <c r="T115" s="56"/>
      <c r="U115" s="56"/>
      <c r="V115" s="56"/>
      <c r="W115" s="56"/>
      <c r="X115" s="56">
        <v>47</v>
      </c>
      <c r="Y115" s="56"/>
      <c r="Z115" s="56"/>
      <c r="AA115" s="56"/>
      <c r="AB115" s="56"/>
      <c r="AC115" s="56"/>
      <c r="AD115" s="56"/>
      <c r="AE115" s="56"/>
      <c r="AF115" s="56"/>
      <c r="AG115" s="56"/>
      <c r="AH115" s="56"/>
      <c r="AI115" s="56"/>
      <c r="AJ115" s="58"/>
      <c r="AK115" s="56"/>
      <c r="AL115" s="58"/>
      <c r="AM115" s="58"/>
      <c r="AT115" s="58">
        <f>SUM(C115:AS115)</f>
        <v>47</v>
      </c>
    </row>
    <row r="116" spans="1:46" s="23" customFormat="1" x14ac:dyDescent="0.25">
      <c r="A116" s="45" t="s">
        <v>117</v>
      </c>
      <c r="B116" s="50"/>
      <c r="D116" s="41"/>
      <c r="E116" s="41"/>
      <c r="F116" s="41"/>
      <c r="G116" s="42"/>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1"/>
      <c r="AJ116" s="43"/>
      <c r="AK116" s="41"/>
      <c r="AL116" s="43"/>
      <c r="AM116" s="43"/>
      <c r="AT116" s="43"/>
    </row>
    <row r="117" spans="1:46" s="16" customFormat="1" x14ac:dyDescent="0.25">
      <c r="A117" s="16" t="s">
        <v>255</v>
      </c>
      <c r="B117" s="47"/>
      <c r="D117" s="41"/>
      <c r="E117" s="41"/>
      <c r="F117" s="41"/>
      <c r="G117" s="42"/>
      <c r="H117" s="41"/>
      <c r="I117" s="41"/>
      <c r="J117" s="41"/>
      <c r="K117" s="41"/>
      <c r="L117" s="41"/>
      <c r="M117" s="41"/>
      <c r="N117" s="41"/>
      <c r="O117" s="41"/>
      <c r="P117" s="41"/>
      <c r="Q117" s="41"/>
      <c r="R117" s="41"/>
      <c r="S117" s="41"/>
      <c r="T117" s="41"/>
      <c r="U117" s="41"/>
      <c r="V117" s="41"/>
      <c r="W117" s="41"/>
      <c r="X117" s="41">
        <v>1</v>
      </c>
      <c r="Y117" s="41"/>
      <c r="Z117" s="41"/>
      <c r="AA117" s="41"/>
      <c r="AB117" s="41"/>
      <c r="AC117" s="41"/>
      <c r="AD117" s="41"/>
      <c r="AE117" s="41"/>
      <c r="AF117" s="41"/>
      <c r="AG117" s="41"/>
      <c r="AH117" s="41"/>
      <c r="AI117" s="41"/>
      <c r="AJ117" s="43"/>
      <c r="AK117" s="41"/>
      <c r="AL117" s="43"/>
      <c r="AM117" s="43"/>
      <c r="AT117" s="43">
        <f>SUM(C117:AS117)</f>
        <v>1</v>
      </c>
    </row>
    <row r="118" spans="1:46" s="3" customFormat="1" x14ac:dyDescent="0.25">
      <c r="A118" s="35" t="s">
        <v>146</v>
      </c>
      <c r="B118" s="49"/>
      <c r="C118" s="24"/>
      <c r="G118" s="19"/>
      <c r="AJ118" s="24"/>
      <c r="AN118" s="24"/>
      <c r="AO118" s="24"/>
      <c r="AP118" s="24"/>
      <c r="AQ118" s="24"/>
      <c r="AR118" s="24"/>
      <c r="AS118" s="24"/>
      <c r="AT118" s="24"/>
    </row>
    <row r="119" spans="1:46" s="4" customFormat="1" x14ac:dyDescent="0.25">
      <c r="A119" s="54" t="s">
        <v>202</v>
      </c>
      <c r="B119" s="59" t="s">
        <v>80</v>
      </c>
      <c r="D119" s="56"/>
      <c r="E119" s="56"/>
      <c r="F119" s="56"/>
      <c r="G119" s="57"/>
      <c r="H119" s="56"/>
      <c r="I119" s="56"/>
      <c r="J119" s="56"/>
      <c r="K119" s="56"/>
      <c r="L119" s="56"/>
      <c r="M119" s="56"/>
      <c r="N119" s="56"/>
      <c r="O119" s="56"/>
      <c r="P119" s="56"/>
      <c r="Q119" s="56"/>
      <c r="R119" s="56"/>
      <c r="S119" s="56"/>
      <c r="T119" s="56"/>
      <c r="U119" s="56"/>
      <c r="V119" s="56"/>
      <c r="W119" s="56"/>
      <c r="X119" s="56">
        <v>39</v>
      </c>
      <c r="AF119" s="56"/>
      <c r="AG119" s="56"/>
      <c r="AH119" s="56"/>
      <c r="AI119" s="56"/>
      <c r="AJ119" s="58"/>
      <c r="AK119" s="56"/>
      <c r="AL119" s="58"/>
      <c r="AM119" s="58"/>
      <c r="AT119" s="58">
        <f>SUM(C119:AS119)</f>
        <v>39</v>
      </c>
    </row>
    <row r="120" spans="1:46" s="23" customFormat="1" x14ac:dyDescent="0.25">
      <c r="A120" s="45" t="s">
        <v>117</v>
      </c>
      <c r="B120" s="50"/>
      <c r="D120" s="41"/>
      <c r="E120" s="41"/>
      <c r="F120" s="41"/>
      <c r="G120" s="42"/>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c r="AF120" s="41"/>
      <c r="AG120" s="41"/>
      <c r="AH120" s="41"/>
      <c r="AI120" s="41"/>
      <c r="AJ120" s="43"/>
      <c r="AK120" s="41"/>
      <c r="AL120" s="43"/>
      <c r="AM120" s="43"/>
      <c r="AT120" s="43"/>
    </row>
    <row r="121" spans="1:46" s="16" customFormat="1" x14ac:dyDescent="0.25">
      <c r="A121" s="16" t="s">
        <v>255</v>
      </c>
      <c r="B121" s="47"/>
      <c r="D121" s="41"/>
      <c r="E121" s="41"/>
      <c r="F121" s="41"/>
      <c r="G121" s="42"/>
      <c r="H121" s="41"/>
      <c r="I121" s="41"/>
      <c r="J121" s="41"/>
      <c r="K121" s="41"/>
      <c r="L121" s="41"/>
      <c r="M121" s="41"/>
      <c r="N121" s="41"/>
      <c r="O121" s="41"/>
      <c r="P121" s="41"/>
      <c r="Q121" s="41"/>
      <c r="R121" s="41"/>
      <c r="S121" s="41"/>
      <c r="T121" s="41"/>
      <c r="U121" s="41"/>
      <c r="V121" s="41"/>
      <c r="W121" s="41"/>
      <c r="X121" s="41">
        <v>7</v>
      </c>
      <c r="Y121" s="41"/>
      <c r="Z121" s="41"/>
      <c r="AA121" s="41"/>
      <c r="AB121" s="41"/>
      <c r="AC121" s="41"/>
      <c r="AD121" s="41"/>
      <c r="AE121" s="41"/>
      <c r="AF121" s="41"/>
      <c r="AG121" s="41"/>
      <c r="AH121" s="41"/>
      <c r="AI121" s="41"/>
      <c r="AJ121" s="43"/>
      <c r="AK121" s="41"/>
      <c r="AL121" s="43"/>
      <c r="AM121" s="43"/>
      <c r="AT121" s="43">
        <f>SUM(C121:AS121)</f>
        <v>7</v>
      </c>
    </row>
    <row r="122" spans="1:46" s="3" customFormat="1" x14ac:dyDescent="0.25">
      <c r="A122" s="35" t="s">
        <v>147</v>
      </c>
      <c r="B122" s="49"/>
      <c r="C122" s="24"/>
      <c r="G122" s="19"/>
      <c r="AJ122" s="24"/>
      <c r="AN122" s="24"/>
      <c r="AO122" s="24"/>
      <c r="AP122" s="24"/>
      <c r="AQ122" s="24"/>
      <c r="AR122" s="24"/>
      <c r="AS122" s="24"/>
      <c r="AT122" s="24"/>
    </row>
    <row r="123" spans="1:46" s="4" customFormat="1" x14ac:dyDescent="0.25">
      <c r="A123" s="54" t="s">
        <v>203</v>
      </c>
      <c r="B123" s="59" t="s">
        <v>80</v>
      </c>
      <c r="D123" s="56"/>
      <c r="E123" s="56"/>
      <c r="F123" s="56"/>
      <c r="G123" s="57"/>
      <c r="H123" s="56"/>
      <c r="I123" s="56"/>
      <c r="J123" s="56"/>
      <c r="K123" s="56"/>
      <c r="L123" s="56"/>
      <c r="M123" s="56"/>
      <c r="N123" s="56"/>
      <c r="O123" s="56"/>
      <c r="P123" s="56"/>
      <c r="Q123" s="56"/>
      <c r="R123" s="56"/>
      <c r="S123" s="56"/>
      <c r="T123" s="56"/>
      <c r="U123" s="56"/>
      <c r="V123" s="56"/>
      <c r="W123" s="56"/>
      <c r="X123" s="56"/>
      <c r="Y123" s="56">
        <f>3+186</f>
        <v>189</v>
      </c>
      <c r="Z123" s="56">
        <v>40</v>
      </c>
      <c r="AA123" s="56">
        <v>1</v>
      </c>
      <c r="AB123" s="56">
        <v>13</v>
      </c>
      <c r="AC123" s="56">
        <v>12</v>
      </c>
      <c r="AD123" s="56">
        <v>21</v>
      </c>
      <c r="AE123" s="56"/>
      <c r="AF123" s="56"/>
      <c r="AG123" s="56"/>
      <c r="AH123" s="56"/>
      <c r="AI123" s="56"/>
      <c r="AJ123" s="58"/>
      <c r="AK123" s="56"/>
      <c r="AL123" s="58"/>
      <c r="AM123" s="58"/>
      <c r="AT123" s="58">
        <f>SUM(C123:AS123)</f>
        <v>276</v>
      </c>
    </row>
    <row r="124" spans="1:46" s="23" customFormat="1" x14ac:dyDescent="0.25">
      <c r="A124" s="45" t="s">
        <v>117</v>
      </c>
      <c r="B124" s="50"/>
      <c r="D124" s="41"/>
      <c r="E124" s="41"/>
      <c r="F124" s="41"/>
      <c r="G124" s="42"/>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3"/>
      <c r="AK124" s="41"/>
      <c r="AL124" s="43"/>
      <c r="AM124" s="43"/>
      <c r="AT124" s="43"/>
    </row>
    <row r="125" spans="1:46" s="16" customFormat="1" x14ac:dyDescent="0.25">
      <c r="A125" s="16" t="s">
        <v>254</v>
      </c>
      <c r="B125" s="47"/>
      <c r="D125" s="41"/>
      <c r="E125" s="41"/>
      <c r="F125" s="41"/>
      <c r="G125" s="42"/>
      <c r="H125" s="41"/>
      <c r="I125" s="41"/>
      <c r="J125" s="41"/>
      <c r="K125" s="41"/>
      <c r="L125" s="41"/>
      <c r="M125" s="41"/>
      <c r="N125" s="41"/>
      <c r="O125" s="41"/>
      <c r="P125" s="41"/>
      <c r="Q125" s="41"/>
      <c r="R125" s="41"/>
      <c r="S125" s="41"/>
      <c r="T125" s="41"/>
      <c r="U125" s="41"/>
      <c r="V125" s="41"/>
      <c r="W125" s="41"/>
      <c r="X125" s="41"/>
      <c r="Y125" s="41">
        <v>1</v>
      </c>
      <c r="Z125" s="41"/>
      <c r="AA125" s="41"/>
      <c r="AB125" s="41"/>
      <c r="AC125" s="41"/>
      <c r="AD125" s="41"/>
      <c r="AE125" s="41"/>
      <c r="AF125" s="41"/>
      <c r="AG125" s="41"/>
      <c r="AH125" s="41"/>
      <c r="AI125" s="41"/>
      <c r="AJ125" s="43"/>
      <c r="AK125" s="41"/>
      <c r="AL125" s="43"/>
      <c r="AM125" s="43"/>
      <c r="AT125" s="43">
        <f>SUM(C125:AS125)</f>
        <v>1</v>
      </c>
    </row>
    <row r="126" spans="1:46" s="16" customFormat="1" x14ac:dyDescent="0.25">
      <c r="A126" s="16" t="s">
        <v>251</v>
      </c>
      <c r="B126" s="47"/>
      <c r="D126" s="41"/>
      <c r="E126" s="41"/>
      <c r="F126" s="41"/>
      <c r="G126" s="42"/>
      <c r="H126" s="41"/>
      <c r="I126" s="41"/>
      <c r="J126" s="41"/>
      <c r="K126" s="41"/>
      <c r="L126" s="41"/>
      <c r="M126" s="41"/>
      <c r="N126" s="41"/>
      <c r="O126" s="41"/>
      <c r="P126" s="41"/>
      <c r="Q126" s="41"/>
      <c r="R126" s="41"/>
      <c r="S126" s="41"/>
      <c r="T126" s="41"/>
      <c r="U126" s="41"/>
      <c r="V126" s="41"/>
      <c r="W126" s="41"/>
      <c r="X126" s="41"/>
      <c r="Y126" s="41">
        <v>2</v>
      </c>
      <c r="Z126" s="41"/>
      <c r="AA126" s="41"/>
      <c r="AB126" s="41"/>
      <c r="AC126" s="41"/>
      <c r="AD126" s="41"/>
      <c r="AE126" s="41"/>
      <c r="AF126" s="41"/>
      <c r="AG126" s="41"/>
      <c r="AH126" s="41"/>
      <c r="AI126" s="41"/>
      <c r="AJ126" s="43"/>
      <c r="AK126" s="41"/>
      <c r="AL126" s="43"/>
      <c r="AM126" s="43"/>
      <c r="AT126" s="43">
        <f>SUM(C126:AS126)</f>
        <v>2</v>
      </c>
    </row>
    <row r="127" spans="1:46" s="3" customFormat="1" x14ac:dyDescent="0.25">
      <c r="A127" s="35" t="s">
        <v>148</v>
      </c>
      <c r="B127" s="49"/>
      <c r="C127" s="24"/>
      <c r="G127" s="19"/>
      <c r="AJ127" s="24"/>
      <c r="AN127" s="24"/>
      <c r="AO127" s="24"/>
      <c r="AP127" s="24"/>
      <c r="AQ127" s="24"/>
      <c r="AR127" s="24"/>
      <c r="AS127" s="24"/>
      <c r="AT127" s="24"/>
    </row>
    <row r="128" spans="1:46" s="4" customFormat="1" x14ac:dyDescent="0.25">
      <c r="A128" s="54" t="s">
        <v>149</v>
      </c>
      <c r="B128" s="59" t="s">
        <v>80</v>
      </c>
      <c r="D128" s="56"/>
      <c r="E128" s="56"/>
      <c r="F128" s="56"/>
      <c r="G128" s="57"/>
      <c r="H128" s="56"/>
      <c r="I128" s="56"/>
      <c r="J128" s="56"/>
      <c r="K128" s="56"/>
      <c r="L128" s="56"/>
      <c r="M128" s="56"/>
      <c r="N128" s="56"/>
      <c r="O128" s="56"/>
      <c r="P128" s="56"/>
      <c r="Q128" s="56"/>
      <c r="R128" s="56"/>
      <c r="S128" s="56"/>
      <c r="T128" s="56"/>
      <c r="U128" s="56"/>
      <c r="V128" s="56"/>
      <c r="W128" s="56"/>
      <c r="X128" s="56"/>
      <c r="Y128" s="56">
        <f>3+184</f>
        <v>187</v>
      </c>
      <c r="Z128" s="56">
        <v>39</v>
      </c>
      <c r="AA128" s="56">
        <v>1</v>
      </c>
      <c r="AB128" s="56">
        <v>13</v>
      </c>
      <c r="AC128" s="56">
        <v>12</v>
      </c>
      <c r="AD128" s="56">
        <v>21</v>
      </c>
      <c r="AE128" s="56"/>
      <c r="AF128" s="56"/>
      <c r="AG128" s="56"/>
      <c r="AH128" s="56"/>
      <c r="AI128" s="56"/>
      <c r="AJ128" s="58"/>
      <c r="AK128" s="56"/>
      <c r="AL128" s="58"/>
      <c r="AM128" s="58"/>
      <c r="AT128" s="58">
        <f>SUM(C128:AS128)</f>
        <v>273</v>
      </c>
    </row>
    <row r="129" spans="1:46" s="23" customFormat="1" x14ac:dyDescent="0.25">
      <c r="A129" s="45" t="s">
        <v>117</v>
      </c>
      <c r="B129" s="50"/>
      <c r="D129" s="41"/>
      <c r="E129" s="41"/>
      <c r="F129" s="41"/>
      <c r="G129" s="42"/>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c r="AI129" s="41"/>
      <c r="AJ129" s="43"/>
      <c r="AK129" s="41"/>
      <c r="AL129" s="43"/>
      <c r="AM129" s="43"/>
      <c r="AT129" s="43"/>
    </row>
    <row r="130" spans="1:46" s="16" customFormat="1" x14ac:dyDescent="0.25">
      <c r="A130" s="16" t="s">
        <v>252</v>
      </c>
      <c r="B130" s="47"/>
      <c r="D130" s="41"/>
      <c r="E130" s="41"/>
      <c r="F130" s="41"/>
      <c r="G130" s="42"/>
      <c r="H130" s="41"/>
      <c r="I130" s="41"/>
      <c r="J130" s="41"/>
      <c r="K130" s="41"/>
      <c r="L130" s="41"/>
      <c r="M130" s="41"/>
      <c r="N130" s="41"/>
      <c r="O130" s="41"/>
      <c r="P130" s="41"/>
      <c r="Q130" s="41"/>
      <c r="R130" s="41"/>
      <c r="S130" s="41"/>
      <c r="T130" s="41"/>
      <c r="U130" s="41"/>
      <c r="V130" s="41"/>
      <c r="W130" s="41"/>
      <c r="X130" s="41"/>
      <c r="Y130" s="41">
        <v>1</v>
      </c>
      <c r="Z130" s="41"/>
      <c r="AA130" s="41"/>
      <c r="AB130" s="41"/>
      <c r="AC130" s="41"/>
      <c r="AD130" s="41"/>
      <c r="AE130" s="41"/>
      <c r="AF130" s="41"/>
      <c r="AG130" s="41"/>
      <c r="AH130" s="41"/>
      <c r="AI130" s="41"/>
      <c r="AJ130" s="43"/>
      <c r="AK130" s="41"/>
      <c r="AL130" s="43"/>
      <c r="AM130" s="43"/>
      <c r="AT130" s="43">
        <f>SUM(C130:AS130)</f>
        <v>1</v>
      </c>
    </row>
    <row r="131" spans="1:46" s="16" customFormat="1" x14ac:dyDescent="0.25">
      <c r="A131" s="16" t="s">
        <v>254</v>
      </c>
      <c r="B131" s="47"/>
      <c r="D131" s="41"/>
      <c r="E131" s="41"/>
      <c r="F131" s="41"/>
      <c r="G131" s="42"/>
      <c r="H131" s="41"/>
      <c r="I131" s="41"/>
      <c r="J131" s="41"/>
      <c r="K131" s="41"/>
      <c r="L131" s="41"/>
      <c r="M131" s="41"/>
      <c r="N131" s="41"/>
      <c r="O131" s="41"/>
      <c r="P131" s="41"/>
      <c r="Q131" s="41"/>
      <c r="R131" s="41"/>
      <c r="S131" s="41"/>
      <c r="T131" s="41"/>
      <c r="U131" s="41"/>
      <c r="V131" s="41"/>
      <c r="W131" s="41"/>
      <c r="X131" s="41"/>
      <c r="Y131" s="41">
        <v>1</v>
      </c>
      <c r="Z131" s="41"/>
      <c r="AA131" s="41"/>
      <c r="AB131" s="41"/>
      <c r="AC131" s="41"/>
      <c r="AD131" s="41"/>
      <c r="AE131" s="41"/>
      <c r="AF131" s="41"/>
      <c r="AG131" s="41"/>
      <c r="AH131" s="41"/>
      <c r="AI131" s="41"/>
      <c r="AJ131" s="43"/>
      <c r="AK131" s="41"/>
      <c r="AL131" s="43"/>
      <c r="AM131" s="43"/>
      <c r="AT131" s="43">
        <f>SUM(C131:AS131)</f>
        <v>1</v>
      </c>
    </row>
    <row r="132" spans="1:46" s="16" customFormat="1" x14ac:dyDescent="0.25">
      <c r="A132" s="16" t="s">
        <v>253</v>
      </c>
      <c r="B132" s="47"/>
      <c r="D132" s="41"/>
      <c r="E132" s="41"/>
      <c r="F132" s="41"/>
      <c r="G132" s="42"/>
      <c r="H132" s="41"/>
      <c r="I132" s="41"/>
      <c r="J132" s="41"/>
      <c r="K132" s="41"/>
      <c r="L132" s="41"/>
      <c r="M132" s="41"/>
      <c r="N132" s="41"/>
      <c r="O132" s="41"/>
      <c r="P132" s="41"/>
      <c r="Q132" s="41"/>
      <c r="R132" s="41"/>
      <c r="S132" s="41"/>
      <c r="T132" s="41"/>
      <c r="U132" s="41"/>
      <c r="V132" s="41"/>
      <c r="W132" s="41"/>
      <c r="X132" s="41"/>
      <c r="Y132" s="41">
        <v>1</v>
      </c>
      <c r="Z132" s="41"/>
      <c r="AA132" s="41"/>
      <c r="AB132" s="41"/>
      <c r="AC132" s="41"/>
      <c r="AD132" s="41"/>
      <c r="AE132" s="41"/>
      <c r="AF132" s="41"/>
      <c r="AG132" s="41"/>
      <c r="AH132" s="41"/>
      <c r="AI132" s="41"/>
      <c r="AJ132" s="43"/>
      <c r="AK132" s="41"/>
      <c r="AL132" s="43"/>
      <c r="AM132" s="43"/>
      <c r="AT132" s="43">
        <f>SUM(C132:AS132)</f>
        <v>1</v>
      </c>
    </row>
    <row r="133" spans="1:46" s="3" customFormat="1" x14ac:dyDescent="0.25">
      <c r="A133" s="35" t="s">
        <v>151</v>
      </c>
      <c r="B133" s="49"/>
      <c r="C133" s="24"/>
      <c r="G133" s="19"/>
      <c r="AJ133" s="24"/>
      <c r="AN133" s="24"/>
      <c r="AO133" s="24"/>
      <c r="AP133" s="24"/>
      <c r="AQ133" s="24"/>
      <c r="AR133" s="24"/>
      <c r="AS133" s="24"/>
      <c r="AT133" s="24"/>
    </row>
    <row r="134" spans="1:46" s="4" customFormat="1" x14ac:dyDescent="0.25">
      <c r="A134" s="54" t="s">
        <v>226</v>
      </c>
      <c r="B134" s="59" t="s">
        <v>80</v>
      </c>
      <c r="D134" s="56"/>
      <c r="E134" s="56"/>
      <c r="F134" s="56"/>
      <c r="G134" s="57"/>
      <c r="H134" s="56"/>
      <c r="I134" s="56"/>
      <c r="J134" s="56"/>
      <c r="K134" s="56"/>
      <c r="L134" s="56"/>
      <c r="M134" s="56"/>
      <c r="N134" s="56"/>
      <c r="O134" s="56"/>
      <c r="P134" s="56"/>
      <c r="Q134" s="56"/>
      <c r="R134" s="56"/>
      <c r="S134" s="56"/>
      <c r="T134" s="56"/>
      <c r="U134" s="56"/>
      <c r="V134" s="56"/>
      <c r="W134" s="56"/>
      <c r="X134" s="56"/>
      <c r="Y134" s="56"/>
      <c r="Z134" s="56"/>
      <c r="AA134" s="56"/>
      <c r="AB134" s="56"/>
      <c r="AC134" s="56"/>
      <c r="AD134" s="56"/>
      <c r="AE134" s="56">
        <v>167</v>
      </c>
      <c r="AF134" s="56">
        <v>5</v>
      </c>
      <c r="AG134" s="56"/>
      <c r="AH134" s="56"/>
      <c r="AI134" s="56"/>
      <c r="AJ134" s="58"/>
      <c r="AK134" s="56"/>
      <c r="AL134" s="58"/>
      <c r="AM134" s="58"/>
      <c r="AT134" s="58">
        <f>SUM(C134:AS134)</f>
        <v>172</v>
      </c>
    </row>
    <row r="135" spans="1:46" s="23" customFormat="1" x14ac:dyDescent="0.25">
      <c r="A135" s="45" t="s">
        <v>117</v>
      </c>
      <c r="B135" s="50"/>
      <c r="D135" s="41"/>
      <c r="E135" s="41"/>
      <c r="F135" s="41"/>
      <c r="G135" s="42"/>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43"/>
      <c r="AK135" s="41"/>
      <c r="AL135" s="43"/>
      <c r="AM135" s="43"/>
      <c r="AT135" s="43"/>
    </row>
    <row r="136" spans="1:46" s="16" customFormat="1" x14ac:dyDescent="0.25">
      <c r="A136" s="16" t="s">
        <v>249</v>
      </c>
      <c r="B136" s="47" t="s">
        <v>246</v>
      </c>
      <c r="D136" s="41"/>
      <c r="E136" s="41"/>
      <c r="F136" s="41"/>
      <c r="G136" s="42"/>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v>1</v>
      </c>
      <c r="AF136" s="41"/>
      <c r="AG136" s="41"/>
      <c r="AH136" s="41"/>
      <c r="AI136" s="41"/>
      <c r="AJ136" s="43"/>
      <c r="AK136" s="41"/>
      <c r="AL136" s="43"/>
      <c r="AM136" s="43"/>
      <c r="AT136" s="43">
        <f>SUM(C136:AS136)</f>
        <v>1</v>
      </c>
    </row>
    <row r="137" spans="1:46" s="3" customFormat="1" x14ac:dyDescent="0.25">
      <c r="A137" s="35" t="s">
        <v>150</v>
      </c>
      <c r="B137" s="49"/>
      <c r="C137" s="24"/>
      <c r="G137" s="19"/>
      <c r="AJ137" s="24"/>
      <c r="AN137" s="24"/>
      <c r="AO137" s="24"/>
      <c r="AP137" s="24"/>
      <c r="AQ137" s="24"/>
      <c r="AR137" s="24"/>
      <c r="AS137" s="24"/>
      <c r="AT137" s="24"/>
    </row>
    <row r="138" spans="1:46" s="4" customFormat="1" x14ac:dyDescent="0.25">
      <c r="A138" s="54" t="s">
        <v>227</v>
      </c>
      <c r="B138" s="59" t="s">
        <v>80</v>
      </c>
      <c r="D138" s="56"/>
      <c r="E138" s="56"/>
      <c r="F138" s="56"/>
      <c r="G138" s="57"/>
      <c r="H138" s="56"/>
      <c r="I138" s="56"/>
      <c r="J138" s="56"/>
      <c r="K138" s="56"/>
      <c r="L138" s="56"/>
      <c r="M138" s="56"/>
      <c r="N138" s="56"/>
      <c r="O138" s="56"/>
      <c r="P138" s="56"/>
      <c r="Q138" s="56"/>
      <c r="R138" s="56"/>
      <c r="S138" s="56"/>
      <c r="T138" s="56"/>
      <c r="U138" s="56"/>
      <c r="V138" s="56"/>
      <c r="W138" s="56"/>
      <c r="X138" s="56"/>
      <c r="Y138" s="56"/>
      <c r="Z138" s="56"/>
      <c r="AA138" s="56"/>
      <c r="AB138" s="56"/>
      <c r="AC138" s="56"/>
      <c r="AD138" s="56"/>
      <c r="AE138" s="56">
        <v>163</v>
      </c>
      <c r="AF138" s="56">
        <v>6</v>
      </c>
      <c r="AG138" s="56"/>
      <c r="AH138" s="56"/>
      <c r="AI138" s="56"/>
      <c r="AJ138" s="58"/>
      <c r="AK138" s="56"/>
      <c r="AL138" s="58"/>
      <c r="AM138" s="58"/>
      <c r="AT138" s="58">
        <f>SUM(C138:AS138)</f>
        <v>169</v>
      </c>
    </row>
    <row r="139" spans="1:46" s="23" customFormat="1" x14ac:dyDescent="0.25">
      <c r="A139" s="45" t="s">
        <v>117</v>
      </c>
      <c r="B139" s="50"/>
      <c r="D139" s="41"/>
      <c r="E139" s="41"/>
      <c r="F139" s="41"/>
      <c r="G139" s="42"/>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3"/>
      <c r="AK139" s="41"/>
      <c r="AL139" s="43"/>
      <c r="AM139" s="43"/>
      <c r="AT139" s="43"/>
    </row>
    <row r="140" spans="1:46" s="16" customFormat="1" x14ac:dyDescent="0.25">
      <c r="A140" s="16" t="s">
        <v>351</v>
      </c>
      <c r="B140" s="47"/>
      <c r="D140" s="41"/>
      <c r="E140" s="41"/>
      <c r="F140" s="41"/>
      <c r="G140" s="42"/>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v>7</v>
      </c>
      <c r="AF140" s="41"/>
      <c r="AG140" s="41"/>
      <c r="AH140" s="41"/>
      <c r="AI140" s="41"/>
      <c r="AJ140" s="43"/>
      <c r="AK140" s="41"/>
      <c r="AL140" s="43"/>
      <c r="AM140" s="43"/>
      <c r="AT140" s="43">
        <f>SUM(C140:AS140)</f>
        <v>7</v>
      </c>
    </row>
    <row r="141" spans="1:46" s="3" customFormat="1" x14ac:dyDescent="0.25">
      <c r="A141" s="35" t="s">
        <v>152</v>
      </c>
      <c r="B141" s="49"/>
      <c r="C141" s="24"/>
      <c r="G141" s="19"/>
      <c r="AJ141" s="24"/>
      <c r="AN141" s="24"/>
      <c r="AO141" s="24"/>
      <c r="AP141" s="24"/>
      <c r="AQ141" s="24"/>
      <c r="AR141" s="24"/>
      <c r="AS141" s="24"/>
      <c r="AT141" s="24"/>
    </row>
    <row r="142" spans="1:46" s="4" customFormat="1" x14ac:dyDescent="0.25">
      <c r="A142" s="54" t="s">
        <v>175</v>
      </c>
      <c r="B142" s="59" t="s">
        <v>80</v>
      </c>
      <c r="D142" s="56"/>
      <c r="E142" s="56"/>
      <c r="F142" s="56"/>
      <c r="G142" s="57"/>
      <c r="H142" s="56"/>
      <c r="I142" s="56"/>
      <c r="J142" s="56"/>
      <c r="K142" s="56"/>
      <c r="L142" s="56"/>
      <c r="M142" s="56"/>
      <c r="N142" s="56"/>
      <c r="O142" s="56"/>
      <c r="P142" s="56"/>
      <c r="Q142" s="56"/>
      <c r="R142" s="56"/>
      <c r="S142" s="56"/>
      <c r="T142" s="56"/>
      <c r="U142" s="56"/>
      <c r="V142" s="56"/>
      <c r="W142" s="56"/>
      <c r="X142" s="56"/>
      <c r="Y142" s="56"/>
      <c r="Z142" s="56"/>
      <c r="AA142" s="56"/>
      <c r="AB142" s="56"/>
      <c r="AC142" s="56"/>
      <c r="AD142" s="56"/>
      <c r="AE142" s="56"/>
      <c r="AF142" s="56"/>
      <c r="AG142" s="56">
        <f>1+112</f>
        <v>113</v>
      </c>
      <c r="AH142" s="56"/>
      <c r="AI142" s="56"/>
      <c r="AJ142" s="58"/>
      <c r="AK142" s="56"/>
      <c r="AL142" s="58"/>
      <c r="AM142" s="58"/>
      <c r="AT142" s="58">
        <f>SUM(C142:AS142)</f>
        <v>113</v>
      </c>
    </row>
    <row r="143" spans="1:46" s="23" customFormat="1" x14ac:dyDescent="0.25">
      <c r="A143" s="45" t="s">
        <v>117</v>
      </c>
      <c r="B143" s="50"/>
      <c r="D143" s="41"/>
      <c r="E143" s="41"/>
      <c r="F143" s="41"/>
      <c r="G143" s="42"/>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3"/>
      <c r="AK143" s="41"/>
      <c r="AL143" s="43"/>
      <c r="AM143" s="43"/>
      <c r="AT143" s="43"/>
    </row>
    <row r="144" spans="1:46" s="16" customFormat="1" x14ac:dyDescent="0.25">
      <c r="A144" s="16" t="s">
        <v>256</v>
      </c>
      <c r="B144" s="47"/>
      <c r="D144" s="41"/>
      <c r="E144" s="41"/>
      <c r="F144" s="41"/>
      <c r="G144" s="42"/>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v>1</v>
      </c>
      <c r="AH144" s="41"/>
      <c r="AI144" s="41"/>
      <c r="AJ144" s="43"/>
      <c r="AK144" s="41"/>
      <c r="AL144" s="43"/>
      <c r="AM144" s="43"/>
      <c r="AT144" s="43">
        <f>SUM(C144:AS144)</f>
        <v>1</v>
      </c>
    </row>
    <row r="145" spans="1:46" s="16" customFormat="1" x14ac:dyDescent="0.25">
      <c r="A145" s="16" t="s">
        <v>257</v>
      </c>
      <c r="B145" s="47"/>
      <c r="D145" s="41"/>
      <c r="E145" s="41"/>
      <c r="F145" s="41"/>
      <c r="G145" s="42"/>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c r="AG145" s="41">
        <v>1</v>
      </c>
      <c r="AH145" s="41"/>
      <c r="AI145" s="41"/>
      <c r="AJ145" s="43"/>
      <c r="AK145" s="41"/>
      <c r="AL145" s="43"/>
      <c r="AM145" s="43"/>
      <c r="AT145" s="43">
        <f>SUM(C145:AS145)</f>
        <v>1</v>
      </c>
    </row>
    <row r="146" spans="1:46" s="16" customFormat="1" x14ac:dyDescent="0.25">
      <c r="A146" s="16" t="s">
        <v>258</v>
      </c>
      <c r="B146" s="47"/>
      <c r="D146" s="41"/>
      <c r="E146" s="41"/>
      <c r="F146" s="41"/>
      <c r="G146" s="42"/>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v>1</v>
      </c>
      <c r="AH146" s="41"/>
      <c r="AI146" s="41"/>
      <c r="AJ146" s="43"/>
      <c r="AK146" s="41"/>
      <c r="AL146" s="43"/>
      <c r="AM146" s="43"/>
      <c r="AT146" s="43">
        <f>SUM(C146:AS146)</f>
        <v>1</v>
      </c>
    </row>
    <row r="147" spans="1:46" s="3" customFormat="1" x14ac:dyDescent="0.25">
      <c r="A147" s="35" t="s">
        <v>153</v>
      </c>
      <c r="B147" s="49"/>
      <c r="C147" s="24"/>
      <c r="G147" s="19"/>
      <c r="AJ147" s="24"/>
      <c r="AN147" s="24"/>
      <c r="AO147" s="24"/>
      <c r="AP147" s="24"/>
      <c r="AQ147" s="24"/>
      <c r="AR147" s="24"/>
      <c r="AS147" s="24"/>
      <c r="AT147" s="24"/>
    </row>
    <row r="148" spans="1:46" s="4" customFormat="1" x14ac:dyDescent="0.25">
      <c r="A148" s="54" t="s">
        <v>204</v>
      </c>
      <c r="B148" s="59" t="s">
        <v>80</v>
      </c>
      <c r="D148" s="56"/>
      <c r="E148" s="56"/>
      <c r="F148" s="56"/>
      <c r="G148" s="57"/>
      <c r="H148" s="56"/>
      <c r="I148" s="56"/>
      <c r="J148" s="56"/>
      <c r="K148" s="56"/>
      <c r="L148" s="56"/>
      <c r="M148" s="56"/>
      <c r="N148" s="56"/>
      <c r="O148" s="56"/>
      <c r="P148" s="56"/>
      <c r="Q148" s="56"/>
      <c r="R148" s="56"/>
      <c r="S148" s="56"/>
      <c r="T148" s="56"/>
      <c r="U148" s="56"/>
      <c r="V148" s="56"/>
      <c r="W148" s="56"/>
      <c r="X148" s="56"/>
      <c r="Y148" s="56"/>
      <c r="Z148" s="56"/>
      <c r="AA148" s="56"/>
      <c r="AB148" s="56"/>
      <c r="AC148" s="56"/>
      <c r="AD148" s="56"/>
      <c r="AE148" s="56"/>
      <c r="AF148" s="56"/>
      <c r="AG148" s="56">
        <f>1+115</f>
        <v>116</v>
      </c>
      <c r="AH148" s="56"/>
      <c r="AI148" s="56"/>
      <c r="AJ148" s="58"/>
      <c r="AK148" s="56"/>
      <c r="AL148" s="58"/>
      <c r="AM148" s="58"/>
      <c r="AT148" s="58">
        <f>SUM(C148:AS148)</f>
        <v>116</v>
      </c>
    </row>
    <row r="149" spans="1:46" s="23" customFormat="1" x14ac:dyDescent="0.25">
      <c r="A149" s="45" t="s">
        <v>117</v>
      </c>
      <c r="B149" s="50"/>
      <c r="D149" s="41"/>
      <c r="E149" s="41"/>
      <c r="F149" s="41"/>
      <c r="G149" s="42"/>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3"/>
      <c r="AK149" s="41"/>
      <c r="AL149" s="43"/>
      <c r="AM149" s="43"/>
      <c r="AT149" s="43"/>
    </row>
    <row r="150" spans="1:46" s="16" customFormat="1" x14ac:dyDescent="0.25">
      <c r="A150" s="16" t="s">
        <v>257</v>
      </c>
      <c r="B150" s="47"/>
      <c r="D150" s="41"/>
      <c r="E150" s="41"/>
      <c r="F150" s="41"/>
      <c r="G150" s="42"/>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v>1</v>
      </c>
      <c r="AH150" s="41"/>
      <c r="AI150" s="41"/>
      <c r="AJ150" s="43"/>
      <c r="AK150" s="41"/>
      <c r="AL150" s="43"/>
      <c r="AM150" s="43"/>
      <c r="AT150" s="43">
        <f>SUM(C150:AS150)</f>
        <v>1</v>
      </c>
    </row>
    <row r="151" spans="1:46" s="3" customFormat="1" x14ac:dyDescent="0.25">
      <c r="A151" s="35" t="s">
        <v>154</v>
      </c>
      <c r="B151" s="49"/>
      <c r="C151" s="24"/>
      <c r="G151" s="19"/>
      <c r="AJ151" s="24"/>
      <c r="AN151" s="24"/>
      <c r="AO151" s="24"/>
      <c r="AP151" s="24"/>
      <c r="AQ151" s="24"/>
      <c r="AR151" s="24"/>
      <c r="AS151" s="24"/>
      <c r="AT151" s="24"/>
    </row>
    <row r="152" spans="1:46" s="4" customFormat="1" x14ac:dyDescent="0.25">
      <c r="A152" s="54" t="s">
        <v>156</v>
      </c>
      <c r="B152" s="59" t="s">
        <v>80</v>
      </c>
      <c r="D152" s="56"/>
      <c r="E152" s="56"/>
      <c r="F152" s="56"/>
      <c r="G152" s="57"/>
      <c r="H152" s="56"/>
      <c r="I152" s="56"/>
      <c r="J152" s="56"/>
      <c r="K152" s="56"/>
      <c r="L152" s="56"/>
      <c r="M152" s="56"/>
      <c r="N152" s="56"/>
      <c r="O152" s="56"/>
      <c r="P152" s="56"/>
      <c r="Q152" s="56"/>
      <c r="R152" s="56"/>
      <c r="S152" s="56">
        <v>70</v>
      </c>
      <c r="T152" s="56"/>
      <c r="U152" s="56"/>
      <c r="V152" s="56"/>
      <c r="W152" s="56"/>
      <c r="X152" s="56"/>
      <c r="Y152" s="56"/>
      <c r="Z152" s="56"/>
      <c r="AA152" s="56"/>
      <c r="AB152" s="56"/>
      <c r="AC152" s="56"/>
      <c r="AD152" s="56"/>
      <c r="AE152" s="56"/>
      <c r="AF152" s="56"/>
      <c r="AG152" s="56"/>
      <c r="AH152" s="56">
        <v>76</v>
      </c>
      <c r="AI152" s="56"/>
      <c r="AJ152" s="58"/>
      <c r="AK152" s="56"/>
      <c r="AL152" s="58"/>
      <c r="AM152" s="58"/>
      <c r="AT152" s="58">
        <f>SUM(C152:AS152)</f>
        <v>146</v>
      </c>
    </row>
    <row r="153" spans="1:46" s="23" customFormat="1" x14ac:dyDescent="0.25">
      <c r="A153" s="45" t="s">
        <v>117</v>
      </c>
      <c r="B153" s="50"/>
      <c r="D153" s="41"/>
      <c r="E153" s="41"/>
      <c r="F153" s="41"/>
      <c r="G153" s="42"/>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3"/>
      <c r="AK153" s="41"/>
      <c r="AL153" s="43"/>
      <c r="AM153" s="43"/>
      <c r="AT153" s="43"/>
    </row>
    <row r="154" spans="1:46" s="16" customFormat="1" x14ac:dyDescent="0.25">
      <c r="B154" s="47"/>
      <c r="D154" s="41"/>
      <c r="E154" s="41"/>
      <c r="F154" s="41"/>
      <c r="G154" s="42"/>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43"/>
      <c r="AK154" s="41"/>
      <c r="AL154" s="43"/>
      <c r="AM154" s="43"/>
      <c r="AT154" s="43">
        <f>SUM(C154:AS154)</f>
        <v>0</v>
      </c>
    </row>
    <row r="155" spans="1:46" s="3" customFormat="1" x14ac:dyDescent="0.25">
      <c r="A155" s="35" t="s">
        <v>155</v>
      </c>
      <c r="B155" s="49"/>
      <c r="C155" s="24"/>
      <c r="G155" s="19"/>
      <c r="AJ155" s="24"/>
      <c r="AN155" s="24"/>
      <c r="AO155" s="24"/>
      <c r="AP155" s="24"/>
      <c r="AQ155" s="24"/>
      <c r="AR155" s="24"/>
      <c r="AS155" s="24"/>
      <c r="AT155" s="24"/>
    </row>
    <row r="156" spans="1:46" s="4" customFormat="1" x14ac:dyDescent="0.25">
      <c r="A156" s="54" t="s">
        <v>205</v>
      </c>
      <c r="B156" s="59" t="s">
        <v>80</v>
      </c>
      <c r="D156" s="56"/>
      <c r="E156" s="56"/>
      <c r="F156" s="56"/>
      <c r="G156" s="57"/>
      <c r="H156" s="56"/>
      <c r="I156" s="56"/>
      <c r="J156" s="56"/>
      <c r="K156" s="56"/>
      <c r="L156" s="56"/>
      <c r="M156" s="56"/>
      <c r="N156" s="56"/>
      <c r="O156" s="56"/>
      <c r="P156" s="56"/>
      <c r="Q156" s="56"/>
      <c r="R156" s="56"/>
      <c r="S156" s="56">
        <v>74</v>
      </c>
      <c r="T156" s="56"/>
      <c r="U156" s="56"/>
      <c r="V156" s="56"/>
      <c r="W156" s="56"/>
      <c r="X156" s="56"/>
      <c r="Y156" s="56"/>
      <c r="Z156" s="56"/>
      <c r="AA156" s="56"/>
      <c r="AB156" s="56"/>
      <c r="AC156" s="56"/>
      <c r="AD156" s="56"/>
      <c r="AE156" s="56"/>
      <c r="AF156" s="56"/>
      <c r="AG156" s="56"/>
      <c r="AH156" s="56">
        <v>78</v>
      </c>
      <c r="AI156" s="56"/>
      <c r="AJ156" s="58"/>
      <c r="AK156" s="56"/>
      <c r="AL156" s="58"/>
      <c r="AM156" s="58"/>
      <c r="AT156" s="58">
        <f>SUM(C156:AS156)</f>
        <v>152</v>
      </c>
    </row>
    <row r="157" spans="1:46" s="23" customFormat="1" x14ac:dyDescent="0.25">
      <c r="A157" s="45" t="s">
        <v>117</v>
      </c>
      <c r="B157" s="50"/>
      <c r="D157" s="41"/>
      <c r="E157" s="41"/>
      <c r="F157" s="41"/>
      <c r="G157" s="42"/>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3"/>
      <c r="AK157" s="41"/>
      <c r="AL157" s="43"/>
      <c r="AM157" s="43"/>
      <c r="AT157" s="43"/>
    </row>
    <row r="158" spans="1:46" s="16" customFormat="1" x14ac:dyDescent="0.25">
      <c r="B158" s="47"/>
      <c r="D158" s="41"/>
      <c r="E158" s="41"/>
      <c r="F158" s="41"/>
      <c r="G158" s="42"/>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3"/>
      <c r="AK158" s="41"/>
      <c r="AL158" s="43"/>
      <c r="AM158" s="43"/>
      <c r="AT158" s="43">
        <f>SUM(C158:AS158)</f>
        <v>0</v>
      </c>
    </row>
    <row r="159" spans="1:46" s="3" customFormat="1" x14ac:dyDescent="0.25">
      <c r="A159" s="35" t="s">
        <v>157</v>
      </c>
      <c r="B159" s="49"/>
      <c r="C159" s="24"/>
      <c r="G159" s="19"/>
      <c r="AJ159" s="24"/>
      <c r="AN159" s="24"/>
      <c r="AO159" s="24"/>
      <c r="AP159" s="24"/>
      <c r="AQ159" s="24"/>
      <c r="AR159" s="24"/>
      <c r="AS159" s="24"/>
      <c r="AT159" s="24"/>
    </row>
    <row r="160" spans="1:46" s="4" customFormat="1" x14ac:dyDescent="0.25">
      <c r="A160" s="54" t="s">
        <v>206</v>
      </c>
      <c r="B160" s="59" t="s">
        <v>80</v>
      </c>
      <c r="D160" s="56"/>
      <c r="E160" s="56"/>
      <c r="F160" s="56"/>
      <c r="G160" s="57"/>
      <c r="H160" s="56"/>
      <c r="I160" s="56"/>
      <c r="J160" s="56"/>
      <c r="K160" s="56"/>
      <c r="L160" s="56"/>
      <c r="M160" s="56"/>
      <c r="N160" s="56"/>
      <c r="O160" s="56"/>
      <c r="P160" s="56"/>
      <c r="Q160" s="56"/>
      <c r="R160" s="56"/>
      <c r="S160" s="56"/>
      <c r="T160" s="56"/>
      <c r="U160" s="56"/>
      <c r="V160" s="56"/>
      <c r="W160" s="56"/>
      <c r="X160" s="56"/>
      <c r="Y160" s="56"/>
      <c r="Z160" s="56"/>
      <c r="AA160" s="56"/>
      <c r="AB160" s="56"/>
      <c r="AC160" s="56"/>
      <c r="AD160" s="56"/>
      <c r="AE160" s="56"/>
      <c r="AF160" s="56"/>
      <c r="AG160" s="56"/>
      <c r="AH160" s="56"/>
      <c r="AI160" s="56">
        <f>1+173</f>
        <v>174</v>
      </c>
      <c r="AJ160" s="58">
        <v>0</v>
      </c>
      <c r="AK160" s="56">
        <v>10</v>
      </c>
      <c r="AL160" s="58">
        <v>1</v>
      </c>
      <c r="AM160" s="58">
        <v>12</v>
      </c>
      <c r="AT160" s="58">
        <f>SUM(C160:AS160)</f>
        <v>197</v>
      </c>
    </row>
    <row r="161" spans="1:46" s="23" customFormat="1" x14ac:dyDescent="0.25">
      <c r="A161" s="45" t="s">
        <v>117</v>
      </c>
      <c r="B161" s="50"/>
      <c r="D161" s="41"/>
      <c r="E161" s="41"/>
      <c r="F161" s="41"/>
      <c r="G161" s="42"/>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3"/>
      <c r="AK161" s="41"/>
      <c r="AL161" s="43"/>
      <c r="AM161" s="43"/>
      <c r="AT161" s="43"/>
    </row>
    <row r="162" spans="1:46" s="16" customFormat="1" x14ac:dyDescent="0.25">
      <c r="A162" s="16" t="s">
        <v>264</v>
      </c>
      <c r="B162" s="47"/>
      <c r="D162" s="41"/>
      <c r="E162" s="41"/>
      <c r="F162" s="41"/>
      <c r="G162" s="42"/>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v>2</v>
      </c>
      <c r="AJ162" s="43"/>
      <c r="AK162" s="41"/>
      <c r="AL162" s="43"/>
      <c r="AM162" s="43"/>
      <c r="AT162" s="43">
        <f>SUM(C162:AS162)</f>
        <v>2</v>
      </c>
    </row>
    <row r="163" spans="1:46" s="16" customFormat="1" x14ac:dyDescent="0.25">
      <c r="A163" s="16" t="s">
        <v>265</v>
      </c>
      <c r="B163" s="47"/>
      <c r="D163" s="41"/>
      <c r="E163" s="41"/>
      <c r="F163" s="41"/>
      <c r="G163" s="42"/>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c r="AF163" s="41"/>
      <c r="AG163" s="41"/>
      <c r="AH163" s="41"/>
      <c r="AI163" s="41">
        <v>1</v>
      </c>
      <c r="AJ163" s="43"/>
      <c r="AK163" s="41"/>
      <c r="AL163" s="43"/>
      <c r="AM163" s="43"/>
      <c r="AT163" s="43">
        <f>SUM(C163:AS163)</f>
        <v>1</v>
      </c>
    </row>
    <row r="164" spans="1:46" s="16" customFormat="1" x14ac:dyDescent="0.25">
      <c r="A164" s="16" t="s">
        <v>266</v>
      </c>
      <c r="B164" s="47"/>
      <c r="D164" s="41"/>
      <c r="E164" s="41"/>
      <c r="F164" s="41"/>
      <c r="G164" s="42"/>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c r="AF164" s="41"/>
      <c r="AG164" s="41"/>
      <c r="AH164" s="41"/>
      <c r="AI164" s="41">
        <v>1</v>
      </c>
      <c r="AJ164" s="43"/>
      <c r="AK164" s="41"/>
      <c r="AL164" s="43"/>
      <c r="AM164" s="43"/>
      <c r="AT164" s="43">
        <f>SUM(C164:AS164)</f>
        <v>1</v>
      </c>
    </row>
    <row r="165" spans="1:46" s="3" customFormat="1" x14ac:dyDescent="0.25">
      <c r="A165" s="35" t="s">
        <v>158</v>
      </c>
      <c r="B165" s="49"/>
      <c r="C165" s="24"/>
      <c r="G165" s="19"/>
      <c r="AJ165" s="24"/>
      <c r="AN165" s="24"/>
      <c r="AO165" s="24"/>
      <c r="AP165" s="24"/>
      <c r="AQ165" s="24"/>
      <c r="AR165" s="24"/>
      <c r="AS165" s="24"/>
      <c r="AT165" s="24"/>
    </row>
    <row r="166" spans="1:46" s="4" customFormat="1" x14ac:dyDescent="0.25">
      <c r="A166" s="54" t="s">
        <v>207</v>
      </c>
      <c r="B166" s="59" t="s">
        <v>80</v>
      </c>
      <c r="D166" s="56"/>
      <c r="E166" s="56"/>
      <c r="F166" s="56"/>
      <c r="G166" s="57"/>
      <c r="H166" s="56"/>
      <c r="I166" s="56"/>
      <c r="J166" s="56"/>
      <c r="K166" s="56"/>
      <c r="L166" s="56"/>
      <c r="M166" s="56"/>
      <c r="N166" s="56"/>
      <c r="O166" s="56"/>
      <c r="P166" s="56"/>
      <c r="Q166" s="56"/>
      <c r="R166" s="56"/>
      <c r="S166" s="56"/>
      <c r="T166" s="56"/>
      <c r="U166" s="56"/>
      <c r="V166" s="56"/>
      <c r="W166" s="56"/>
      <c r="X166" s="56"/>
      <c r="Y166" s="56"/>
      <c r="Z166" s="56"/>
      <c r="AA166" s="56"/>
      <c r="AB166" s="56"/>
      <c r="AC166" s="56"/>
      <c r="AD166" s="56"/>
      <c r="AE166" s="56"/>
      <c r="AF166" s="56"/>
      <c r="AG166" s="56"/>
      <c r="AH166" s="56"/>
      <c r="AI166" s="56">
        <f>1+175</f>
        <v>176</v>
      </c>
      <c r="AJ166" s="58">
        <v>0</v>
      </c>
      <c r="AK166" s="56">
        <v>9</v>
      </c>
      <c r="AL166" s="58">
        <v>1</v>
      </c>
      <c r="AM166" s="58">
        <v>13</v>
      </c>
      <c r="AT166" s="58">
        <f>SUM(C166:AS166)</f>
        <v>199</v>
      </c>
    </row>
    <row r="167" spans="1:46" s="23" customFormat="1" x14ac:dyDescent="0.25">
      <c r="A167" s="45" t="s">
        <v>117</v>
      </c>
      <c r="B167" s="50"/>
      <c r="D167" s="41"/>
      <c r="E167" s="41"/>
      <c r="F167" s="41"/>
      <c r="G167" s="42"/>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c r="AF167" s="41"/>
      <c r="AG167" s="41"/>
      <c r="AH167" s="41"/>
      <c r="AI167" s="41"/>
      <c r="AJ167" s="43"/>
      <c r="AK167" s="41"/>
      <c r="AL167" s="43"/>
      <c r="AM167" s="43"/>
      <c r="AT167" s="43"/>
    </row>
    <row r="168" spans="1:46" s="16" customFormat="1" x14ac:dyDescent="0.25">
      <c r="A168" s="16" t="s">
        <v>267</v>
      </c>
      <c r="B168" s="47"/>
      <c r="D168" s="41"/>
      <c r="E168" s="41"/>
      <c r="F168" s="41"/>
      <c r="G168" s="42"/>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v>1</v>
      </c>
      <c r="AJ168" s="43"/>
      <c r="AK168" s="41"/>
      <c r="AL168" s="43"/>
      <c r="AM168" s="43"/>
      <c r="AT168" s="43">
        <f>SUM(C168:AS168)</f>
        <v>1</v>
      </c>
    </row>
    <row r="169" spans="1:46" s="3" customFormat="1" x14ac:dyDescent="0.25">
      <c r="A169" s="35" t="s">
        <v>159</v>
      </c>
      <c r="B169" s="49"/>
      <c r="C169" s="24"/>
      <c r="G169" s="19"/>
      <c r="AJ169" s="24"/>
      <c r="AN169" s="24"/>
      <c r="AO169" s="24"/>
      <c r="AP169" s="24"/>
      <c r="AQ169" s="24"/>
      <c r="AR169" s="24"/>
      <c r="AS169" s="24"/>
      <c r="AT169" s="24"/>
    </row>
    <row r="170" spans="1:46" s="4" customFormat="1" x14ac:dyDescent="0.25">
      <c r="A170" s="54" t="s">
        <v>209</v>
      </c>
      <c r="B170" s="59" t="s">
        <v>80</v>
      </c>
      <c r="D170" s="56"/>
      <c r="E170" s="56"/>
      <c r="F170" s="56"/>
      <c r="G170" s="57"/>
      <c r="H170" s="56"/>
      <c r="I170" s="56"/>
      <c r="J170" s="56"/>
      <c r="K170" s="56"/>
      <c r="L170" s="56"/>
      <c r="M170" s="56"/>
      <c r="N170" s="56"/>
      <c r="O170" s="56"/>
      <c r="P170" s="56"/>
      <c r="Q170" s="56"/>
      <c r="R170" s="56"/>
      <c r="S170" s="56"/>
      <c r="T170" s="56"/>
      <c r="U170" s="56"/>
      <c r="V170" s="56"/>
      <c r="W170" s="56"/>
      <c r="X170" s="56"/>
      <c r="Y170" s="56"/>
      <c r="Z170" s="56"/>
      <c r="AA170" s="56"/>
      <c r="AB170" s="56"/>
      <c r="AC170" s="56"/>
      <c r="AD170" s="56"/>
      <c r="AE170" s="56"/>
      <c r="AF170" s="56"/>
      <c r="AG170" s="56"/>
      <c r="AH170" s="56"/>
      <c r="AI170" s="56"/>
      <c r="AJ170" s="58"/>
      <c r="AK170" s="56"/>
      <c r="AL170" s="58"/>
      <c r="AM170" s="58"/>
      <c r="AN170" s="4">
        <v>181</v>
      </c>
      <c r="AT170" s="58">
        <f>SUM(C170:AS170)</f>
        <v>181</v>
      </c>
    </row>
    <row r="171" spans="1:46" s="23" customFormat="1" x14ac:dyDescent="0.25">
      <c r="A171" s="45" t="s">
        <v>117</v>
      </c>
      <c r="B171" s="50"/>
      <c r="D171" s="41"/>
      <c r="E171" s="41"/>
      <c r="F171" s="41"/>
      <c r="G171" s="42"/>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c r="AF171" s="41"/>
      <c r="AG171" s="41"/>
      <c r="AH171" s="41"/>
      <c r="AI171" s="41"/>
      <c r="AJ171" s="43"/>
      <c r="AK171" s="41"/>
      <c r="AL171" s="43"/>
      <c r="AM171" s="43"/>
      <c r="AT171" s="43"/>
    </row>
    <row r="172" spans="1:46" s="16" customFormat="1" x14ac:dyDescent="0.25">
      <c r="A172" s="16" t="s">
        <v>331</v>
      </c>
      <c r="B172" s="47"/>
      <c r="D172" s="41"/>
      <c r="E172" s="41"/>
      <c r="F172" s="41"/>
      <c r="G172" s="42"/>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c r="AF172" s="41"/>
      <c r="AG172" s="41"/>
      <c r="AH172" s="41"/>
      <c r="AI172" s="41"/>
      <c r="AJ172" s="43"/>
      <c r="AK172" s="41"/>
      <c r="AL172" s="43"/>
      <c r="AM172" s="43"/>
      <c r="AN172" s="16">
        <v>1</v>
      </c>
      <c r="AT172" s="43">
        <f>SUM(C172:AS172)</f>
        <v>1</v>
      </c>
    </row>
    <row r="173" spans="1:46" s="16" customFormat="1" x14ac:dyDescent="0.25">
      <c r="A173" s="16" t="s">
        <v>335</v>
      </c>
      <c r="B173" s="47"/>
      <c r="D173" s="41"/>
      <c r="E173" s="41"/>
      <c r="F173" s="41"/>
      <c r="G173" s="42"/>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c r="AF173" s="41"/>
      <c r="AG173" s="41"/>
      <c r="AH173" s="41"/>
      <c r="AI173" s="41"/>
      <c r="AJ173" s="43"/>
      <c r="AK173" s="41"/>
      <c r="AL173" s="43"/>
      <c r="AM173" s="43"/>
      <c r="AN173" s="16">
        <v>1</v>
      </c>
      <c r="AT173" s="43">
        <f>SUM(C173:AS173)</f>
        <v>1</v>
      </c>
    </row>
    <row r="174" spans="1:46" s="3" customFormat="1" x14ac:dyDescent="0.25">
      <c r="A174" s="35" t="s">
        <v>160</v>
      </c>
      <c r="B174" s="49"/>
      <c r="C174" s="24"/>
      <c r="G174" s="19"/>
      <c r="AJ174" s="24"/>
      <c r="AN174" s="24"/>
      <c r="AO174" s="24"/>
      <c r="AP174" s="24"/>
      <c r="AQ174" s="24"/>
      <c r="AR174" s="24"/>
      <c r="AS174" s="24"/>
      <c r="AT174" s="24"/>
    </row>
    <row r="175" spans="1:46" s="4" customFormat="1" x14ac:dyDescent="0.25">
      <c r="A175" s="54" t="s">
        <v>208</v>
      </c>
      <c r="B175" s="59" t="s">
        <v>80</v>
      </c>
      <c r="D175" s="56"/>
      <c r="E175" s="56"/>
      <c r="F175" s="56"/>
      <c r="G175" s="57"/>
      <c r="H175" s="56"/>
      <c r="I175" s="56"/>
      <c r="J175" s="56"/>
      <c r="K175" s="56"/>
      <c r="L175" s="56"/>
      <c r="M175" s="56"/>
      <c r="N175" s="56"/>
      <c r="O175" s="56"/>
      <c r="P175" s="56"/>
      <c r="Q175" s="56"/>
      <c r="R175" s="56"/>
      <c r="S175" s="56"/>
      <c r="T175" s="56"/>
      <c r="U175" s="56"/>
      <c r="V175" s="56"/>
      <c r="W175" s="56"/>
      <c r="X175" s="56"/>
      <c r="Y175" s="56"/>
      <c r="Z175" s="56"/>
      <c r="AA175" s="56"/>
      <c r="AB175" s="56"/>
      <c r="AC175" s="56"/>
      <c r="AD175" s="56"/>
      <c r="AE175" s="56"/>
      <c r="AF175" s="56"/>
      <c r="AG175" s="56"/>
      <c r="AH175" s="56"/>
      <c r="AI175" s="56"/>
      <c r="AJ175" s="58"/>
      <c r="AK175" s="56"/>
      <c r="AL175" s="58"/>
      <c r="AM175" s="58"/>
      <c r="AN175" s="4">
        <v>170</v>
      </c>
      <c r="AT175" s="58">
        <f>SUM(C175:AS175)</f>
        <v>170</v>
      </c>
    </row>
    <row r="176" spans="1:46" s="23" customFormat="1" x14ac:dyDescent="0.25">
      <c r="A176" s="45" t="s">
        <v>117</v>
      </c>
      <c r="B176" s="50"/>
      <c r="D176" s="41"/>
      <c r="E176" s="41"/>
      <c r="F176" s="41"/>
      <c r="G176" s="42"/>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1"/>
      <c r="AG176" s="41"/>
      <c r="AH176" s="41"/>
      <c r="AI176" s="41"/>
      <c r="AJ176" s="43"/>
      <c r="AK176" s="41"/>
      <c r="AL176" s="43"/>
      <c r="AM176" s="43"/>
      <c r="AT176" s="43"/>
    </row>
    <row r="177" spans="1:46" s="16" customFormat="1" x14ac:dyDescent="0.25">
      <c r="A177" s="16" t="s">
        <v>332</v>
      </c>
      <c r="B177" s="47"/>
      <c r="D177" s="41"/>
      <c r="E177" s="41"/>
      <c r="F177" s="41"/>
      <c r="G177" s="42"/>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c r="AF177" s="41"/>
      <c r="AG177" s="41"/>
      <c r="AH177" s="41"/>
      <c r="AI177" s="41"/>
      <c r="AJ177" s="43"/>
      <c r="AK177" s="41"/>
      <c r="AL177" s="43"/>
      <c r="AM177" s="43"/>
      <c r="AN177" s="16">
        <v>1</v>
      </c>
      <c r="AT177" s="43">
        <f>SUM(C177:AS177)</f>
        <v>1</v>
      </c>
    </row>
    <row r="178" spans="1:46" s="16" customFormat="1" x14ac:dyDescent="0.25">
      <c r="A178" s="16" t="s">
        <v>333</v>
      </c>
      <c r="B178" s="47"/>
      <c r="D178" s="41"/>
      <c r="E178" s="41"/>
      <c r="F178" s="41"/>
      <c r="G178" s="42"/>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c r="AF178" s="41"/>
      <c r="AG178" s="41"/>
      <c r="AH178" s="41"/>
      <c r="AI178" s="41"/>
      <c r="AJ178" s="43"/>
      <c r="AK178" s="41"/>
      <c r="AL178" s="43"/>
      <c r="AM178" s="43"/>
      <c r="AN178" s="16">
        <v>1</v>
      </c>
      <c r="AT178" s="43">
        <f>SUM(C178:AS178)</f>
        <v>1</v>
      </c>
    </row>
    <row r="179" spans="1:46" s="16" customFormat="1" x14ac:dyDescent="0.25">
      <c r="A179" s="16" t="s">
        <v>335</v>
      </c>
      <c r="B179" s="47"/>
      <c r="D179" s="41"/>
      <c r="E179" s="41"/>
      <c r="F179" s="41"/>
      <c r="G179" s="42"/>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c r="AF179" s="41"/>
      <c r="AG179" s="41"/>
      <c r="AH179" s="41"/>
      <c r="AI179" s="41"/>
      <c r="AJ179" s="43"/>
      <c r="AK179" s="41"/>
      <c r="AL179" s="43"/>
      <c r="AM179" s="43"/>
      <c r="AN179" s="16">
        <v>1</v>
      </c>
      <c r="AT179" s="43">
        <f>SUM(C179:AS179)</f>
        <v>1</v>
      </c>
    </row>
    <row r="180" spans="1:46" s="16" customFormat="1" x14ac:dyDescent="0.25">
      <c r="A180" s="16" t="s">
        <v>334</v>
      </c>
      <c r="B180" s="47"/>
      <c r="D180" s="41"/>
      <c r="E180" s="41"/>
      <c r="F180" s="41"/>
      <c r="G180" s="42"/>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c r="AF180" s="41"/>
      <c r="AG180" s="41"/>
      <c r="AH180" s="41"/>
      <c r="AI180" s="41"/>
      <c r="AJ180" s="43"/>
      <c r="AK180" s="41"/>
      <c r="AL180" s="43"/>
      <c r="AM180" s="43"/>
      <c r="AN180" s="16">
        <v>1</v>
      </c>
      <c r="AT180" s="43">
        <f>SUM(C180:AS180)</f>
        <v>1</v>
      </c>
    </row>
    <row r="181" spans="1:46" s="3" customFormat="1" x14ac:dyDescent="0.25">
      <c r="A181" s="35" t="s">
        <v>161</v>
      </c>
      <c r="B181" s="49"/>
      <c r="C181" s="24"/>
      <c r="G181" s="19"/>
      <c r="AJ181" s="24"/>
      <c r="AN181" s="24"/>
      <c r="AO181" s="24"/>
      <c r="AP181" s="24"/>
      <c r="AQ181" s="24"/>
      <c r="AR181" s="24"/>
      <c r="AS181" s="24"/>
      <c r="AT181" s="24"/>
    </row>
    <row r="182" spans="1:46" s="4" customFormat="1" x14ac:dyDescent="0.25">
      <c r="A182" s="54" t="s">
        <v>210</v>
      </c>
      <c r="B182" s="59" t="s">
        <v>80</v>
      </c>
      <c r="D182" s="56"/>
      <c r="E182" s="56"/>
      <c r="F182" s="56"/>
      <c r="G182" s="57"/>
      <c r="H182" s="56"/>
      <c r="I182" s="56"/>
      <c r="J182" s="56"/>
      <c r="K182" s="56"/>
      <c r="L182" s="56"/>
      <c r="M182" s="56"/>
      <c r="N182" s="56"/>
      <c r="O182" s="56"/>
      <c r="P182" s="56"/>
      <c r="Q182" s="56"/>
      <c r="R182" s="56"/>
      <c r="S182" s="56"/>
      <c r="T182" s="56"/>
      <c r="U182" s="56"/>
      <c r="V182" s="56"/>
      <c r="W182" s="56"/>
      <c r="X182" s="56"/>
      <c r="Y182" s="56"/>
      <c r="Z182" s="56"/>
      <c r="AA182" s="56"/>
      <c r="AB182" s="56"/>
      <c r="AC182" s="56"/>
      <c r="AD182" s="56"/>
      <c r="AE182" s="56"/>
      <c r="AF182" s="56"/>
      <c r="AG182" s="56"/>
      <c r="AH182" s="56"/>
      <c r="AI182" s="56"/>
      <c r="AJ182" s="58"/>
      <c r="AK182" s="56"/>
      <c r="AL182" s="58"/>
      <c r="AM182" s="58"/>
      <c r="AO182" s="4">
        <f>1+120</f>
        <v>121</v>
      </c>
      <c r="AT182" s="58">
        <f>SUM(C182:AS182)</f>
        <v>121</v>
      </c>
    </row>
    <row r="183" spans="1:46" s="23" customFormat="1" x14ac:dyDescent="0.25">
      <c r="A183" s="45" t="s">
        <v>117</v>
      </c>
      <c r="B183" s="50"/>
      <c r="D183" s="41"/>
      <c r="E183" s="41"/>
      <c r="F183" s="41"/>
      <c r="G183" s="42"/>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c r="AF183" s="41"/>
      <c r="AG183" s="41"/>
      <c r="AH183" s="41"/>
      <c r="AI183" s="41"/>
      <c r="AJ183" s="43"/>
      <c r="AK183" s="41"/>
      <c r="AL183" s="43"/>
      <c r="AM183" s="43"/>
      <c r="AT183" s="43"/>
    </row>
    <row r="184" spans="1:46" s="16" customFormat="1" x14ac:dyDescent="0.25">
      <c r="B184" s="47"/>
      <c r="D184" s="41"/>
      <c r="E184" s="41"/>
      <c r="F184" s="41"/>
      <c r="G184" s="42"/>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c r="AF184" s="41"/>
      <c r="AG184" s="41"/>
      <c r="AH184" s="41"/>
      <c r="AI184" s="41"/>
      <c r="AJ184" s="43"/>
      <c r="AK184" s="41"/>
      <c r="AL184" s="43"/>
      <c r="AM184" s="43"/>
      <c r="AT184" s="43">
        <f>SUM(C184:AS184)</f>
        <v>0</v>
      </c>
    </row>
    <row r="185" spans="1:46" s="3" customFormat="1" x14ac:dyDescent="0.25">
      <c r="A185" s="35" t="s">
        <v>162</v>
      </c>
      <c r="B185" s="49"/>
      <c r="C185" s="24"/>
      <c r="G185" s="19"/>
      <c r="AJ185" s="24"/>
      <c r="AN185" s="24"/>
      <c r="AO185" s="24"/>
      <c r="AP185" s="24"/>
      <c r="AQ185" s="24"/>
      <c r="AR185" s="24"/>
      <c r="AS185" s="24"/>
      <c r="AT185" s="24"/>
    </row>
    <row r="186" spans="1:46" s="4" customFormat="1" x14ac:dyDescent="0.25">
      <c r="A186" s="54" t="s">
        <v>211</v>
      </c>
      <c r="B186" s="59" t="s">
        <v>80</v>
      </c>
      <c r="D186" s="56"/>
      <c r="E186" s="56"/>
      <c r="F186" s="56"/>
      <c r="G186" s="57"/>
      <c r="H186" s="56"/>
      <c r="I186" s="56"/>
      <c r="J186" s="56"/>
      <c r="K186" s="56"/>
      <c r="L186" s="56"/>
      <c r="M186" s="56"/>
      <c r="N186" s="56"/>
      <c r="O186" s="56"/>
      <c r="P186" s="56"/>
      <c r="Q186" s="56"/>
      <c r="R186" s="56"/>
      <c r="S186" s="56"/>
      <c r="T186" s="56"/>
      <c r="U186" s="56"/>
      <c r="V186" s="56"/>
      <c r="W186" s="56"/>
      <c r="X186" s="56"/>
      <c r="Y186" s="56"/>
      <c r="Z186" s="56"/>
      <c r="AA186" s="56"/>
      <c r="AB186" s="56"/>
      <c r="AC186" s="56"/>
      <c r="AD186" s="56"/>
      <c r="AE186" s="56"/>
      <c r="AF186" s="56"/>
      <c r="AG186" s="56"/>
      <c r="AH186" s="56"/>
      <c r="AI186" s="56"/>
      <c r="AJ186" s="58"/>
      <c r="AK186" s="56"/>
      <c r="AL186" s="58"/>
      <c r="AM186" s="58"/>
      <c r="AO186" s="4">
        <f>1+115</f>
        <v>116</v>
      </c>
      <c r="AT186" s="58">
        <f>SUM(C186:AS186)</f>
        <v>116</v>
      </c>
    </row>
    <row r="187" spans="1:46" s="23" customFormat="1" x14ac:dyDescent="0.25">
      <c r="A187" s="45" t="s">
        <v>117</v>
      </c>
      <c r="B187" s="50"/>
      <c r="D187" s="41"/>
      <c r="E187" s="41"/>
      <c r="F187" s="41"/>
      <c r="G187" s="42"/>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c r="AF187" s="41"/>
      <c r="AG187" s="41"/>
      <c r="AH187" s="41"/>
      <c r="AI187" s="41"/>
      <c r="AJ187" s="43"/>
      <c r="AK187" s="41"/>
      <c r="AL187" s="43"/>
      <c r="AM187" s="43"/>
      <c r="AT187" s="43"/>
    </row>
    <row r="188" spans="1:46" s="16" customFormat="1" x14ac:dyDescent="0.25">
      <c r="B188" s="47"/>
      <c r="D188" s="41"/>
      <c r="E188" s="41"/>
      <c r="F188" s="41"/>
      <c r="G188" s="42"/>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c r="AF188" s="41"/>
      <c r="AG188" s="41"/>
      <c r="AH188" s="41"/>
      <c r="AI188" s="41"/>
      <c r="AJ188" s="43"/>
      <c r="AK188" s="41"/>
      <c r="AL188" s="43"/>
      <c r="AM188" s="43"/>
      <c r="AT188" s="43">
        <f>SUM(C188:AS188)</f>
        <v>0</v>
      </c>
    </row>
    <row r="189" spans="1:46" s="3" customFormat="1" x14ac:dyDescent="0.25">
      <c r="A189" s="35" t="s">
        <v>163</v>
      </c>
      <c r="B189" s="49"/>
      <c r="C189" s="24"/>
      <c r="G189" s="19"/>
      <c r="AJ189" s="24"/>
      <c r="AN189" s="24"/>
      <c r="AO189" s="24"/>
      <c r="AP189" s="24"/>
      <c r="AQ189" s="24"/>
      <c r="AR189" s="24"/>
      <c r="AS189" s="24"/>
      <c r="AT189" s="24"/>
    </row>
    <row r="190" spans="1:46" s="4" customFormat="1" x14ac:dyDescent="0.25">
      <c r="A190" s="54" t="s">
        <v>165</v>
      </c>
      <c r="B190" s="59" t="s">
        <v>80</v>
      </c>
      <c r="D190" s="56"/>
      <c r="E190" s="56"/>
      <c r="F190" s="56"/>
      <c r="G190" s="57"/>
      <c r="H190" s="56"/>
      <c r="I190" s="56"/>
      <c r="J190" s="56"/>
      <c r="K190" s="56"/>
      <c r="L190" s="56"/>
      <c r="M190" s="56"/>
      <c r="N190" s="56"/>
      <c r="O190" s="56"/>
      <c r="P190" s="56"/>
      <c r="Q190" s="56"/>
      <c r="R190" s="56"/>
      <c r="S190" s="56"/>
      <c r="T190" s="56"/>
      <c r="U190" s="56"/>
      <c r="V190" s="56"/>
      <c r="W190" s="56"/>
      <c r="X190" s="56"/>
      <c r="Y190" s="56"/>
      <c r="Z190" s="56"/>
      <c r="AA190" s="56"/>
      <c r="AB190" s="56"/>
      <c r="AC190" s="56"/>
      <c r="AD190" s="56"/>
      <c r="AE190" s="56"/>
      <c r="AF190" s="56"/>
      <c r="AG190" s="56"/>
      <c r="AH190" s="56"/>
      <c r="AI190" s="56"/>
      <c r="AJ190" s="58"/>
      <c r="AK190" s="56"/>
      <c r="AL190" s="58"/>
      <c r="AM190" s="58"/>
      <c r="AP190" s="4">
        <v>41</v>
      </c>
      <c r="AT190" s="58">
        <f>SUM(C190:AS190)</f>
        <v>41</v>
      </c>
    </row>
    <row r="191" spans="1:46" s="23" customFormat="1" x14ac:dyDescent="0.25">
      <c r="A191" s="45" t="s">
        <v>117</v>
      </c>
      <c r="B191" s="50"/>
      <c r="D191" s="41"/>
      <c r="E191" s="41"/>
      <c r="F191" s="41"/>
      <c r="G191" s="42"/>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c r="AI191" s="41"/>
      <c r="AJ191" s="43"/>
      <c r="AK191" s="41"/>
      <c r="AL191" s="43"/>
      <c r="AM191" s="43"/>
      <c r="AT191" s="43"/>
    </row>
    <row r="192" spans="1:46" s="16" customFormat="1" x14ac:dyDescent="0.25">
      <c r="B192" s="47"/>
      <c r="D192" s="41"/>
      <c r="E192" s="41"/>
      <c r="F192" s="41"/>
      <c r="G192" s="42"/>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c r="AF192" s="41"/>
      <c r="AG192" s="41"/>
      <c r="AH192" s="41"/>
      <c r="AI192" s="41"/>
      <c r="AJ192" s="43"/>
      <c r="AK192" s="41"/>
      <c r="AL192" s="43"/>
      <c r="AM192" s="43"/>
      <c r="AT192" s="43">
        <f>SUM(C192:AS192)</f>
        <v>0</v>
      </c>
    </row>
    <row r="193" spans="1:46" s="3" customFormat="1" x14ac:dyDescent="0.25">
      <c r="A193" s="35" t="s">
        <v>164</v>
      </c>
      <c r="B193" s="49"/>
      <c r="C193" s="24"/>
      <c r="G193" s="19"/>
      <c r="AJ193" s="24"/>
      <c r="AN193" s="24"/>
      <c r="AO193" s="24"/>
      <c r="AP193" s="24"/>
      <c r="AQ193" s="24"/>
      <c r="AR193" s="24"/>
      <c r="AS193" s="24"/>
      <c r="AT193" s="24"/>
    </row>
    <row r="194" spans="1:46" s="4" customFormat="1" x14ac:dyDescent="0.25">
      <c r="A194" s="54" t="s">
        <v>212</v>
      </c>
      <c r="B194" s="59" t="s">
        <v>80</v>
      </c>
      <c r="D194" s="56"/>
      <c r="E194" s="56"/>
      <c r="F194" s="56"/>
      <c r="G194" s="57"/>
      <c r="H194" s="56"/>
      <c r="I194" s="56"/>
      <c r="J194" s="56"/>
      <c r="K194" s="56"/>
      <c r="L194" s="56"/>
      <c r="M194" s="56"/>
      <c r="N194" s="56"/>
      <c r="O194" s="56"/>
      <c r="P194" s="56"/>
      <c r="Q194" s="56"/>
      <c r="R194" s="56"/>
      <c r="S194" s="56"/>
      <c r="T194" s="56"/>
      <c r="U194" s="56"/>
      <c r="V194" s="56"/>
      <c r="W194" s="56"/>
      <c r="X194" s="56"/>
      <c r="Y194" s="56"/>
      <c r="Z194" s="56"/>
      <c r="AA194" s="56"/>
      <c r="AB194" s="56"/>
      <c r="AC194" s="56"/>
      <c r="AD194" s="56"/>
      <c r="AE194" s="56"/>
      <c r="AF194" s="56"/>
      <c r="AG194" s="56"/>
      <c r="AH194" s="56"/>
      <c r="AI194" s="56"/>
      <c r="AJ194" s="58"/>
      <c r="AK194" s="56"/>
      <c r="AL194" s="58"/>
      <c r="AM194" s="58"/>
      <c r="AP194" s="4">
        <v>43</v>
      </c>
      <c r="AT194" s="58">
        <f>SUM(C194:AS194)</f>
        <v>43</v>
      </c>
    </row>
    <row r="195" spans="1:46" s="23" customFormat="1" x14ac:dyDescent="0.25">
      <c r="A195" s="45" t="s">
        <v>117</v>
      </c>
      <c r="B195" s="50"/>
      <c r="D195" s="41"/>
      <c r="E195" s="41"/>
      <c r="F195" s="41"/>
      <c r="G195" s="42"/>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c r="AF195" s="41"/>
      <c r="AG195" s="41"/>
      <c r="AH195" s="41"/>
      <c r="AI195" s="41"/>
      <c r="AJ195" s="43"/>
      <c r="AK195" s="41"/>
      <c r="AL195" s="43"/>
      <c r="AM195" s="43"/>
      <c r="AT195" s="43"/>
    </row>
    <row r="196" spans="1:46" s="16" customFormat="1" x14ac:dyDescent="0.25">
      <c r="B196" s="47"/>
      <c r="D196" s="41"/>
      <c r="E196" s="41"/>
      <c r="F196" s="41"/>
      <c r="G196" s="42"/>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c r="AF196" s="41"/>
      <c r="AG196" s="41"/>
      <c r="AH196" s="41"/>
      <c r="AI196" s="41"/>
      <c r="AJ196" s="43"/>
      <c r="AK196" s="41"/>
      <c r="AL196" s="43"/>
      <c r="AM196" s="43"/>
      <c r="AT196" s="43">
        <f>SUM(C196:AS196)</f>
        <v>0</v>
      </c>
    </row>
    <row r="197" spans="1:46" s="3" customFormat="1" x14ac:dyDescent="0.25">
      <c r="A197" s="35" t="s">
        <v>166</v>
      </c>
      <c r="B197" s="49"/>
      <c r="C197" s="24"/>
      <c r="G197" s="19"/>
      <c r="AJ197" s="24"/>
      <c r="AN197" s="24"/>
      <c r="AO197" s="24"/>
      <c r="AP197" s="24"/>
      <c r="AQ197" s="24"/>
      <c r="AR197" s="24"/>
      <c r="AS197" s="24"/>
      <c r="AT197" s="24"/>
    </row>
    <row r="198" spans="1:46" s="23" customFormat="1" x14ac:dyDescent="0.25">
      <c r="A198" s="23" t="s">
        <v>199</v>
      </c>
      <c r="B198" s="50"/>
      <c r="D198" s="41"/>
      <c r="E198" s="41"/>
      <c r="F198" s="41"/>
      <c r="G198" s="42"/>
      <c r="H198" s="41"/>
      <c r="I198" s="41"/>
      <c r="J198" s="41"/>
      <c r="K198" s="41"/>
      <c r="L198" s="41"/>
      <c r="M198" s="41"/>
      <c r="N198" s="41"/>
      <c r="O198" s="41"/>
      <c r="P198" s="41"/>
      <c r="Q198" s="41"/>
      <c r="R198" s="41"/>
      <c r="S198" s="41"/>
      <c r="T198" s="41">
        <v>0</v>
      </c>
      <c r="U198" s="41"/>
      <c r="V198" s="41"/>
      <c r="W198" s="41"/>
      <c r="X198" s="41"/>
      <c r="Y198" s="41"/>
      <c r="Z198" s="41"/>
      <c r="AA198" s="41"/>
      <c r="AB198" s="41"/>
      <c r="AC198" s="41"/>
      <c r="AD198" s="41"/>
      <c r="AE198" s="41"/>
      <c r="AF198" s="41"/>
      <c r="AG198" s="41"/>
      <c r="AH198" s="41"/>
      <c r="AI198" s="41"/>
      <c r="AJ198" s="43"/>
      <c r="AK198" s="41"/>
      <c r="AL198" s="43"/>
      <c r="AM198" s="43"/>
      <c r="AQ198" s="23">
        <v>0</v>
      </c>
      <c r="AT198" s="43">
        <f>SUM(C198:AS198)</f>
        <v>0</v>
      </c>
    </row>
    <row r="199" spans="1:46" s="23" customFormat="1" x14ac:dyDescent="0.25">
      <c r="A199" s="45" t="s">
        <v>117</v>
      </c>
      <c r="B199" s="50"/>
      <c r="D199" s="41"/>
      <c r="E199" s="41"/>
      <c r="F199" s="41"/>
      <c r="G199" s="42"/>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c r="AF199" s="41"/>
      <c r="AG199" s="41"/>
      <c r="AH199" s="41"/>
      <c r="AI199" s="41"/>
      <c r="AJ199" s="43"/>
      <c r="AK199" s="41"/>
      <c r="AL199" s="43"/>
      <c r="AM199" s="43"/>
      <c r="AT199" s="43"/>
    </row>
    <row r="200" spans="1:46" s="30" customFormat="1" x14ac:dyDescent="0.25">
      <c r="A200" s="38" t="s">
        <v>275</v>
      </c>
      <c r="B200" s="50"/>
      <c r="C200" s="23"/>
      <c r="G200" s="53"/>
      <c r="T200" s="41">
        <v>1</v>
      </c>
      <c r="AJ200" s="23"/>
      <c r="AN200" s="23"/>
      <c r="AO200" s="23"/>
      <c r="AP200" s="23"/>
      <c r="AQ200" s="23"/>
      <c r="AR200" s="23"/>
      <c r="AS200" s="23"/>
      <c r="AT200" s="43">
        <f t="shared" ref="AT200:AT243" si="2">SUM(C200:AS200)</f>
        <v>1</v>
      </c>
    </row>
    <row r="201" spans="1:46" s="30" customFormat="1" x14ac:dyDescent="0.25">
      <c r="A201" s="38" t="s">
        <v>276</v>
      </c>
      <c r="B201" s="50"/>
      <c r="C201" s="23"/>
      <c r="G201" s="53"/>
      <c r="T201" s="41">
        <v>1</v>
      </c>
      <c r="AJ201" s="23"/>
      <c r="AN201" s="23"/>
      <c r="AO201" s="23"/>
      <c r="AP201" s="23"/>
      <c r="AQ201" s="23"/>
      <c r="AR201" s="23"/>
      <c r="AS201" s="23"/>
      <c r="AT201" s="43">
        <f t="shared" si="2"/>
        <v>1</v>
      </c>
    </row>
    <row r="202" spans="1:46" s="30" customFormat="1" x14ac:dyDescent="0.25">
      <c r="A202" s="38" t="s">
        <v>277</v>
      </c>
      <c r="B202" s="50"/>
      <c r="C202" s="23"/>
      <c r="G202" s="53"/>
      <c r="T202" s="41">
        <v>1</v>
      </c>
      <c r="AJ202" s="23"/>
      <c r="AN202" s="23"/>
      <c r="AO202" s="23"/>
      <c r="AP202" s="23"/>
      <c r="AQ202" s="23"/>
      <c r="AR202" s="23"/>
      <c r="AS202" s="23"/>
      <c r="AT202" s="43">
        <f t="shared" si="2"/>
        <v>1</v>
      </c>
    </row>
    <row r="203" spans="1:46" s="30" customFormat="1" x14ac:dyDescent="0.25">
      <c r="A203" s="38" t="s">
        <v>278</v>
      </c>
      <c r="B203" s="50"/>
      <c r="C203" s="23"/>
      <c r="G203" s="53"/>
      <c r="T203" s="41">
        <v>1</v>
      </c>
      <c r="AJ203" s="23"/>
      <c r="AN203" s="23"/>
      <c r="AO203" s="23"/>
      <c r="AP203" s="23"/>
      <c r="AQ203" s="23"/>
      <c r="AR203" s="23"/>
      <c r="AS203" s="23"/>
      <c r="AT203" s="43">
        <f t="shared" si="2"/>
        <v>1</v>
      </c>
    </row>
    <row r="204" spans="1:46" s="30" customFormat="1" x14ac:dyDescent="0.25">
      <c r="A204" s="38" t="s">
        <v>279</v>
      </c>
      <c r="B204" s="50"/>
      <c r="C204" s="23"/>
      <c r="G204" s="53"/>
      <c r="T204" s="41">
        <v>1</v>
      </c>
      <c r="AJ204" s="23"/>
      <c r="AN204" s="23"/>
      <c r="AO204" s="23"/>
      <c r="AP204" s="23"/>
      <c r="AQ204" s="23"/>
      <c r="AR204" s="23"/>
      <c r="AS204" s="23"/>
      <c r="AT204" s="43">
        <f t="shared" si="2"/>
        <v>1</v>
      </c>
    </row>
    <row r="205" spans="1:46" s="30" customFormat="1" x14ac:dyDescent="0.25">
      <c r="A205" s="38" t="s">
        <v>280</v>
      </c>
      <c r="B205" s="50"/>
      <c r="C205" s="23"/>
      <c r="G205" s="53"/>
      <c r="T205" s="41">
        <v>1</v>
      </c>
      <c r="AJ205" s="23"/>
      <c r="AN205" s="23"/>
      <c r="AO205" s="23"/>
      <c r="AP205" s="23"/>
      <c r="AQ205" s="23"/>
      <c r="AR205" s="23"/>
      <c r="AS205" s="23"/>
      <c r="AT205" s="43">
        <f t="shared" si="2"/>
        <v>1</v>
      </c>
    </row>
    <row r="206" spans="1:46" s="30" customFormat="1" x14ac:dyDescent="0.25">
      <c r="A206" s="38" t="s">
        <v>281</v>
      </c>
      <c r="B206" s="50"/>
      <c r="C206" s="23"/>
      <c r="G206" s="53"/>
      <c r="T206" s="41">
        <v>1</v>
      </c>
      <c r="AJ206" s="23"/>
      <c r="AN206" s="23"/>
      <c r="AO206" s="23"/>
      <c r="AP206" s="23"/>
      <c r="AQ206" s="23"/>
      <c r="AR206" s="23"/>
      <c r="AS206" s="23"/>
      <c r="AT206" s="43">
        <f t="shared" si="2"/>
        <v>1</v>
      </c>
    </row>
    <row r="207" spans="1:46" s="30" customFormat="1" x14ac:dyDescent="0.25">
      <c r="A207" s="38" t="s">
        <v>282</v>
      </c>
      <c r="B207" s="50"/>
      <c r="C207" s="23"/>
      <c r="G207" s="53"/>
      <c r="T207" s="41">
        <v>1</v>
      </c>
      <c r="AJ207" s="23"/>
      <c r="AN207" s="23"/>
      <c r="AO207" s="23"/>
      <c r="AP207" s="23"/>
      <c r="AQ207" s="23"/>
      <c r="AR207" s="23"/>
      <c r="AS207" s="23"/>
      <c r="AT207" s="43">
        <f t="shared" si="2"/>
        <v>1</v>
      </c>
    </row>
    <row r="208" spans="1:46" s="30" customFormat="1" x14ac:dyDescent="0.25">
      <c r="A208" s="38" t="s">
        <v>283</v>
      </c>
      <c r="B208" s="50"/>
      <c r="C208" s="23"/>
      <c r="G208" s="53"/>
      <c r="T208" s="41">
        <v>1</v>
      </c>
      <c r="AJ208" s="23"/>
      <c r="AN208" s="23"/>
      <c r="AO208" s="23"/>
      <c r="AP208" s="23"/>
      <c r="AQ208" s="23"/>
      <c r="AR208" s="23"/>
      <c r="AS208" s="23"/>
      <c r="AT208" s="43">
        <f t="shared" si="2"/>
        <v>1</v>
      </c>
    </row>
    <row r="209" spans="1:46" s="30" customFormat="1" x14ac:dyDescent="0.25">
      <c r="A209" s="38" t="s">
        <v>284</v>
      </c>
      <c r="B209" s="50"/>
      <c r="C209" s="23"/>
      <c r="G209" s="53"/>
      <c r="T209" s="41">
        <v>1</v>
      </c>
      <c r="AJ209" s="23"/>
      <c r="AN209" s="23"/>
      <c r="AO209" s="23"/>
      <c r="AP209" s="23"/>
      <c r="AQ209" s="23"/>
      <c r="AR209" s="23"/>
      <c r="AS209" s="23"/>
      <c r="AT209" s="43">
        <f t="shared" si="2"/>
        <v>1</v>
      </c>
    </row>
    <row r="210" spans="1:46" s="30" customFormat="1" x14ac:dyDescent="0.25">
      <c r="A210" s="38" t="s">
        <v>285</v>
      </c>
      <c r="B210" s="50"/>
      <c r="C210" s="23"/>
      <c r="G210" s="53"/>
      <c r="T210" s="41">
        <v>2</v>
      </c>
      <c r="AJ210" s="23"/>
      <c r="AN210" s="23"/>
      <c r="AO210" s="23"/>
      <c r="AP210" s="23"/>
      <c r="AQ210" s="23"/>
      <c r="AR210" s="23"/>
      <c r="AS210" s="23"/>
      <c r="AT210" s="43">
        <f t="shared" si="2"/>
        <v>2</v>
      </c>
    </row>
    <row r="211" spans="1:46" s="30" customFormat="1" x14ac:dyDescent="0.25">
      <c r="A211" s="38" t="s">
        <v>286</v>
      </c>
      <c r="B211" s="50"/>
      <c r="C211" s="23"/>
      <c r="G211" s="53"/>
      <c r="T211" s="41">
        <v>2</v>
      </c>
      <c r="AJ211" s="23"/>
      <c r="AN211" s="23"/>
      <c r="AO211" s="23"/>
      <c r="AP211" s="23"/>
      <c r="AQ211" s="23"/>
      <c r="AR211" s="23"/>
      <c r="AS211" s="23"/>
      <c r="AT211" s="43">
        <f t="shared" si="2"/>
        <v>2</v>
      </c>
    </row>
    <row r="212" spans="1:46" s="30" customFormat="1" x14ac:dyDescent="0.25">
      <c r="A212" s="38" t="s">
        <v>287</v>
      </c>
      <c r="B212" s="50"/>
      <c r="C212" s="23"/>
      <c r="G212" s="53"/>
      <c r="T212" s="41">
        <v>1</v>
      </c>
      <c r="AJ212" s="23"/>
      <c r="AN212" s="23"/>
      <c r="AO212" s="23"/>
      <c r="AP212" s="23"/>
      <c r="AQ212" s="23"/>
      <c r="AR212" s="23"/>
      <c r="AS212" s="23"/>
      <c r="AT212" s="43">
        <f t="shared" si="2"/>
        <v>1</v>
      </c>
    </row>
    <row r="213" spans="1:46" s="30" customFormat="1" x14ac:dyDescent="0.25">
      <c r="A213" s="38" t="s">
        <v>288</v>
      </c>
      <c r="B213" s="50"/>
      <c r="C213" s="23"/>
      <c r="G213" s="53"/>
      <c r="T213" s="41">
        <v>1</v>
      </c>
      <c r="AJ213" s="23"/>
      <c r="AN213" s="23"/>
      <c r="AO213" s="23"/>
      <c r="AP213" s="23"/>
      <c r="AQ213" s="23"/>
      <c r="AR213" s="23"/>
      <c r="AS213" s="23"/>
      <c r="AT213" s="43">
        <f t="shared" si="2"/>
        <v>1</v>
      </c>
    </row>
    <row r="214" spans="1:46" s="30" customFormat="1" x14ac:dyDescent="0.25">
      <c r="A214" s="38" t="s">
        <v>289</v>
      </c>
      <c r="B214" s="50"/>
      <c r="C214" s="23"/>
      <c r="G214" s="53"/>
      <c r="T214" s="41">
        <v>1</v>
      </c>
      <c r="AJ214" s="23"/>
      <c r="AN214" s="23"/>
      <c r="AO214" s="23"/>
      <c r="AP214" s="23"/>
      <c r="AQ214" s="23"/>
      <c r="AR214" s="23"/>
      <c r="AS214" s="23"/>
      <c r="AT214" s="43">
        <f t="shared" si="2"/>
        <v>1</v>
      </c>
    </row>
    <row r="215" spans="1:46" s="30" customFormat="1" x14ac:dyDescent="0.25">
      <c r="A215" s="38" t="s">
        <v>290</v>
      </c>
      <c r="B215" s="50"/>
      <c r="C215" s="23"/>
      <c r="G215" s="53"/>
      <c r="T215" s="41">
        <v>1</v>
      </c>
      <c r="AJ215" s="23"/>
      <c r="AN215" s="23"/>
      <c r="AO215" s="23"/>
      <c r="AP215" s="23"/>
      <c r="AQ215" s="23"/>
      <c r="AR215" s="23"/>
      <c r="AS215" s="23"/>
      <c r="AT215" s="43">
        <f t="shared" si="2"/>
        <v>1</v>
      </c>
    </row>
    <row r="216" spans="1:46" s="30" customFormat="1" x14ac:dyDescent="0.25">
      <c r="A216" s="38" t="s">
        <v>291</v>
      </c>
      <c r="B216" s="50"/>
      <c r="C216" s="23"/>
      <c r="G216" s="53"/>
      <c r="T216" s="41">
        <v>1</v>
      </c>
      <c r="AJ216" s="23"/>
      <c r="AN216" s="23"/>
      <c r="AO216" s="23"/>
      <c r="AP216" s="23"/>
      <c r="AQ216" s="23"/>
      <c r="AR216" s="23"/>
      <c r="AS216" s="23"/>
      <c r="AT216" s="43">
        <f t="shared" si="2"/>
        <v>1</v>
      </c>
    </row>
    <row r="217" spans="1:46" s="30" customFormat="1" x14ac:dyDescent="0.25">
      <c r="A217" s="38" t="s">
        <v>292</v>
      </c>
      <c r="B217" s="50"/>
      <c r="C217" s="23"/>
      <c r="G217" s="53"/>
      <c r="T217" s="41">
        <v>1</v>
      </c>
      <c r="AJ217" s="23"/>
      <c r="AN217" s="23"/>
      <c r="AO217" s="23"/>
      <c r="AP217" s="23"/>
      <c r="AQ217" s="23"/>
      <c r="AR217" s="23"/>
      <c r="AS217" s="23"/>
      <c r="AT217" s="43">
        <f t="shared" si="2"/>
        <v>1</v>
      </c>
    </row>
    <row r="218" spans="1:46" s="30" customFormat="1" x14ac:dyDescent="0.25">
      <c r="A218" s="38" t="s">
        <v>293</v>
      </c>
      <c r="B218" s="50"/>
      <c r="C218" s="23"/>
      <c r="G218" s="53"/>
      <c r="T218" s="41">
        <v>2</v>
      </c>
      <c r="AJ218" s="23"/>
      <c r="AN218" s="23"/>
      <c r="AO218" s="23"/>
      <c r="AP218" s="23"/>
      <c r="AQ218" s="23"/>
      <c r="AR218" s="23"/>
      <c r="AS218" s="23"/>
      <c r="AT218" s="43">
        <f t="shared" si="2"/>
        <v>2</v>
      </c>
    </row>
    <row r="219" spans="1:46" s="30" customFormat="1" x14ac:dyDescent="0.25">
      <c r="A219" s="38" t="s">
        <v>294</v>
      </c>
      <c r="B219" s="50"/>
      <c r="C219" s="23"/>
      <c r="G219" s="53"/>
      <c r="T219" s="41">
        <v>1</v>
      </c>
      <c r="AJ219" s="23"/>
      <c r="AN219" s="23"/>
      <c r="AO219" s="23"/>
      <c r="AP219" s="23"/>
      <c r="AQ219" s="23"/>
      <c r="AR219" s="23"/>
      <c r="AS219" s="23"/>
      <c r="AT219" s="43">
        <f t="shared" si="2"/>
        <v>1</v>
      </c>
    </row>
    <row r="220" spans="1:46" s="30" customFormat="1" x14ac:dyDescent="0.25">
      <c r="A220" s="38" t="s">
        <v>295</v>
      </c>
      <c r="B220" s="50"/>
      <c r="C220" s="23"/>
      <c r="G220" s="53"/>
      <c r="T220" s="41">
        <v>1</v>
      </c>
      <c r="AJ220" s="23"/>
      <c r="AN220" s="23"/>
      <c r="AO220" s="23"/>
      <c r="AP220" s="23"/>
      <c r="AQ220" s="23"/>
      <c r="AR220" s="23"/>
      <c r="AS220" s="23"/>
      <c r="AT220" s="43">
        <f t="shared" si="2"/>
        <v>1</v>
      </c>
    </row>
    <row r="221" spans="1:46" s="30" customFormat="1" x14ac:dyDescent="0.25">
      <c r="A221" s="38" t="s">
        <v>296</v>
      </c>
      <c r="B221" s="50"/>
      <c r="C221" s="23"/>
      <c r="G221" s="53"/>
      <c r="T221" s="41">
        <v>1</v>
      </c>
      <c r="AJ221" s="23"/>
      <c r="AN221" s="23"/>
      <c r="AO221" s="23"/>
      <c r="AP221" s="23"/>
      <c r="AQ221" s="23"/>
      <c r="AR221" s="23"/>
      <c r="AS221" s="23"/>
      <c r="AT221" s="43">
        <f t="shared" si="2"/>
        <v>1</v>
      </c>
    </row>
    <row r="222" spans="1:46" s="30" customFormat="1" x14ac:dyDescent="0.25">
      <c r="A222" s="38" t="s">
        <v>297</v>
      </c>
      <c r="B222" s="50"/>
      <c r="C222" s="23"/>
      <c r="G222" s="53"/>
      <c r="T222" s="41">
        <v>1</v>
      </c>
      <c r="AJ222" s="23"/>
      <c r="AN222" s="23"/>
      <c r="AO222" s="23"/>
      <c r="AP222" s="23"/>
      <c r="AQ222" s="23"/>
      <c r="AR222" s="23"/>
      <c r="AS222" s="23"/>
      <c r="AT222" s="43">
        <f t="shared" si="2"/>
        <v>1</v>
      </c>
    </row>
    <row r="223" spans="1:46" s="30" customFormat="1" x14ac:dyDescent="0.25">
      <c r="A223" s="38" t="s">
        <v>298</v>
      </c>
      <c r="B223" s="50"/>
      <c r="C223" s="23"/>
      <c r="G223" s="53"/>
      <c r="T223" s="41">
        <v>1</v>
      </c>
      <c r="AJ223" s="23"/>
      <c r="AN223" s="23"/>
      <c r="AO223" s="23"/>
      <c r="AP223" s="23"/>
      <c r="AQ223" s="23"/>
      <c r="AR223" s="23"/>
      <c r="AS223" s="23"/>
      <c r="AT223" s="43">
        <f t="shared" si="2"/>
        <v>1</v>
      </c>
    </row>
    <row r="224" spans="1:46" s="30" customFormat="1" x14ac:dyDescent="0.25">
      <c r="A224" s="38" t="s">
        <v>299</v>
      </c>
      <c r="B224" s="50"/>
      <c r="C224" s="23"/>
      <c r="G224" s="53"/>
      <c r="T224" s="41">
        <v>1</v>
      </c>
      <c r="AJ224" s="23"/>
      <c r="AN224" s="23"/>
      <c r="AO224" s="23"/>
      <c r="AP224" s="23"/>
      <c r="AQ224" s="23"/>
      <c r="AR224" s="23"/>
      <c r="AS224" s="23"/>
      <c r="AT224" s="43">
        <f t="shared" si="2"/>
        <v>1</v>
      </c>
    </row>
    <row r="225" spans="1:46" s="30" customFormat="1" x14ac:dyDescent="0.25">
      <c r="A225" s="38" t="s">
        <v>300</v>
      </c>
      <c r="B225" s="50"/>
      <c r="C225" s="23"/>
      <c r="G225" s="53"/>
      <c r="T225" s="41">
        <v>1</v>
      </c>
      <c r="AJ225" s="23"/>
      <c r="AN225" s="23"/>
      <c r="AO225" s="23"/>
      <c r="AP225" s="23"/>
      <c r="AQ225" s="23"/>
      <c r="AR225" s="23"/>
      <c r="AS225" s="23"/>
      <c r="AT225" s="43">
        <f t="shared" si="2"/>
        <v>1</v>
      </c>
    </row>
    <row r="226" spans="1:46" s="30" customFormat="1" x14ac:dyDescent="0.25">
      <c r="A226" s="38" t="s">
        <v>301</v>
      </c>
      <c r="B226" s="50"/>
      <c r="C226" s="23"/>
      <c r="G226" s="53"/>
      <c r="T226" s="41">
        <v>1</v>
      </c>
      <c r="AJ226" s="23"/>
      <c r="AN226" s="23"/>
      <c r="AO226" s="23"/>
      <c r="AP226" s="23"/>
      <c r="AQ226" s="23"/>
      <c r="AR226" s="23"/>
      <c r="AS226" s="23"/>
      <c r="AT226" s="43">
        <f t="shared" si="2"/>
        <v>1</v>
      </c>
    </row>
    <row r="227" spans="1:46" s="30" customFormat="1" x14ac:dyDescent="0.25">
      <c r="A227" s="38" t="s">
        <v>302</v>
      </c>
      <c r="B227" s="50"/>
      <c r="C227" s="23"/>
      <c r="G227" s="53"/>
      <c r="T227" s="41">
        <v>1</v>
      </c>
      <c r="AJ227" s="23"/>
      <c r="AN227" s="23"/>
      <c r="AO227" s="23"/>
      <c r="AP227" s="23"/>
      <c r="AQ227" s="23"/>
      <c r="AR227" s="23"/>
      <c r="AS227" s="23"/>
      <c r="AT227" s="43">
        <f t="shared" si="2"/>
        <v>1</v>
      </c>
    </row>
    <row r="228" spans="1:46" s="30" customFormat="1" x14ac:dyDescent="0.25">
      <c r="A228" s="38" t="s">
        <v>303</v>
      </c>
      <c r="B228" s="50"/>
      <c r="C228" s="23"/>
      <c r="G228" s="53"/>
      <c r="T228" s="41">
        <v>1</v>
      </c>
      <c r="AJ228" s="23"/>
      <c r="AN228" s="23"/>
      <c r="AO228" s="23"/>
      <c r="AP228" s="23"/>
      <c r="AQ228" s="23">
        <v>1</v>
      </c>
      <c r="AR228" s="23"/>
      <c r="AS228" s="23"/>
      <c r="AT228" s="43">
        <f t="shared" si="2"/>
        <v>2</v>
      </c>
    </row>
    <row r="229" spans="1:46" s="30" customFormat="1" x14ac:dyDescent="0.25">
      <c r="A229" s="38" t="s">
        <v>304</v>
      </c>
      <c r="B229" s="50"/>
      <c r="C229" s="23"/>
      <c r="G229" s="53"/>
      <c r="T229" s="41">
        <v>1</v>
      </c>
      <c r="AJ229" s="23"/>
      <c r="AN229" s="23"/>
      <c r="AO229" s="23"/>
      <c r="AP229" s="23"/>
      <c r="AQ229" s="23">
        <v>1</v>
      </c>
      <c r="AR229" s="23"/>
      <c r="AS229" s="23"/>
      <c r="AT229" s="43">
        <f t="shared" si="2"/>
        <v>2</v>
      </c>
    </row>
    <row r="230" spans="1:46" s="4" customFormat="1" x14ac:dyDescent="0.25">
      <c r="A230" s="34" t="s">
        <v>305</v>
      </c>
      <c r="B230" s="59"/>
      <c r="G230" s="59"/>
      <c r="T230" s="56">
        <f>8+1</f>
        <v>9</v>
      </c>
      <c r="AQ230" s="4">
        <f>9+6</f>
        <v>15</v>
      </c>
      <c r="AT230" s="58">
        <f t="shared" si="2"/>
        <v>24</v>
      </c>
    </row>
    <row r="231" spans="1:46" s="30" customFormat="1" x14ac:dyDescent="0.25">
      <c r="A231" s="38" t="s">
        <v>306</v>
      </c>
      <c r="B231" s="50"/>
      <c r="C231" s="23"/>
      <c r="G231" s="53"/>
      <c r="T231" s="41">
        <v>1</v>
      </c>
      <c r="AJ231" s="23"/>
      <c r="AN231" s="23"/>
      <c r="AO231" s="23"/>
      <c r="AP231" s="23"/>
      <c r="AQ231" s="23"/>
      <c r="AR231" s="23"/>
      <c r="AS231" s="23"/>
      <c r="AT231" s="43">
        <f t="shared" si="2"/>
        <v>1</v>
      </c>
    </row>
    <row r="232" spans="1:46" s="30" customFormat="1" x14ac:dyDescent="0.25">
      <c r="A232" s="38" t="s">
        <v>307</v>
      </c>
      <c r="B232" s="50"/>
      <c r="C232" s="23"/>
      <c r="G232" s="53"/>
      <c r="T232" s="41">
        <v>1</v>
      </c>
      <c r="AJ232" s="23"/>
      <c r="AN232" s="23"/>
      <c r="AO232" s="23"/>
      <c r="AP232" s="23"/>
      <c r="AQ232" s="23"/>
      <c r="AR232" s="23"/>
      <c r="AS232" s="23"/>
      <c r="AT232" s="43">
        <f t="shared" si="2"/>
        <v>1</v>
      </c>
    </row>
    <row r="233" spans="1:46" s="30" customFormat="1" x14ac:dyDescent="0.25">
      <c r="A233" s="38" t="s">
        <v>308</v>
      </c>
      <c r="B233" s="50"/>
      <c r="C233" s="23"/>
      <c r="G233" s="53"/>
      <c r="T233" s="41">
        <v>1</v>
      </c>
      <c r="AJ233" s="23"/>
      <c r="AN233" s="23"/>
      <c r="AO233" s="23"/>
      <c r="AP233" s="23"/>
      <c r="AQ233" s="23"/>
      <c r="AR233" s="23"/>
      <c r="AS233" s="23"/>
      <c r="AT233" s="43">
        <f t="shared" si="2"/>
        <v>1</v>
      </c>
    </row>
    <row r="234" spans="1:46" s="30" customFormat="1" x14ac:dyDescent="0.25">
      <c r="A234" s="38" t="s">
        <v>309</v>
      </c>
      <c r="B234" s="50"/>
      <c r="C234" s="23"/>
      <c r="G234" s="53"/>
      <c r="T234" s="41">
        <v>1</v>
      </c>
      <c r="AJ234" s="23"/>
      <c r="AN234" s="23"/>
      <c r="AO234" s="23"/>
      <c r="AP234" s="23"/>
      <c r="AQ234" s="23"/>
      <c r="AR234" s="23"/>
      <c r="AS234" s="23"/>
      <c r="AT234" s="43">
        <f t="shared" si="2"/>
        <v>1</v>
      </c>
    </row>
    <row r="235" spans="1:46" s="30" customFormat="1" x14ac:dyDescent="0.25">
      <c r="A235" s="38" t="s">
        <v>310</v>
      </c>
      <c r="B235" s="50"/>
      <c r="C235" s="23"/>
      <c r="G235" s="53"/>
      <c r="T235" s="41">
        <v>1</v>
      </c>
      <c r="AJ235" s="23"/>
      <c r="AN235" s="23"/>
      <c r="AO235" s="23"/>
      <c r="AP235" s="23"/>
      <c r="AQ235" s="23"/>
      <c r="AR235" s="23"/>
      <c r="AS235" s="23"/>
      <c r="AT235" s="43">
        <f t="shared" si="2"/>
        <v>1</v>
      </c>
    </row>
    <row r="236" spans="1:46" s="30" customFormat="1" x14ac:dyDescent="0.25">
      <c r="A236" s="38" t="s">
        <v>311</v>
      </c>
      <c r="B236" s="50"/>
      <c r="C236" s="23"/>
      <c r="G236" s="53"/>
      <c r="T236" s="41">
        <v>1</v>
      </c>
      <c r="AJ236" s="23"/>
      <c r="AN236" s="23"/>
      <c r="AO236" s="23"/>
      <c r="AP236" s="23"/>
      <c r="AQ236" s="23"/>
      <c r="AR236" s="23"/>
      <c r="AS236" s="23"/>
      <c r="AT236" s="43">
        <f t="shared" si="2"/>
        <v>1</v>
      </c>
    </row>
    <row r="237" spans="1:46" s="30" customFormat="1" x14ac:dyDescent="0.25">
      <c r="A237" s="38" t="s">
        <v>312</v>
      </c>
      <c r="B237" s="50"/>
      <c r="C237" s="23"/>
      <c r="G237" s="53"/>
      <c r="T237" s="41">
        <v>1</v>
      </c>
      <c r="AJ237" s="23"/>
      <c r="AN237" s="23"/>
      <c r="AO237" s="23"/>
      <c r="AP237" s="23"/>
      <c r="AQ237" s="23"/>
      <c r="AR237" s="23"/>
      <c r="AS237" s="23"/>
      <c r="AT237" s="43">
        <f t="shared" si="2"/>
        <v>1</v>
      </c>
    </row>
    <row r="238" spans="1:46" s="30" customFormat="1" x14ac:dyDescent="0.25">
      <c r="A238" s="38" t="s">
        <v>324</v>
      </c>
      <c r="B238" s="50"/>
      <c r="C238" s="23"/>
      <c r="G238" s="53"/>
      <c r="T238" s="41">
        <v>1</v>
      </c>
      <c r="AJ238" s="23"/>
      <c r="AN238" s="23"/>
      <c r="AO238" s="23"/>
      <c r="AP238" s="23"/>
      <c r="AQ238" s="23">
        <v>1</v>
      </c>
      <c r="AR238" s="23"/>
      <c r="AS238" s="23"/>
      <c r="AT238" s="43">
        <f t="shared" si="2"/>
        <v>2</v>
      </c>
    </row>
    <row r="239" spans="1:46" s="30" customFormat="1" x14ac:dyDescent="0.25">
      <c r="A239" s="38" t="s">
        <v>313</v>
      </c>
      <c r="B239" s="50"/>
      <c r="C239" s="23"/>
      <c r="G239" s="53"/>
      <c r="T239" s="41">
        <v>1</v>
      </c>
      <c r="AJ239" s="23"/>
      <c r="AN239" s="23"/>
      <c r="AO239" s="23"/>
      <c r="AP239" s="23"/>
      <c r="AQ239" s="23"/>
      <c r="AR239" s="23"/>
      <c r="AS239" s="23"/>
      <c r="AT239" s="43">
        <f t="shared" si="2"/>
        <v>1</v>
      </c>
    </row>
    <row r="240" spans="1:46" s="30" customFormat="1" x14ac:dyDescent="0.25">
      <c r="A240" s="38" t="s">
        <v>314</v>
      </c>
      <c r="B240" s="50"/>
      <c r="C240" s="23"/>
      <c r="G240" s="53"/>
      <c r="T240" s="41">
        <v>1</v>
      </c>
      <c r="AJ240" s="23"/>
      <c r="AN240" s="23"/>
      <c r="AO240" s="23"/>
      <c r="AP240" s="23"/>
      <c r="AQ240" s="23"/>
      <c r="AR240" s="23"/>
      <c r="AS240" s="23"/>
      <c r="AT240" s="43">
        <f t="shared" si="2"/>
        <v>1</v>
      </c>
    </row>
    <row r="241" spans="1:46" s="30" customFormat="1" x14ac:dyDescent="0.25">
      <c r="A241" s="38" t="s">
        <v>315</v>
      </c>
      <c r="B241" s="50"/>
      <c r="C241" s="23"/>
      <c r="G241" s="53"/>
      <c r="T241" s="41">
        <v>1</v>
      </c>
      <c r="AJ241" s="23"/>
      <c r="AN241" s="23"/>
      <c r="AO241" s="23"/>
      <c r="AP241" s="23"/>
      <c r="AQ241" s="23"/>
      <c r="AR241" s="23"/>
      <c r="AS241" s="23"/>
      <c r="AT241" s="43">
        <f t="shared" si="2"/>
        <v>1</v>
      </c>
    </row>
    <row r="242" spans="1:46" s="30" customFormat="1" x14ac:dyDescent="0.25">
      <c r="A242" s="38" t="s">
        <v>316</v>
      </c>
      <c r="B242" s="50"/>
      <c r="C242" s="23"/>
      <c r="G242" s="53"/>
      <c r="T242" s="41">
        <v>1</v>
      </c>
      <c r="AJ242" s="23"/>
      <c r="AN242" s="23"/>
      <c r="AO242" s="23"/>
      <c r="AP242" s="23"/>
      <c r="AQ242" s="23"/>
      <c r="AR242" s="23"/>
      <c r="AS242" s="23"/>
      <c r="AT242" s="43">
        <f t="shared" si="2"/>
        <v>1</v>
      </c>
    </row>
    <row r="243" spans="1:46" s="16" customFormat="1" x14ac:dyDescent="0.25">
      <c r="A243" s="37" t="s">
        <v>317</v>
      </c>
      <c r="B243" s="47"/>
      <c r="D243" s="41"/>
      <c r="E243" s="41"/>
      <c r="F243" s="41"/>
      <c r="G243" s="42"/>
      <c r="H243" s="41"/>
      <c r="I243" s="41"/>
      <c r="J243" s="41"/>
      <c r="K243" s="41"/>
      <c r="L243" s="41"/>
      <c r="M243" s="41"/>
      <c r="N243" s="41"/>
      <c r="O243" s="41"/>
      <c r="P243" s="41"/>
      <c r="Q243" s="41"/>
      <c r="R243" s="41"/>
      <c r="S243" s="41"/>
      <c r="T243" s="41">
        <v>2</v>
      </c>
      <c r="U243" s="41"/>
      <c r="V243" s="41"/>
      <c r="W243" s="41"/>
      <c r="X243" s="41"/>
      <c r="Y243" s="41"/>
      <c r="Z243" s="41"/>
      <c r="AA243" s="41"/>
      <c r="AB243" s="41"/>
      <c r="AC243" s="41"/>
      <c r="AD243" s="41"/>
      <c r="AE243" s="41"/>
      <c r="AF243" s="41"/>
      <c r="AG243" s="41"/>
      <c r="AH243" s="41"/>
      <c r="AI243" s="41"/>
      <c r="AJ243" s="43"/>
      <c r="AK243" s="41"/>
      <c r="AL243" s="43"/>
      <c r="AM243" s="43"/>
      <c r="AT243" s="43">
        <f t="shared" si="2"/>
        <v>2</v>
      </c>
    </row>
    <row r="244" spans="1:46" s="16" customFormat="1" x14ac:dyDescent="0.25">
      <c r="A244" s="37" t="s">
        <v>318</v>
      </c>
      <c r="B244" s="47"/>
      <c r="D244" s="41"/>
      <c r="E244" s="41"/>
      <c r="F244" s="41"/>
      <c r="G244" s="42"/>
      <c r="H244" s="41"/>
      <c r="I244" s="41"/>
      <c r="J244" s="41"/>
      <c r="K244" s="41"/>
      <c r="L244" s="41"/>
      <c r="M244" s="41"/>
      <c r="N244" s="41"/>
      <c r="O244" s="41"/>
      <c r="P244" s="41"/>
      <c r="Q244" s="41"/>
      <c r="R244" s="41"/>
      <c r="S244" s="41"/>
      <c r="T244" s="41">
        <v>1</v>
      </c>
      <c r="U244" s="41"/>
      <c r="V244" s="41"/>
      <c r="W244" s="41"/>
      <c r="X244" s="41"/>
      <c r="Y244" s="41"/>
      <c r="Z244" s="41"/>
      <c r="AA244" s="41"/>
      <c r="AB244" s="41"/>
      <c r="AC244" s="41"/>
      <c r="AD244" s="41"/>
      <c r="AE244" s="41"/>
      <c r="AF244" s="41"/>
      <c r="AG244" s="41"/>
      <c r="AH244" s="41"/>
      <c r="AI244" s="41"/>
      <c r="AJ244" s="43"/>
      <c r="AK244" s="41"/>
      <c r="AL244" s="43"/>
      <c r="AM244" s="43"/>
      <c r="AT244" s="43">
        <f t="shared" ref="AT244" si="3">SUM(C244:AS244)</f>
        <v>1</v>
      </c>
    </row>
    <row r="245" spans="1:46" s="16" customFormat="1" x14ac:dyDescent="0.25">
      <c r="A245" s="37" t="s">
        <v>319</v>
      </c>
      <c r="B245" s="47"/>
      <c r="D245" s="41"/>
      <c r="E245" s="41"/>
      <c r="F245" s="41"/>
      <c r="G245" s="42"/>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c r="AF245" s="41"/>
      <c r="AG245" s="41"/>
      <c r="AH245" s="41"/>
      <c r="AI245" s="41"/>
      <c r="AJ245" s="43"/>
      <c r="AK245" s="41"/>
      <c r="AL245" s="43"/>
      <c r="AM245" s="43"/>
      <c r="AQ245" s="16">
        <v>1</v>
      </c>
      <c r="AT245" s="43">
        <f>SUM(C245:AS245)</f>
        <v>1</v>
      </c>
    </row>
    <row r="246" spans="1:46" s="30" customFormat="1" x14ac:dyDescent="0.25">
      <c r="A246" s="38" t="s">
        <v>320</v>
      </c>
      <c r="B246" s="50"/>
      <c r="C246" s="23"/>
      <c r="G246" s="53"/>
      <c r="AJ246" s="23"/>
      <c r="AN246" s="23"/>
      <c r="AO246" s="23"/>
      <c r="AP246" s="23"/>
      <c r="AQ246" s="23">
        <f>2+1</f>
        <v>3</v>
      </c>
      <c r="AR246" s="23"/>
      <c r="AS246" s="23"/>
      <c r="AT246" s="43">
        <f t="shared" ref="AT246:AT253" si="4">SUM(C246:AS246)</f>
        <v>3</v>
      </c>
    </row>
    <row r="247" spans="1:46" s="30" customFormat="1" x14ac:dyDescent="0.25">
      <c r="A247" s="38" t="s">
        <v>321</v>
      </c>
      <c r="B247" s="50"/>
      <c r="C247" s="23"/>
      <c r="G247" s="53"/>
      <c r="AJ247" s="23"/>
      <c r="AN247" s="23"/>
      <c r="AO247" s="23"/>
      <c r="AP247" s="23"/>
      <c r="AQ247" s="23">
        <v>1</v>
      </c>
      <c r="AR247" s="23"/>
      <c r="AS247" s="23"/>
      <c r="AT247" s="43">
        <f t="shared" si="4"/>
        <v>1</v>
      </c>
    </row>
    <row r="248" spans="1:46" s="30" customFormat="1" x14ac:dyDescent="0.25">
      <c r="A248" s="38" t="s">
        <v>322</v>
      </c>
      <c r="B248" s="50"/>
      <c r="C248" s="23"/>
      <c r="G248" s="53"/>
      <c r="AJ248" s="23"/>
      <c r="AN248" s="23"/>
      <c r="AO248" s="23"/>
      <c r="AP248" s="23"/>
      <c r="AQ248" s="23">
        <v>2</v>
      </c>
      <c r="AR248" s="23"/>
      <c r="AS248" s="23"/>
      <c r="AT248" s="43">
        <f t="shared" si="4"/>
        <v>2</v>
      </c>
    </row>
    <row r="249" spans="1:46" s="30" customFormat="1" x14ac:dyDescent="0.25">
      <c r="A249" s="38" t="s">
        <v>323</v>
      </c>
      <c r="B249" s="50"/>
      <c r="C249" s="23"/>
      <c r="G249" s="53"/>
      <c r="AJ249" s="23"/>
      <c r="AN249" s="23"/>
      <c r="AO249" s="23"/>
      <c r="AP249" s="23"/>
      <c r="AQ249" s="23">
        <v>1</v>
      </c>
      <c r="AR249" s="23"/>
      <c r="AS249" s="23"/>
      <c r="AT249" s="43">
        <f t="shared" si="4"/>
        <v>1</v>
      </c>
    </row>
    <row r="250" spans="1:46" s="30" customFormat="1" x14ac:dyDescent="0.25">
      <c r="A250" s="38" t="s">
        <v>325</v>
      </c>
      <c r="B250" s="50"/>
      <c r="C250" s="23"/>
      <c r="G250" s="53"/>
      <c r="AJ250" s="23"/>
      <c r="AN250" s="23"/>
      <c r="AO250" s="23"/>
      <c r="AP250" s="23"/>
      <c r="AQ250" s="23">
        <v>1</v>
      </c>
      <c r="AR250" s="23"/>
      <c r="AS250" s="23"/>
      <c r="AT250" s="43">
        <f t="shared" si="4"/>
        <v>1</v>
      </c>
    </row>
    <row r="251" spans="1:46" s="30" customFormat="1" x14ac:dyDescent="0.25">
      <c r="A251" s="38" t="s">
        <v>326</v>
      </c>
      <c r="B251" s="50"/>
      <c r="C251" s="23"/>
      <c r="G251" s="53"/>
      <c r="AJ251" s="23"/>
      <c r="AN251" s="23"/>
      <c r="AO251" s="23"/>
      <c r="AP251" s="23"/>
      <c r="AQ251" s="23">
        <v>1</v>
      </c>
      <c r="AR251" s="23"/>
      <c r="AS251" s="23"/>
      <c r="AT251" s="43">
        <f t="shared" si="4"/>
        <v>1</v>
      </c>
    </row>
    <row r="252" spans="1:46" s="30" customFormat="1" x14ac:dyDescent="0.25">
      <c r="A252" s="38" t="s">
        <v>327</v>
      </c>
      <c r="B252" s="50"/>
      <c r="C252" s="23"/>
      <c r="G252" s="53"/>
      <c r="AJ252" s="23"/>
      <c r="AN252" s="23"/>
      <c r="AO252" s="23"/>
      <c r="AP252" s="23"/>
      <c r="AQ252" s="23">
        <v>1</v>
      </c>
      <c r="AR252" s="23"/>
      <c r="AS252" s="23"/>
      <c r="AT252" s="43">
        <f t="shared" si="4"/>
        <v>1</v>
      </c>
    </row>
    <row r="253" spans="1:46" s="30" customFormat="1" x14ac:dyDescent="0.25">
      <c r="A253" s="38" t="s">
        <v>328</v>
      </c>
      <c r="B253" s="50"/>
      <c r="C253" s="23"/>
      <c r="G253" s="53"/>
      <c r="AJ253" s="23"/>
      <c r="AN253" s="23"/>
      <c r="AO253" s="23"/>
      <c r="AP253" s="23"/>
      <c r="AQ253" s="23">
        <v>1</v>
      </c>
      <c r="AR253" s="23"/>
      <c r="AS253" s="23"/>
      <c r="AT253" s="43">
        <f t="shared" si="4"/>
        <v>1</v>
      </c>
    </row>
    <row r="254" spans="1:46" s="30" customFormat="1" x14ac:dyDescent="0.25">
      <c r="A254" s="38" t="s">
        <v>329</v>
      </c>
      <c r="B254" s="50"/>
      <c r="C254" s="23"/>
      <c r="G254" s="53"/>
      <c r="T254" s="30">
        <v>1</v>
      </c>
      <c r="AJ254" s="23"/>
      <c r="AN254" s="23"/>
      <c r="AO254" s="23"/>
      <c r="AP254" s="23"/>
      <c r="AQ254" s="23"/>
      <c r="AR254" s="23"/>
      <c r="AS254" s="23"/>
      <c r="AT254" s="43"/>
    </row>
    <row r="255" spans="1:46" s="16" customFormat="1" x14ac:dyDescent="0.25">
      <c r="A255" s="37" t="s">
        <v>330</v>
      </c>
      <c r="B255" s="47"/>
      <c r="D255" s="41"/>
      <c r="E255" s="41"/>
      <c r="F255" s="41"/>
      <c r="G255" s="42"/>
      <c r="H255" s="41"/>
      <c r="I255" s="41"/>
      <c r="J255" s="41"/>
      <c r="K255" s="41"/>
      <c r="L255" s="41"/>
      <c r="M255" s="41"/>
      <c r="N255" s="41"/>
      <c r="O255" s="41"/>
      <c r="P255" s="41"/>
      <c r="Q255" s="41"/>
      <c r="R255" s="41"/>
      <c r="S255" s="41"/>
      <c r="T255" s="41">
        <v>1</v>
      </c>
      <c r="U255" s="41"/>
      <c r="V255" s="41"/>
      <c r="W255" s="41"/>
      <c r="X255" s="41"/>
      <c r="Y255" s="41"/>
      <c r="Z255" s="41"/>
      <c r="AA255" s="41"/>
      <c r="AB255" s="41"/>
      <c r="AC255" s="41"/>
      <c r="AD255" s="41"/>
      <c r="AE255" s="41"/>
      <c r="AF255" s="41"/>
      <c r="AG255" s="41"/>
      <c r="AH255" s="41"/>
      <c r="AI255" s="41"/>
      <c r="AJ255" s="43"/>
      <c r="AK255" s="41"/>
      <c r="AL255" s="43"/>
      <c r="AM255" s="43"/>
      <c r="AT255" s="43">
        <f>SUM(C255:AS255)</f>
        <v>1</v>
      </c>
    </row>
    <row r="256" spans="1:46" s="3" customFormat="1" x14ac:dyDescent="0.25">
      <c r="A256" s="35" t="s">
        <v>167</v>
      </c>
      <c r="B256" s="49"/>
      <c r="C256" s="24"/>
      <c r="G256" s="19"/>
      <c r="AJ256" s="24"/>
      <c r="AN256" s="24"/>
      <c r="AO256" s="24"/>
      <c r="AP256" s="24"/>
      <c r="AQ256" s="24"/>
      <c r="AR256" s="24"/>
      <c r="AS256" s="24"/>
      <c r="AT256" s="24"/>
    </row>
    <row r="257" spans="1:46" s="4" customFormat="1" x14ac:dyDescent="0.25">
      <c r="A257" s="54" t="s">
        <v>213</v>
      </c>
      <c r="B257" s="59" t="s">
        <v>80</v>
      </c>
      <c r="D257" s="56"/>
      <c r="E257" s="56"/>
      <c r="F257" s="56"/>
      <c r="G257" s="57"/>
      <c r="H257" s="56"/>
      <c r="I257" s="56"/>
      <c r="J257" s="56"/>
      <c r="K257" s="56"/>
      <c r="L257" s="56"/>
      <c r="M257" s="56"/>
      <c r="N257" s="56"/>
      <c r="O257" s="56"/>
      <c r="P257" s="56"/>
      <c r="Q257" s="56"/>
      <c r="R257" s="56"/>
      <c r="S257" s="56"/>
      <c r="T257" s="56">
        <f>1+385</f>
        <v>386</v>
      </c>
      <c r="U257" s="56"/>
      <c r="V257" s="56"/>
      <c r="W257" s="56"/>
      <c r="X257" s="56"/>
      <c r="Y257" s="56"/>
      <c r="Z257" s="56"/>
      <c r="AA257" s="56"/>
      <c r="AB257" s="56"/>
      <c r="AC257" s="56"/>
      <c r="AD257" s="56"/>
      <c r="AE257" s="56"/>
      <c r="AF257" s="56"/>
      <c r="AG257" s="56"/>
      <c r="AH257" s="56"/>
      <c r="AI257" s="56"/>
      <c r="AJ257" s="58"/>
      <c r="AK257" s="56"/>
      <c r="AL257" s="58"/>
      <c r="AM257" s="58"/>
      <c r="AQ257" s="4">
        <f>1+185</f>
        <v>186</v>
      </c>
      <c r="AT257" s="58">
        <f>SUM(C257:AS257)</f>
        <v>572</v>
      </c>
    </row>
    <row r="258" spans="1:46" s="23" customFormat="1" x14ac:dyDescent="0.25">
      <c r="A258" s="45" t="s">
        <v>117</v>
      </c>
      <c r="B258" s="50"/>
      <c r="D258" s="41"/>
      <c r="E258" s="41"/>
      <c r="F258" s="41"/>
      <c r="G258" s="42"/>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c r="AE258" s="41"/>
      <c r="AF258" s="41"/>
      <c r="AG258" s="41"/>
      <c r="AH258" s="41"/>
      <c r="AI258" s="41"/>
      <c r="AJ258" s="43"/>
      <c r="AK258" s="41"/>
      <c r="AL258" s="43"/>
      <c r="AM258" s="43"/>
      <c r="AT258" s="43"/>
    </row>
    <row r="259" spans="1:46" s="30" customFormat="1" x14ac:dyDescent="0.25">
      <c r="A259" s="38" t="s">
        <v>305</v>
      </c>
      <c r="B259" s="50"/>
      <c r="C259" s="23"/>
      <c r="G259" s="53"/>
      <c r="AJ259" s="23"/>
      <c r="AN259" s="23"/>
      <c r="AO259" s="23"/>
      <c r="AP259" s="23"/>
      <c r="AQ259" s="23">
        <v>1</v>
      </c>
      <c r="AR259" s="23"/>
      <c r="AS259" s="23"/>
      <c r="AT259" s="43">
        <f>SUM(C259:AS259)</f>
        <v>1</v>
      </c>
    </row>
    <row r="260" spans="1:46" s="30" customFormat="1" x14ac:dyDescent="0.25">
      <c r="A260" s="38" t="s">
        <v>322</v>
      </c>
      <c r="B260" s="50"/>
      <c r="C260" s="23"/>
      <c r="G260" s="53"/>
      <c r="AJ260" s="23"/>
      <c r="AN260" s="23"/>
      <c r="AO260" s="23"/>
      <c r="AP260" s="23"/>
      <c r="AQ260" s="23">
        <v>1</v>
      </c>
      <c r="AR260" s="23"/>
      <c r="AS260" s="23"/>
      <c r="AT260" s="43">
        <f>SUM(C260:AS260)</f>
        <v>1</v>
      </c>
    </row>
    <row r="261" spans="1:46" s="30" customFormat="1" x14ac:dyDescent="0.25">
      <c r="A261" s="38" t="s">
        <v>320</v>
      </c>
      <c r="B261" s="50"/>
      <c r="C261" s="23"/>
      <c r="G261" s="53"/>
      <c r="AJ261" s="23"/>
      <c r="AN261" s="23"/>
      <c r="AO261" s="23"/>
      <c r="AP261" s="23"/>
      <c r="AQ261" s="23">
        <v>1</v>
      </c>
      <c r="AR261" s="23"/>
      <c r="AS261" s="23"/>
      <c r="AT261" s="43">
        <f>SUM(C261:AS261)</f>
        <v>1</v>
      </c>
    </row>
    <row r="262" spans="1:46" s="3" customFormat="1" x14ac:dyDescent="0.25">
      <c r="A262" s="35" t="s">
        <v>168</v>
      </c>
      <c r="B262" s="49"/>
      <c r="C262" s="24"/>
      <c r="G262" s="19"/>
      <c r="AJ262" s="24"/>
      <c r="AN262" s="24"/>
      <c r="AO262" s="24"/>
      <c r="AP262" s="24"/>
      <c r="AQ262" s="24"/>
      <c r="AR262" s="24"/>
      <c r="AS262" s="24"/>
      <c r="AT262" s="24"/>
    </row>
    <row r="263" spans="1:46" s="4" customFormat="1" x14ac:dyDescent="0.25">
      <c r="A263" s="54" t="s">
        <v>170</v>
      </c>
      <c r="B263" s="59" t="s">
        <v>80</v>
      </c>
      <c r="D263" s="56"/>
      <c r="E263" s="56"/>
      <c r="F263" s="56"/>
      <c r="G263" s="57"/>
      <c r="H263" s="56"/>
      <c r="I263" s="56"/>
      <c r="J263" s="56"/>
      <c r="K263" s="56"/>
      <c r="L263" s="56"/>
      <c r="M263" s="56"/>
      <c r="N263" s="56"/>
      <c r="O263" s="56"/>
      <c r="P263" s="56"/>
      <c r="Q263" s="56"/>
      <c r="R263" s="56"/>
      <c r="S263" s="56"/>
      <c r="T263" s="56"/>
      <c r="U263" s="56"/>
      <c r="V263" s="56"/>
      <c r="W263" s="56"/>
      <c r="X263" s="56"/>
      <c r="Y263" s="56"/>
      <c r="Z263" s="56"/>
      <c r="AA263" s="56"/>
      <c r="AB263" s="56"/>
      <c r="AC263" s="56"/>
      <c r="AD263" s="56"/>
      <c r="AE263" s="56"/>
      <c r="AF263" s="56"/>
      <c r="AG263" s="56"/>
      <c r="AH263" s="56"/>
      <c r="AI263" s="56"/>
      <c r="AJ263" s="58"/>
      <c r="AK263" s="56"/>
      <c r="AL263" s="58"/>
      <c r="AM263" s="58"/>
      <c r="AR263" s="4">
        <f>1+61</f>
        <v>62</v>
      </c>
      <c r="AT263" s="58">
        <f>SUM(C263:AS263)</f>
        <v>62</v>
      </c>
    </row>
    <row r="264" spans="1:46" s="23" customFormat="1" x14ac:dyDescent="0.25">
      <c r="A264" s="45" t="s">
        <v>117</v>
      </c>
      <c r="B264" s="50"/>
      <c r="D264" s="41"/>
      <c r="E264" s="41"/>
      <c r="F264" s="41"/>
      <c r="G264" s="42"/>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c r="AE264" s="41"/>
      <c r="AF264" s="41"/>
      <c r="AG264" s="41"/>
      <c r="AH264" s="41"/>
      <c r="AI264" s="41"/>
      <c r="AJ264" s="43"/>
      <c r="AK264" s="41"/>
      <c r="AL264" s="43"/>
      <c r="AM264" s="43"/>
      <c r="AT264" s="43"/>
    </row>
    <row r="265" spans="1:46" s="16" customFormat="1" x14ac:dyDescent="0.25">
      <c r="A265" s="37" t="s">
        <v>350</v>
      </c>
      <c r="B265" s="47"/>
      <c r="D265" s="41"/>
      <c r="E265" s="41"/>
      <c r="F265" s="41"/>
      <c r="G265" s="42"/>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c r="AE265" s="41"/>
      <c r="AF265" s="41"/>
      <c r="AG265" s="41"/>
      <c r="AH265" s="41"/>
      <c r="AI265" s="41"/>
      <c r="AJ265" s="43"/>
      <c r="AK265" s="41"/>
      <c r="AL265" s="43"/>
      <c r="AM265" s="43"/>
      <c r="AR265" s="16">
        <v>1</v>
      </c>
      <c r="AT265" s="43">
        <f>SUM(C265:AS265)</f>
        <v>1</v>
      </c>
    </row>
    <row r="266" spans="1:46" s="3" customFormat="1" x14ac:dyDescent="0.25">
      <c r="A266" s="35" t="s">
        <v>169</v>
      </c>
      <c r="B266" s="49"/>
      <c r="C266" s="24"/>
      <c r="G266" s="19"/>
      <c r="AJ266" s="24"/>
      <c r="AN266" s="24"/>
      <c r="AO266" s="24"/>
      <c r="AP266" s="24"/>
      <c r="AQ266" s="24"/>
      <c r="AR266" s="24"/>
      <c r="AS266" s="24"/>
      <c r="AT266" s="24"/>
    </row>
    <row r="267" spans="1:46" s="4" customFormat="1" x14ac:dyDescent="0.25">
      <c r="A267" s="54" t="s">
        <v>171</v>
      </c>
      <c r="B267" s="59" t="s">
        <v>79</v>
      </c>
      <c r="D267" s="56"/>
      <c r="E267" s="56"/>
      <c r="F267" s="56"/>
      <c r="G267" s="57"/>
      <c r="H267" s="56"/>
      <c r="I267" s="56"/>
      <c r="J267" s="56"/>
      <c r="K267" s="56"/>
      <c r="L267" s="56"/>
      <c r="M267" s="56"/>
      <c r="N267" s="56"/>
      <c r="O267" s="56"/>
      <c r="P267" s="56"/>
      <c r="Q267" s="56"/>
      <c r="R267" s="56"/>
      <c r="S267" s="56"/>
      <c r="T267" s="56"/>
      <c r="U267" s="56"/>
      <c r="V267" s="56"/>
      <c r="W267" s="56"/>
      <c r="X267" s="56"/>
      <c r="Y267" s="56"/>
      <c r="Z267" s="56"/>
      <c r="AA267" s="56"/>
      <c r="AB267" s="56"/>
      <c r="AC267" s="56"/>
      <c r="AD267" s="56"/>
      <c r="AE267" s="56"/>
      <c r="AF267" s="56"/>
      <c r="AG267" s="56"/>
      <c r="AH267" s="56"/>
      <c r="AI267" s="56"/>
      <c r="AJ267" s="58"/>
      <c r="AK267" s="56"/>
      <c r="AL267" s="58"/>
      <c r="AM267" s="58"/>
      <c r="AR267" s="4">
        <f>1+55</f>
        <v>56</v>
      </c>
      <c r="AT267" s="58">
        <f>SUM(C267:AS267)</f>
        <v>56</v>
      </c>
    </row>
    <row r="268" spans="1:46" s="23" customFormat="1" x14ac:dyDescent="0.25">
      <c r="A268" s="45" t="s">
        <v>117</v>
      </c>
      <c r="B268" s="50"/>
      <c r="D268" s="41"/>
      <c r="E268" s="41"/>
      <c r="F268" s="41"/>
      <c r="G268" s="42"/>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c r="AE268" s="41"/>
      <c r="AF268" s="41"/>
      <c r="AG268" s="41"/>
      <c r="AH268" s="41"/>
      <c r="AI268" s="41"/>
      <c r="AJ268" s="43"/>
      <c r="AK268" s="41"/>
      <c r="AL268" s="43"/>
      <c r="AM268" s="43"/>
      <c r="AT268" s="43"/>
    </row>
    <row r="269" spans="1:46" s="16" customFormat="1" x14ac:dyDescent="0.25">
      <c r="A269" s="16" t="s">
        <v>350</v>
      </c>
      <c r="B269" s="47"/>
      <c r="D269" s="41"/>
      <c r="E269" s="41"/>
      <c r="F269" s="41"/>
      <c r="G269" s="42"/>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c r="AE269" s="41"/>
      <c r="AF269" s="41"/>
      <c r="AG269" s="41"/>
      <c r="AH269" s="41"/>
      <c r="AI269" s="41"/>
      <c r="AJ269" s="43"/>
      <c r="AK269" s="41"/>
      <c r="AL269" s="43"/>
      <c r="AM269" s="43"/>
      <c r="AR269" s="16">
        <v>1</v>
      </c>
      <c r="AT269" s="43">
        <f>SUM(C269:AS269)</f>
        <v>1</v>
      </c>
    </row>
    <row r="270" spans="1:46" s="3" customFormat="1" x14ac:dyDescent="0.25">
      <c r="A270" s="35" t="s">
        <v>172</v>
      </c>
      <c r="B270" s="49"/>
      <c r="C270" s="24"/>
      <c r="G270" s="19"/>
      <c r="AJ270" s="24"/>
      <c r="AN270" s="24"/>
      <c r="AO270" s="24"/>
      <c r="AP270" s="24"/>
      <c r="AQ270" s="24"/>
      <c r="AR270" s="24"/>
      <c r="AS270" s="24"/>
      <c r="AT270" s="24"/>
    </row>
    <row r="271" spans="1:46" s="23" customFormat="1" x14ac:dyDescent="0.25">
      <c r="A271" s="37" t="s">
        <v>199</v>
      </c>
      <c r="B271" s="50"/>
      <c r="D271" s="41"/>
      <c r="E271" s="41"/>
      <c r="F271" s="41"/>
      <c r="G271" s="42"/>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c r="AE271" s="41"/>
      <c r="AF271" s="41"/>
      <c r="AG271" s="41"/>
      <c r="AH271" s="41"/>
      <c r="AI271" s="41"/>
      <c r="AJ271" s="43"/>
      <c r="AK271" s="41"/>
      <c r="AL271" s="43"/>
      <c r="AM271" s="43"/>
      <c r="AS271" s="23">
        <v>0</v>
      </c>
      <c r="AT271" s="43">
        <f>SUM(C271:AS271)</f>
        <v>0</v>
      </c>
    </row>
    <row r="272" spans="1:46" s="23" customFormat="1" x14ac:dyDescent="0.25">
      <c r="A272" s="45" t="s">
        <v>117</v>
      </c>
      <c r="B272" s="50"/>
      <c r="D272" s="41"/>
      <c r="E272" s="41"/>
      <c r="F272" s="41"/>
      <c r="G272" s="42"/>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c r="AE272" s="41"/>
      <c r="AF272" s="41"/>
      <c r="AG272" s="41"/>
      <c r="AH272" s="41"/>
      <c r="AI272" s="41"/>
      <c r="AJ272" s="43"/>
      <c r="AK272" s="41"/>
      <c r="AL272" s="43"/>
      <c r="AM272" s="43"/>
      <c r="AT272" s="43"/>
    </row>
    <row r="273" spans="1:46" s="16" customFormat="1" x14ac:dyDescent="0.25">
      <c r="A273" s="16" t="s">
        <v>259</v>
      </c>
      <c r="B273" s="47"/>
      <c r="D273" s="41"/>
      <c r="E273" s="41"/>
      <c r="F273" s="41"/>
      <c r="G273" s="42"/>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c r="AE273" s="41"/>
      <c r="AF273" s="41"/>
      <c r="AG273" s="41"/>
      <c r="AH273" s="41"/>
      <c r="AI273" s="41"/>
      <c r="AJ273" s="43"/>
      <c r="AK273" s="41"/>
      <c r="AL273" s="43"/>
      <c r="AM273" s="43"/>
      <c r="AS273" s="16">
        <v>1</v>
      </c>
      <c r="AT273" s="43">
        <f>SUM(C273:AS273)</f>
        <v>1</v>
      </c>
    </row>
    <row r="274" spans="1:46" s="16" customFormat="1" x14ac:dyDescent="0.25">
      <c r="A274" s="16" t="s">
        <v>260</v>
      </c>
      <c r="B274" s="47"/>
      <c r="D274" s="41"/>
      <c r="E274" s="41"/>
      <c r="F274" s="41"/>
      <c r="G274" s="42"/>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c r="AE274" s="41"/>
      <c r="AF274" s="41"/>
      <c r="AG274" s="41"/>
      <c r="AH274" s="41"/>
      <c r="AI274" s="41"/>
      <c r="AJ274" s="43"/>
      <c r="AK274" s="41"/>
      <c r="AL274" s="43"/>
      <c r="AM274" s="43"/>
      <c r="AS274" s="16">
        <v>2</v>
      </c>
      <c r="AT274" s="43">
        <f>SUM(C274:AS274)</f>
        <v>2</v>
      </c>
    </row>
    <row r="275" spans="1:46" s="16" customFormat="1" x14ac:dyDescent="0.25">
      <c r="A275" s="16" t="s">
        <v>261</v>
      </c>
      <c r="B275" s="47"/>
      <c r="D275" s="41"/>
      <c r="E275" s="41"/>
      <c r="F275" s="41"/>
      <c r="G275" s="42"/>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c r="AE275" s="41"/>
      <c r="AF275" s="41"/>
      <c r="AG275" s="41"/>
      <c r="AH275" s="41"/>
      <c r="AI275" s="41"/>
      <c r="AJ275" s="43"/>
      <c r="AK275" s="41"/>
      <c r="AL275" s="43"/>
      <c r="AM275" s="43"/>
      <c r="AS275" s="16">
        <v>1</v>
      </c>
      <c r="AT275" s="43">
        <f>SUM(C275:AS275)</f>
        <v>1</v>
      </c>
    </row>
    <row r="276" spans="1:46" s="52" customFormat="1" x14ac:dyDescent="0.25">
      <c r="A276" s="52" t="s">
        <v>262</v>
      </c>
      <c r="B276" s="55"/>
      <c r="D276" s="56"/>
      <c r="E276" s="56"/>
      <c r="F276" s="56"/>
      <c r="G276" s="57"/>
      <c r="H276" s="56"/>
      <c r="I276" s="56"/>
      <c r="J276" s="56"/>
      <c r="K276" s="56"/>
      <c r="L276" s="56"/>
      <c r="M276" s="56"/>
      <c r="N276" s="56"/>
      <c r="O276" s="56"/>
      <c r="P276" s="56"/>
      <c r="Q276" s="56"/>
      <c r="R276" s="56"/>
      <c r="S276" s="56"/>
      <c r="T276" s="56"/>
      <c r="U276" s="56"/>
      <c r="V276" s="56"/>
      <c r="W276" s="56"/>
      <c r="X276" s="56"/>
      <c r="Y276" s="56"/>
      <c r="Z276" s="56"/>
      <c r="AA276" s="56"/>
      <c r="AB276" s="56"/>
      <c r="AC276" s="56"/>
      <c r="AD276" s="56"/>
      <c r="AE276" s="56"/>
      <c r="AF276" s="56"/>
      <c r="AG276" s="56"/>
      <c r="AH276" s="56"/>
      <c r="AI276" s="56"/>
      <c r="AJ276" s="58"/>
      <c r="AK276" s="56"/>
      <c r="AL276" s="58"/>
      <c r="AM276" s="58"/>
      <c r="AS276" s="52">
        <v>4</v>
      </c>
      <c r="AT276" s="58">
        <f>SUM(C276:AS276)</f>
        <v>4</v>
      </c>
    </row>
    <row r="277" spans="1:46" s="16" customFormat="1" x14ac:dyDescent="0.25">
      <c r="A277" s="16" t="s">
        <v>263</v>
      </c>
      <c r="B277" s="47"/>
      <c r="D277" s="41"/>
      <c r="E277" s="41"/>
      <c r="F277" s="41"/>
      <c r="G277" s="42"/>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c r="AE277" s="41"/>
      <c r="AF277" s="41"/>
      <c r="AG277" s="41"/>
      <c r="AH277" s="41"/>
      <c r="AI277" s="41"/>
      <c r="AJ277" s="43"/>
      <c r="AK277" s="41"/>
      <c r="AL277" s="43"/>
      <c r="AM277" s="43"/>
      <c r="AS277" s="16">
        <v>2</v>
      </c>
      <c r="AT277" s="43">
        <f>SUM(C277:AS277)</f>
        <v>2</v>
      </c>
    </row>
    <row r="278" spans="1:46" s="3" customFormat="1" x14ac:dyDescent="0.25">
      <c r="A278" s="35" t="s">
        <v>173</v>
      </c>
      <c r="B278" s="49"/>
      <c r="C278" s="24"/>
      <c r="G278" s="19"/>
      <c r="AJ278" s="24"/>
      <c r="AN278" s="24"/>
      <c r="AO278" s="24"/>
      <c r="AP278" s="24"/>
      <c r="AQ278" s="24"/>
      <c r="AR278" s="24"/>
      <c r="AS278" s="24"/>
      <c r="AT278" s="24"/>
    </row>
    <row r="279" spans="1:46" s="4" customFormat="1" x14ac:dyDescent="0.25">
      <c r="A279" s="54" t="s">
        <v>228</v>
      </c>
      <c r="B279" s="59" t="s">
        <v>80</v>
      </c>
      <c r="D279" s="56"/>
      <c r="E279" s="56"/>
      <c r="F279" s="56"/>
      <c r="G279" s="57"/>
      <c r="H279" s="56"/>
      <c r="I279" s="56"/>
      <c r="J279" s="56"/>
      <c r="K279" s="56"/>
      <c r="L279" s="56"/>
      <c r="M279" s="56"/>
      <c r="N279" s="56"/>
      <c r="O279" s="56"/>
      <c r="P279" s="56"/>
      <c r="Q279" s="56"/>
      <c r="R279" s="56"/>
      <c r="S279" s="56"/>
      <c r="T279" s="56"/>
      <c r="U279" s="56"/>
      <c r="V279" s="56"/>
      <c r="W279" s="56"/>
      <c r="X279" s="56"/>
      <c r="Y279" s="56"/>
      <c r="Z279" s="56"/>
      <c r="AA279" s="56"/>
      <c r="AB279" s="56"/>
      <c r="AC279" s="56"/>
      <c r="AD279" s="56"/>
      <c r="AE279" s="56"/>
      <c r="AF279" s="56"/>
      <c r="AG279" s="56"/>
      <c r="AH279" s="56"/>
      <c r="AI279" s="56"/>
      <c r="AJ279" s="58"/>
      <c r="AK279" s="56"/>
      <c r="AL279" s="58"/>
      <c r="AM279" s="58"/>
      <c r="AS279" s="4">
        <v>31</v>
      </c>
      <c r="AT279" s="58">
        <f>SUM(C279:AS279)</f>
        <v>31</v>
      </c>
    </row>
    <row r="280" spans="1:46" s="23" customFormat="1" x14ac:dyDescent="0.25">
      <c r="A280" s="45" t="s">
        <v>117</v>
      </c>
      <c r="B280" s="50"/>
      <c r="D280" s="41"/>
      <c r="E280" s="41"/>
      <c r="F280" s="41"/>
      <c r="G280" s="42"/>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c r="AE280" s="41"/>
      <c r="AF280" s="41"/>
      <c r="AG280" s="41"/>
      <c r="AH280" s="41"/>
      <c r="AI280" s="41"/>
      <c r="AJ280" s="43"/>
      <c r="AK280" s="41"/>
      <c r="AL280" s="43"/>
      <c r="AM280" s="43"/>
      <c r="AT280" s="43"/>
    </row>
    <row r="281" spans="1:46" s="16" customFormat="1" x14ac:dyDescent="0.25">
      <c r="B281" s="47"/>
      <c r="D281" s="41"/>
      <c r="E281" s="41"/>
      <c r="F281" s="41"/>
      <c r="G281" s="42"/>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c r="AE281" s="41"/>
      <c r="AF281" s="41"/>
      <c r="AG281" s="41"/>
      <c r="AH281" s="41"/>
      <c r="AI281" s="41"/>
      <c r="AJ281" s="43"/>
      <c r="AK281" s="41"/>
      <c r="AL281" s="43"/>
      <c r="AM281" s="43"/>
      <c r="AT281" s="43">
        <f>SUM(C281:AS281)</f>
        <v>0</v>
      </c>
    </row>
    <row r="282" spans="1:46" s="3" customFormat="1" x14ac:dyDescent="0.25">
      <c r="A282" s="35" t="s">
        <v>247</v>
      </c>
      <c r="B282" s="49"/>
      <c r="C282" s="24"/>
      <c r="G282" s="19"/>
      <c r="AJ282" s="24"/>
      <c r="AN282" s="24"/>
      <c r="AO282" s="24"/>
      <c r="AP282" s="24"/>
      <c r="AQ282" s="24"/>
      <c r="AR282" s="24"/>
      <c r="AS282" s="24"/>
      <c r="AT282" s="24"/>
    </row>
    <row r="283" spans="1:46" s="16" customFormat="1" x14ac:dyDescent="0.25">
      <c r="A283" s="60" t="s">
        <v>237</v>
      </c>
      <c r="B283" s="16">
        <f>1+199</f>
        <v>200</v>
      </c>
      <c r="D283" s="41"/>
      <c r="E283" s="41"/>
      <c r="F283" s="41"/>
      <c r="G283" s="42"/>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c r="AE283" s="41"/>
      <c r="AF283" s="41"/>
      <c r="AG283" s="41"/>
      <c r="AH283" s="41"/>
      <c r="AI283" s="41"/>
      <c r="AJ283" s="43"/>
      <c r="AK283" s="41"/>
      <c r="AL283" s="43"/>
      <c r="AM283" s="43"/>
      <c r="AT283" s="43">
        <f>SUM(B283:AS283)</f>
        <v>200</v>
      </c>
    </row>
    <row r="284" spans="1:46" s="16" customFormat="1" x14ac:dyDescent="0.25">
      <c r="A284" s="60" t="s">
        <v>238</v>
      </c>
      <c r="B284" s="16">
        <v>122</v>
      </c>
      <c r="D284" s="41"/>
      <c r="E284" s="41"/>
      <c r="F284" s="41"/>
      <c r="G284" s="42"/>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c r="AE284" s="41"/>
      <c r="AF284" s="41"/>
      <c r="AG284" s="41"/>
      <c r="AH284" s="41"/>
      <c r="AI284" s="41"/>
      <c r="AJ284" s="43"/>
      <c r="AK284" s="41"/>
      <c r="AL284" s="43"/>
      <c r="AM284" s="43"/>
      <c r="AT284" s="43">
        <f>SUM(B284:AS284)</f>
        <v>122</v>
      </c>
    </row>
    <row r="285" spans="1:46" s="16" customFormat="1" x14ac:dyDescent="0.25">
      <c r="B285" s="47"/>
      <c r="D285" s="41"/>
      <c r="E285" s="41"/>
      <c r="F285" s="41"/>
      <c r="G285" s="42"/>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c r="AE285" s="41"/>
      <c r="AF285" s="41"/>
      <c r="AG285" s="41"/>
      <c r="AH285" s="41"/>
      <c r="AI285" s="41"/>
      <c r="AJ285" s="43"/>
      <c r="AK285" s="41"/>
      <c r="AL285" s="43"/>
      <c r="AM285" s="43"/>
      <c r="AT285" s="43"/>
    </row>
  </sheetData>
  <sortState ref="A496:AN550">
    <sortCondition ref="A496"/>
  </sortState>
  <printOptions gridLines="1"/>
  <pageMargins left="0.25" right="0.25" top="0.5" bottom="0.5" header="0.3" footer="0.3"/>
  <pageSetup paperSize="14" scale="63" fitToHeight="0" orientation="landscape" r:id="rId1"/>
  <headerFooter>
    <oddHeader>&amp;CAbstract of Votes Cast at the November 5, 2024  Ford County General Election</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18"/>
  <sheetViews>
    <sheetView zoomScaleNormal="100" workbookViewId="0">
      <pane xSplit="20" ySplit="20" topLeftCell="U21" activePane="bottomRight" state="frozen"/>
      <selection pane="topRight" activeCell="U1" sqref="U1"/>
      <selection pane="bottomLeft" activeCell="A21" sqref="A21"/>
      <selection pane="bottomRight" activeCell="AK86" sqref="AK86"/>
    </sheetView>
  </sheetViews>
  <sheetFormatPr defaultRowHeight="15" x14ac:dyDescent="0.25"/>
  <cols>
    <col min="1" max="1" width="8.85546875" customWidth="1"/>
    <col min="2" max="2" width="23.140625" customWidth="1"/>
    <col min="3" max="3" width="4.5703125" customWidth="1"/>
    <col min="4" max="4" width="4.42578125" customWidth="1"/>
    <col min="5" max="5" width="5.140625" customWidth="1"/>
    <col min="6" max="6" width="5" customWidth="1"/>
    <col min="7" max="7" width="4.85546875" customWidth="1"/>
    <col min="8" max="8" width="4.5703125" customWidth="1"/>
    <col min="9" max="9" width="5.140625" customWidth="1"/>
    <col min="10" max="12" width="4.42578125" customWidth="1"/>
    <col min="13" max="13" width="5" customWidth="1"/>
    <col min="14" max="14" width="4.85546875" customWidth="1"/>
    <col min="15" max="15" width="5.140625" customWidth="1"/>
    <col min="16" max="16" width="5" customWidth="1"/>
    <col min="17" max="19" width="4.42578125" customWidth="1"/>
    <col min="20" max="20" width="4.85546875" customWidth="1"/>
    <col min="21" max="21" width="4.42578125" customWidth="1"/>
    <col min="22" max="22" width="4.28515625" customWidth="1"/>
    <col min="23" max="23" width="5.140625" customWidth="1"/>
    <col min="24" max="24" width="4.28515625" customWidth="1"/>
    <col min="25" max="25" width="4.7109375" customWidth="1"/>
    <col min="26" max="26" width="5" customWidth="1"/>
    <col min="27" max="27" width="4.42578125" customWidth="1"/>
    <col min="28" max="28" width="4.7109375" customWidth="1"/>
    <col min="29" max="29" width="4.5703125" customWidth="1"/>
    <col min="30" max="30" width="4.85546875" customWidth="1"/>
    <col min="31" max="31" width="4.42578125" customWidth="1"/>
    <col min="32" max="32" width="4.140625" customWidth="1"/>
    <col min="33" max="33" width="5" customWidth="1"/>
    <col min="34" max="34" width="5.140625" customWidth="1"/>
    <col min="35" max="35" width="4.42578125" customWidth="1"/>
  </cols>
  <sheetData>
    <row r="1" spans="1:36" x14ac:dyDescent="0.25">
      <c r="A1" s="63" t="s">
        <v>0</v>
      </c>
      <c r="B1" s="63"/>
      <c r="C1" s="64" t="s">
        <v>2</v>
      </c>
      <c r="D1" s="61" t="s">
        <v>15</v>
      </c>
      <c r="E1" s="61" t="s">
        <v>16</v>
      </c>
      <c r="F1" s="61" t="s">
        <v>17</v>
      </c>
      <c r="G1" s="61" t="s">
        <v>18</v>
      </c>
      <c r="H1" s="61" t="s">
        <v>19</v>
      </c>
      <c r="I1" s="61" t="s">
        <v>20</v>
      </c>
      <c r="J1" s="61" t="s">
        <v>21</v>
      </c>
      <c r="K1" s="61" t="s">
        <v>22</v>
      </c>
      <c r="L1" s="61" t="s">
        <v>23</v>
      </c>
      <c r="M1" s="61" t="s">
        <v>3</v>
      </c>
      <c r="N1" s="61" t="s">
        <v>4</v>
      </c>
      <c r="O1" s="61" t="s">
        <v>5</v>
      </c>
      <c r="P1" s="61" t="s">
        <v>6</v>
      </c>
      <c r="Q1" s="61" t="s">
        <v>7</v>
      </c>
      <c r="R1" s="61" t="s">
        <v>8</v>
      </c>
      <c r="S1" s="61" t="s">
        <v>9</v>
      </c>
      <c r="T1" s="61" t="s">
        <v>10</v>
      </c>
      <c r="U1" s="66" t="s">
        <v>24</v>
      </c>
      <c r="V1" s="66" t="s">
        <v>11</v>
      </c>
      <c r="W1" s="66" t="s">
        <v>12</v>
      </c>
      <c r="X1" s="66" t="s">
        <v>13</v>
      </c>
      <c r="Y1" s="66" t="s">
        <v>14</v>
      </c>
      <c r="Z1" s="61" t="s">
        <v>25</v>
      </c>
      <c r="AA1" s="67" t="s">
        <v>26</v>
      </c>
      <c r="AB1" s="67" t="s">
        <v>27</v>
      </c>
      <c r="AC1" s="61" t="s">
        <v>28</v>
      </c>
      <c r="AD1" s="61" t="s">
        <v>29</v>
      </c>
      <c r="AE1" s="61" t="s">
        <v>30</v>
      </c>
      <c r="AF1" s="61" t="s">
        <v>31</v>
      </c>
      <c r="AG1" s="1"/>
      <c r="AH1" s="61" t="s">
        <v>33</v>
      </c>
      <c r="AI1" s="61" t="s">
        <v>34</v>
      </c>
      <c r="AJ1" s="61" t="s">
        <v>35</v>
      </c>
    </row>
    <row r="2" spans="1:36" x14ac:dyDescent="0.25">
      <c r="A2" s="63"/>
      <c r="B2" s="63"/>
      <c r="C2" s="64"/>
      <c r="D2" s="61"/>
      <c r="E2" s="61"/>
      <c r="F2" s="61"/>
      <c r="G2" s="61"/>
      <c r="H2" s="61"/>
      <c r="I2" s="61"/>
      <c r="J2" s="61"/>
      <c r="K2" s="61"/>
      <c r="L2" s="61"/>
      <c r="M2" s="61"/>
      <c r="N2" s="61"/>
      <c r="O2" s="61"/>
      <c r="P2" s="61"/>
      <c r="Q2" s="61"/>
      <c r="R2" s="61"/>
      <c r="S2" s="61"/>
      <c r="T2" s="61"/>
      <c r="U2" s="66"/>
      <c r="V2" s="66"/>
      <c r="W2" s="66"/>
      <c r="X2" s="66"/>
      <c r="Y2" s="66"/>
      <c r="Z2" s="65"/>
      <c r="AA2" s="67"/>
      <c r="AB2" s="67"/>
      <c r="AC2" s="65"/>
      <c r="AD2" s="65"/>
      <c r="AE2" s="61"/>
      <c r="AF2" s="61"/>
      <c r="AG2" s="61" t="s">
        <v>32</v>
      </c>
      <c r="AH2" s="61"/>
      <c r="AI2" s="65"/>
      <c r="AJ2" s="61"/>
    </row>
    <row r="3" spans="1:36" x14ac:dyDescent="0.25">
      <c r="A3" s="63"/>
      <c r="B3" s="63"/>
      <c r="C3" s="64"/>
      <c r="D3" s="61"/>
      <c r="E3" s="61"/>
      <c r="F3" s="61"/>
      <c r="G3" s="61"/>
      <c r="H3" s="61"/>
      <c r="I3" s="61"/>
      <c r="J3" s="61"/>
      <c r="K3" s="61"/>
      <c r="L3" s="61"/>
      <c r="M3" s="61"/>
      <c r="N3" s="61"/>
      <c r="O3" s="61"/>
      <c r="P3" s="61"/>
      <c r="Q3" s="61"/>
      <c r="R3" s="61"/>
      <c r="S3" s="61"/>
      <c r="T3" s="61"/>
      <c r="U3" s="66"/>
      <c r="V3" s="66"/>
      <c r="W3" s="66"/>
      <c r="X3" s="66"/>
      <c r="Y3" s="66"/>
      <c r="Z3" s="65"/>
      <c r="AA3" s="67"/>
      <c r="AB3" s="67"/>
      <c r="AC3" s="65"/>
      <c r="AD3" s="65"/>
      <c r="AE3" s="61"/>
      <c r="AF3" s="61"/>
      <c r="AG3" s="61"/>
      <c r="AH3" s="61"/>
      <c r="AI3" s="65"/>
      <c r="AJ3" s="61"/>
    </row>
    <row r="4" spans="1:36" x14ac:dyDescent="0.25">
      <c r="A4" s="62" t="s">
        <v>1</v>
      </c>
      <c r="B4" s="62"/>
      <c r="C4" s="64"/>
      <c r="D4" s="61"/>
      <c r="E4" s="61"/>
      <c r="F4" s="61"/>
      <c r="G4" s="61"/>
      <c r="H4" s="61"/>
      <c r="I4" s="61"/>
      <c r="J4" s="61"/>
      <c r="K4" s="61"/>
      <c r="L4" s="61"/>
      <c r="M4" s="61"/>
      <c r="N4" s="61"/>
      <c r="O4" s="61"/>
      <c r="P4" s="61"/>
      <c r="Q4" s="61"/>
      <c r="R4" s="61"/>
      <c r="S4" s="61"/>
      <c r="T4" s="61"/>
      <c r="U4" s="66"/>
      <c r="V4" s="66"/>
      <c r="W4" s="66"/>
      <c r="X4" s="66"/>
      <c r="Y4" s="66"/>
      <c r="Z4" s="65"/>
      <c r="AA4" s="67"/>
      <c r="AB4" s="67"/>
      <c r="AC4" s="65"/>
      <c r="AD4" s="65"/>
      <c r="AE4" s="61"/>
      <c r="AF4" s="61"/>
      <c r="AG4" s="61"/>
      <c r="AH4" s="61"/>
      <c r="AI4" s="65"/>
      <c r="AJ4" s="61"/>
    </row>
    <row r="5" spans="1:36" x14ac:dyDescent="0.25">
      <c r="A5" s="62"/>
      <c r="B5" s="62"/>
      <c r="C5" s="64"/>
      <c r="D5" s="61"/>
      <c r="E5" s="61"/>
      <c r="F5" s="61"/>
      <c r="G5" s="61"/>
      <c r="H5" s="61"/>
      <c r="I5" s="61"/>
      <c r="J5" s="61"/>
      <c r="K5" s="61"/>
      <c r="L5" s="61"/>
      <c r="M5" s="61"/>
      <c r="N5" s="61"/>
      <c r="O5" s="61"/>
      <c r="P5" s="61"/>
      <c r="Q5" s="61"/>
      <c r="R5" s="61"/>
      <c r="S5" s="61"/>
      <c r="T5" s="61"/>
      <c r="U5" s="66"/>
      <c r="V5" s="66"/>
      <c r="W5" s="66"/>
      <c r="X5" s="66"/>
      <c r="Y5" s="66"/>
      <c r="Z5" s="65"/>
      <c r="AA5" s="67"/>
      <c r="AB5" s="67"/>
      <c r="AC5" s="65"/>
      <c r="AD5" s="65"/>
      <c r="AE5" s="61"/>
      <c r="AF5" s="61"/>
      <c r="AG5" s="61"/>
      <c r="AH5" s="61"/>
      <c r="AI5" s="65"/>
      <c r="AJ5" s="61"/>
    </row>
    <row r="6" spans="1:36" x14ac:dyDescent="0.25">
      <c r="A6" s="2"/>
      <c r="B6" s="2"/>
      <c r="C6" s="64"/>
      <c r="D6" s="61"/>
      <c r="E6" s="61"/>
      <c r="F6" s="61"/>
      <c r="G6" s="61"/>
      <c r="H6" s="61"/>
      <c r="I6" s="61"/>
      <c r="J6" s="61"/>
      <c r="K6" s="61"/>
      <c r="L6" s="61"/>
      <c r="M6" s="61"/>
      <c r="N6" s="61"/>
      <c r="O6" s="61"/>
      <c r="P6" s="61"/>
      <c r="Q6" s="61"/>
      <c r="R6" s="61"/>
      <c r="S6" s="61"/>
      <c r="T6" s="61"/>
      <c r="U6" s="66"/>
      <c r="V6" s="66"/>
      <c r="W6" s="66"/>
      <c r="X6" s="66"/>
      <c r="Y6" s="66"/>
      <c r="Z6" s="65"/>
      <c r="AA6" s="67"/>
      <c r="AB6" s="67"/>
      <c r="AC6" s="65"/>
      <c r="AD6" s="65"/>
      <c r="AE6" s="61"/>
      <c r="AF6" s="61"/>
      <c r="AG6" s="61"/>
      <c r="AH6" s="61"/>
      <c r="AI6" s="65"/>
      <c r="AJ6" s="61"/>
    </row>
    <row r="7" spans="1:36" s="3" customFormat="1" ht="13.5" customHeight="1" x14ac:dyDescent="0.25">
      <c r="A7" s="8" t="s">
        <v>43</v>
      </c>
    </row>
    <row r="8" spans="1:36" ht="13.5" customHeight="1" x14ac:dyDescent="0.25">
      <c r="A8" s="2"/>
      <c r="B8" s="2"/>
      <c r="C8" s="14"/>
      <c r="D8" s="9"/>
      <c r="E8" s="9"/>
      <c r="F8" s="9"/>
      <c r="G8" s="9"/>
      <c r="H8" s="9"/>
      <c r="I8" s="9"/>
      <c r="J8" s="9"/>
      <c r="K8" s="9"/>
      <c r="L8" s="9"/>
      <c r="M8" s="9"/>
      <c r="N8" s="9"/>
      <c r="O8" s="9"/>
      <c r="P8" s="9"/>
      <c r="Q8" s="9"/>
      <c r="R8" s="9"/>
      <c r="S8" s="9"/>
      <c r="T8" s="9"/>
      <c r="U8" s="11"/>
      <c r="V8" s="11"/>
      <c r="W8" s="11"/>
      <c r="X8" s="11"/>
      <c r="Y8" s="11"/>
      <c r="Z8" s="10"/>
      <c r="AA8" s="13"/>
      <c r="AB8" s="13"/>
      <c r="AC8" s="10"/>
      <c r="AD8" s="10"/>
      <c r="AE8" s="9"/>
      <c r="AF8" s="9"/>
      <c r="AG8" s="9"/>
      <c r="AH8" s="9"/>
      <c r="AI8" s="10"/>
      <c r="AJ8" s="9"/>
    </row>
    <row r="9" spans="1:36" ht="13.5" customHeight="1" x14ac:dyDescent="0.25">
      <c r="A9" s="2"/>
      <c r="B9" s="2"/>
      <c r="C9" s="14"/>
      <c r="D9" s="9"/>
      <c r="E9" s="9"/>
      <c r="F9" s="9"/>
      <c r="G9" s="9"/>
      <c r="H9" s="9"/>
      <c r="I9" s="9"/>
      <c r="J9" s="9"/>
      <c r="K9" s="9"/>
      <c r="L9" s="9"/>
      <c r="M9" s="9"/>
      <c r="N9" s="9"/>
      <c r="O9" s="9"/>
      <c r="P9" s="9"/>
      <c r="Q9" s="9"/>
      <c r="R9" s="9"/>
      <c r="S9" s="9"/>
      <c r="T9" s="9"/>
      <c r="U9" s="11"/>
      <c r="V9" s="11"/>
      <c r="W9" s="11"/>
      <c r="X9" s="11"/>
      <c r="Y9" s="11"/>
      <c r="Z9" s="10"/>
      <c r="AA9" s="13"/>
      <c r="AB9" s="13"/>
      <c r="AC9" s="10"/>
      <c r="AD9" s="10"/>
      <c r="AE9" s="9"/>
      <c r="AF9" s="9"/>
      <c r="AG9" s="9"/>
      <c r="AH9" s="9"/>
      <c r="AI9" s="10"/>
      <c r="AJ9" s="9"/>
    </row>
    <row r="10" spans="1:36" ht="13.5" customHeight="1" x14ac:dyDescent="0.25"/>
    <row r="11" spans="1:36" s="3" customFormat="1" ht="13.5" customHeight="1" x14ac:dyDescent="0.25">
      <c r="A11" s="8" t="s">
        <v>45</v>
      </c>
      <c r="B11" s="8"/>
      <c r="C11" s="8"/>
    </row>
    <row r="12" spans="1:36" s="8" customFormat="1" ht="13.5" customHeight="1" x14ac:dyDescent="0.2">
      <c r="A12" s="8" t="s">
        <v>44</v>
      </c>
    </row>
    <row r="13" spans="1:36" ht="13.5" customHeight="1" x14ac:dyDescent="0.25"/>
    <row r="14" spans="1:36" ht="13.5" customHeight="1" x14ac:dyDescent="0.25"/>
    <row r="15" spans="1:36" s="8" customFormat="1" ht="13.5" customHeight="1" x14ac:dyDescent="0.2">
      <c r="A15" s="8" t="s">
        <v>47</v>
      </c>
    </row>
    <row r="16" spans="1:36" ht="13.5" customHeight="1" x14ac:dyDescent="0.25"/>
    <row r="17" spans="1:1" ht="13.5" customHeight="1" x14ac:dyDescent="0.25"/>
    <row r="18" spans="1:1" s="8" customFormat="1" ht="13.5" customHeight="1" x14ac:dyDescent="0.2">
      <c r="A18" s="8" t="s">
        <v>46</v>
      </c>
    </row>
    <row r="19" spans="1:1" ht="13.5" customHeight="1" x14ac:dyDescent="0.25"/>
    <row r="20" spans="1:1" ht="13.5" customHeight="1" x14ac:dyDescent="0.25"/>
    <row r="21" spans="1:1" s="8" customFormat="1" ht="13.5" customHeight="1" x14ac:dyDescent="0.2">
      <c r="A21" s="8" t="s">
        <v>48</v>
      </c>
    </row>
    <row r="22" spans="1:1" ht="13.5" customHeight="1" x14ac:dyDescent="0.25"/>
    <row r="23" spans="1:1" ht="13.5" customHeight="1" x14ac:dyDescent="0.25"/>
    <row r="24" spans="1:1" s="8" customFormat="1" ht="13.5" customHeight="1" x14ac:dyDescent="0.2">
      <c r="A24" s="8" t="s">
        <v>49</v>
      </c>
    </row>
    <row r="25" spans="1:1" ht="13.5" customHeight="1" x14ac:dyDescent="0.25"/>
    <row r="26" spans="1:1" ht="13.5" customHeight="1" x14ac:dyDescent="0.25"/>
    <row r="27" spans="1:1" s="8" customFormat="1" ht="13.5" customHeight="1" x14ac:dyDescent="0.2">
      <c r="A27" s="8" t="s">
        <v>50</v>
      </c>
    </row>
    <row r="28" spans="1:1" ht="13.5" customHeight="1" x14ac:dyDescent="0.25"/>
    <row r="29" spans="1:1" ht="13.5" customHeight="1" x14ac:dyDescent="0.25"/>
    <row r="30" spans="1:1" s="8" customFormat="1" ht="13.5" customHeight="1" x14ac:dyDescent="0.2">
      <c r="A30" s="8" t="s">
        <v>51</v>
      </c>
    </row>
    <row r="31" spans="1:1" ht="13.5" customHeight="1" x14ac:dyDescent="0.25"/>
    <row r="32" spans="1:1" ht="13.5" customHeight="1" x14ac:dyDescent="0.25"/>
    <row r="33" spans="1:36" s="8" customFormat="1" ht="13.5" customHeight="1" x14ac:dyDescent="0.2">
      <c r="A33" s="8" t="s">
        <v>52</v>
      </c>
    </row>
    <row r="34" spans="1:36" ht="13.5" customHeight="1" x14ac:dyDescent="0.25">
      <c r="A34" t="s">
        <v>91</v>
      </c>
      <c r="C34" t="s">
        <v>80</v>
      </c>
      <c r="T34">
        <v>1</v>
      </c>
      <c r="AJ34">
        <v>1</v>
      </c>
    </row>
    <row r="35" spans="1:36" ht="13.5" customHeight="1" x14ac:dyDescent="0.25">
      <c r="A35" t="s">
        <v>92</v>
      </c>
      <c r="C35" t="s">
        <v>80</v>
      </c>
      <c r="T35">
        <v>2</v>
      </c>
      <c r="AJ35">
        <v>2</v>
      </c>
    </row>
    <row r="36" spans="1:36" s="8" customFormat="1" ht="13.5" customHeight="1" x14ac:dyDescent="0.2">
      <c r="A36" s="8" t="s">
        <v>53</v>
      </c>
    </row>
    <row r="37" spans="1:36" ht="13.5" customHeight="1" x14ac:dyDescent="0.25">
      <c r="A37" t="s">
        <v>93</v>
      </c>
      <c r="C37" t="s">
        <v>80</v>
      </c>
      <c r="T37">
        <v>1</v>
      </c>
      <c r="AJ37">
        <v>1</v>
      </c>
    </row>
    <row r="38" spans="1:36" ht="13.5" customHeight="1" x14ac:dyDescent="0.25">
      <c r="A38" t="s">
        <v>94</v>
      </c>
      <c r="C38" t="s">
        <v>80</v>
      </c>
      <c r="T38">
        <v>2</v>
      </c>
      <c r="AJ38">
        <v>2</v>
      </c>
    </row>
    <row r="39" spans="1:36" s="8" customFormat="1" ht="13.5" customHeight="1" x14ac:dyDescent="0.2">
      <c r="A39" s="8" t="s">
        <v>54</v>
      </c>
    </row>
    <row r="40" spans="1:36" ht="13.5" customHeight="1" x14ac:dyDescent="0.25"/>
    <row r="41" spans="1:36" ht="13.5" customHeight="1" x14ac:dyDescent="0.25"/>
    <row r="42" spans="1:36" s="8" customFormat="1" ht="13.5" customHeight="1" x14ac:dyDescent="0.2">
      <c r="A42" s="8" t="s">
        <v>55</v>
      </c>
    </row>
    <row r="43" spans="1:36" ht="13.5" customHeight="1" x14ac:dyDescent="0.25"/>
    <row r="44" spans="1:36" ht="13.5" customHeight="1" x14ac:dyDescent="0.25"/>
    <row r="45" spans="1:36" s="8" customFormat="1" ht="13.5" customHeight="1" x14ac:dyDescent="0.2">
      <c r="A45" s="8" t="s">
        <v>56</v>
      </c>
    </row>
    <row r="46" spans="1:36" ht="13.5" customHeight="1" x14ac:dyDescent="0.25">
      <c r="A46" t="s">
        <v>95</v>
      </c>
      <c r="C46" t="s">
        <v>80</v>
      </c>
      <c r="V46" s="8">
        <v>1</v>
      </c>
      <c r="AJ46">
        <v>1</v>
      </c>
    </row>
    <row r="47" spans="1:36" ht="13.5" customHeight="1" x14ac:dyDescent="0.25"/>
    <row r="48" spans="1:36" s="8" customFormat="1" ht="13.5" customHeight="1" x14ac:dyDescent="0.2">
      <c r="A48" s="8" t="s">
        <v>57</v>
      </c>
    </row>
    <row r="49" spans="1:36" ht="13.5" customHeight="1" x14ac:dyDescent="0.25">
      <c r="A49" t="s">
        <v>96</v>
      </c>
      <c r="C49" t="s">
        <v>80</v>
      </c>
      <c r="V49">
        <v>1</v>
      </c>
      <c r="AJ49">
        <v>1</v>
      </c>
    </row>
    <row r="50" spans="1:36" ht="13.5" customHeight="1" x14ac:dyDescent="0.25"/>
    <row r="51" spans="1:36" s="8" customFormat="1" ht="13.5" customHeight="1" x14ac:dyDescent="0.2">
      <c r="A51" s="8" t="s">
        <v>58</v>
      </c>
    </row>
    <row r="52" spans="1:36" ht="13.5" customHeight="1" x14ac:dyDescent="0.25">
      <c r="A52" t="s">
        <v>85</v>
      </c>
      <c r="C52" s="12" t="s">
        <v>79</v>
      </c>
    </row>
    <row r="53" spans="1:36" ht="13.5" customHeight="1" x14ac:dyDescent="0.25">
      <c r="A53" t="s">
        <v>97</v>
      </c>
      <c r="C53" t="s">
        <v>80</v>
      </c>
      <c r="W53">
        <v>1</v>
      </c>
      <c r="AJ53">
        <v>1</v>
      </c>
    </row>
    <row r="54" spans="1:36" s="8" customFormat="1" ht="13.5" customHeight="1" x14ac:dyDescent="0.2">
      <c r="A54" s="8" t="s">
        <v>59</v>
      </c>
    </row>
    <row r="55" spans="1:36" ht="13.5" customHeight="1" x14ac:dyDescent="0.25"/>
    <row r="56" spans="1:36" ht="13.5" customHeight="1" x14ac:dyDescent="0.25"/>
    <row r="57" spans="1:36" s="8" customFormat="1" ht="13.5" customHeight="1" x14ac:dyDescent="0.2">
      <c r="A57" s="8" t="s">
        <v>60</v>
      </c>
    </row>
    <row r="58" spans="1:36" ht="13.5" customHeight="1" x14ac:dyDescent="0.25">
      <c r="A58" t="s">
        <v>81</v>
      </c>
      <c r="C58" s="12" t="s">
        <v>80</v>
      </c>
    </row>
    <row r="59" spans="1:36" ht="13.5" customHeight="1" x14ac:dyDescent="0.25">
      <c r="A59" t="s">
        <v>109</v>
      </c>
      <c r="C59" t="s">
        <v>80</v>
      </c>
      <c r="Y59">
        <v>1</v>
      </c>
      <c r="AJ59">
        <v>1</v>
      </c>
    </row>
    <row r="60" spans="1:36" s="8" customFormat="1" ht="13.5" customHeight="1" x14ac:dyDescent="0.2">
      <c r="A60" s="8" t="s">
        <v>61</v>
      </c>
    </row>
    <row r="61" spans="1:36" ht="13.5" customHeight="1" x14ac:dyDescent="0.25">
      <c r="A61" t="s">
        <v>82</v>
      </c>
      <c r="C61" s="12" t="s">
        <v>80</v>
      </c>
    </row>
    <row r="62" spans="1:36" ht="13.5" customHeight="1" x14ac:dyDescent="0.25">
      <c r="A62" t="s">
        <v>86</v>
      </c>
      <c r="C62" s="12" t="s">
        <v>79</v>
      </c>
    </row>
    <row r="63" spans="1:36" s="17" customFormat="1" ht="13.5" customHeight="1" x14ac:dyDescent="0.25">
      <c r="A63" s="17" t="s">
        <v>87</v>
      </c>
      <c r="C63" s="18" t="s">
        <v>79</v>
      </c>
      <c r="Y63" s="17">
        <v>1</v>
      </c>
      <c r="AJ63" s="17">
        <v>1</v>
      </c>
    </row>
    <row r="64" spans="1:36" s="17" customFormat="1" ht="13.5" customHeight="1" x14ac:dyDescent="0.25">
      <c r="A64" s="17" t="s">
        <v>110</v>
      </c>
      <c r="C64" s="18" t="s">
        <v>80</v>
      </c>
      <c r="Y64" s="17">
        <v>1</v>
      </c>
      <c r="AJ64" s="17">
        <v>1</v>
      </c>
    </row>
    <row r="65" spans="1:1" s="3" customFormat="1" ht="13.5" customHeight="1" x14ac:dyDescent="0.25">
      <c r="A65" s="8" t="s">
        <v>62</v>
      </c>
    </row>
    <row r="66" spans="1:1" ht="13.5" customHeight="1" x14ac:dyDescent="0.25"/>
    <row r="67" spans="1:1" ht="13.5" customHeight="1" x14ac:dyDescent="0.25"/>
    <row r="68" spans="1:1" s="15" customFormat="1" ht="13.5" customHeight="1" x14ac:dyDescent="0.2">
      <c r="A68" s="8" t="s">
        <v>63</v>
      </c>
    </row>
    <row r="69" spans="1:1" ht="13.5" customHeight="1" x14ac:dyDescent="0.25"/>
    <row r="70" spans="1:1" ht="13.5" customHeight="1" x14ac:dyDescent="0.25"/>
    <row r="71" spans="1:1" s="8" customFormat="1" ht="13.5" customHeight="1" x14ac:dyDescent="0.2">
      <c r="A71" s="8" t="s">
        <v>64</v>
      </c>
    </row>
    <row r="72" spans="1:1" ht="13.5" customHeight="1" x14ac:dyDescent="0.25"/>
    <row r="73" spans="1:1" ht="13.5" customHeight="1" x14ac:dyDescent="0.25"/>
    <row r="74" spans="1:1" s="3" customFormat="1" ht="13.5" customHeight="1" x14ac:dyDescent="0.25">
      <c r="A74" s="8" t="s">
        <v>65</v>
      </c>
    </row>
    <row r="75" spans="1:1" ht="13.5" customHeight="1" x14ac:dyDescent="0.25"/>
    <row r="76" spans="1:1" ht="13.5" customHeight="1" x14ac:dyDescent="0.25"/>
    <row r="77" spans="1:1" s="8" customFormat="1" ht="13.5" customHeight="1" x14ac:dyDescent="0.2">
      <c r="A77" s="8" t="s">
        <v>66</v>
      </c>
    </row>
    <row r="78" spans="1:1" ht="13.5" customHeight="1" x14ac:dyDescent="0.25"/>
    <row r="79" spans="1:1" ht="13.5" customHeight="1" x14ac:dyDescent="0.25"/>
    <row r="80" spans="1:1" s="8" customFormat="1" ht="13.5" customHeight="1" x14ac:dyDescent="0.2">
      <c r="A80" s="8" t="s">
        <v>67</v>
      </c>
    </row>
    <row r="81" spans="1:36" ht="13.5" customHeight="1" x14ac:dyDescent="0.25">
      <c r="A81" t="s">
        <v>83</v>
      </c>
      <c r="C81" s="12" t="s">
        <v>80</v>
      </c>
    </row>
    <row r="82" spans="1:36" ht="13.5" customHeight="1" x14ac:dyDescent="0.25">
      <c r="A82" t="s">
        <v>89</v>
      </c>
      <c r="C82" t="s">
        <v>80</v>
      </c>
      <c r="AC82">
        <v>1</v>
      </c>
      <c r="AJ82">
        <v>1</v>
      </c>
    </row>
    <row r="83" spans="1:36" s="17" customFormat="1" ht="13.5" customHeight="1" x14ac:dyDescent="0.25">
      <c r="A83" s="17" t="s">
        <v>90</v>
      </c>
      <c r="C83" s="17" t="s">
        <v>79</v>
      </c>
      <c r="AC83" s="17">
        <v>2</v>
      </c>
      <c r="AJ83" s="17">
        <v>2</v>
      </c>
    </row>
    <row r="84" spans="1:36" s="8" customFormat="1" ht="13.5" customHeight="1" x14ac:dyDescent="0.2">
      <c r="A84" s="8" t="s">
        <v>68</v>
      </c>
    </row>
    <row r="85" spans="1:36" ht="13.5" customHeight="1" x14ac:dyDescent="0.25">
      <c r="A85" t="s">
        <v>84</v>
      </c>
      <c r="C85" s="12" t="s">
        <v>80</v>
      </c>
    </row>
    <row r="86" spans="1:36" ht="13.5" customHeight="1" x14ac:dyDescent="0.25">
      <c r="A86" t="s">
        <v>111</v>
      </c>
      <c r="C86" t="s">
        <v>79</v>
      </c>
      <c r="AC86">
        <v>2</v>
      </c>
      <c r="AJ86">
        <v>2</v>
      </c>
    </row>
    <row r="87" spans="1:36" s="3" customFormat="1" ht="13.5" customHeight="1" x14ac:dyDescent="0.25">
      <c r="A87" s="8" t="s">
        <v>69</v>
      </c>
    </row>
    <row r="88" spans="1:36" ht="13.5" customHeight="1" x14ac:dyDescent="0.25">
      <c r="A88" t="s">
        <v>88</v>
      </c>
      <c r="C88" t="s">
        <v>79</v>
      </c>
      <c r="AD88">
        <v>1</v>
      </c>
      <c r="AJ88">
        <v>1</v>
      </c>
    </row>
    <row r="89" spans="1:36" ht="13.5" customHeight="1" x14ac:dyDescent="0.25">
      <c r="A89" t="s">
        <v>98</v>
      </c>
      <c r="C89" t="s">
        <v>80</v>
      </c>
      <c r="AD89">
        <v>1</v>
      </c>
      <c r="AJ89">
        <v>1</v>
      </c>
    </row>
    <row r="90" spans="1:36" s="17" customFormat="1" ht="13.5" customHeight="1" x14ac:dyDescent="0.25">
      <c r="A90" s="17" t="s">
        <v>99</v>
      </c>
      <c r="C90" s="17" t="s">
        <v>80</v>
      </c>
      <c r="AD90" s="17">
        <v>5</v>
      </c>
      <c r="AJ90" s="17">
        <v>5</v>
      </c>
    </row>
    <row r="91" spans="1:36" s="17" customFormat="1" ht="13.5" customHeight="1" x14ac:dyDescent="0.25">
      <c r="A91" s="17" t="s">
        <v>100</v>
      </c>
      <c r="C91" s="17" t="s">
        <v>80</v>
      </c>
      <c r="AD91" s="17">
        <v>2</v>
      </c>
      <c r="AJ91" s="17">
        <v>2</v>
      </c>
    </row>
    <row r="92" spans="1:36" s="17" customFormat="1" ht="13.5" customHeight="1" x14ac:dyDescent="0.25">
      <c r="A92" s="17" t="s">
        <v>101</v>
      </c>
      <c r="C92" s="17" t="s">
        <v>80</v>
      </c>
      <c r="AD92" s="17">
        <v>1</v>
      </c>
      <c r="AJ92" s="17">
        <v>1</v>
      </c>
    </row>
    <row r="93" spans="1:36" s="17" customFormat="1" ht="13.5" customHeight="1" x14ac:dyDescent="0.25">
      <c r="A93" s="17" t="s">
        <v>102</v>
      </c>
      <c r="C93" s="17" t="s">
        <v>80</v>
      </c>
      <c r="AD93" s="17">
        <v>1</v>
      </c>
      <c r="AJ93" s="17">
        <v>1</v>
      </c>
    </row>
    <row r="94" spans="1:36" s="3" customFormat="1" ht="13.5" customHeight="1" x14ac:dyDescent="0.25">
      <c r="A94" s="8" t="s">
        <v>70</v>
      </c>
    </row>
    <row r="95" spans="1:36" ht="13.5" customHeight="1" x14ac:dyDescent="0.25">
      <c r="A95" t="s">
        <v>103</v>
      </c>
      <c r="C95" t="s">
        <v>80</v>
      </c>
      <c r="AD95">
        <v>1</v>
      </c>
      <c r="AJ95">
        <v>1</v>
      </c>
    </row>
    <row r="96" spans="1:36" ht="13.5" customHeight="1" x14ac:dyDescent="0.25">
      <c r="A96" t="s">
        <v>104</v>
      </c>
      <c r="C96" t="s">
        <v>80</v>
      </c>
      <c r="AD96">
        <v>2</v>
      </c>
      <c r="AJ96">
        <v>2</v>
      </c>
    </row>
    <row r="97" spans="1:37" s="3" customFormat="1" ht="13.5" customHeight="1" x14ac:dyDescent="0.25">
      <c r="A97" s="8" t="s">
        <v>71</v>
      </c>
    </row>
    <row r="98" spans="1:37" ht="13.5" customHeight="1" x14ac:dyDescent="0.25">
      <c r="A98" t="s">
        <v>105</v>
      </c>
      <c r="C98" t="s">
        <v>80</v>
      </c>
      <c r="AF98">
        <v>1</v>
      </c>
      <c r="AJ98">
        <v>1</v>
      </c>
    </row>
    <row r="99" spans="1:37" ht="13.5" customHeight="1" x14ac:dyDescent="0.25">
      <c r="A99" t="s">
        <v>106</v>
      </c>
      <c r="C99" t="s">
        <v>80</v>
      </c>
      <c r="AF99">
        <v>1</v>
      </c>
      <c r="AJ99">
        <v>1</v>
      </c>
    </row>
    <row r="100" spans="1:37" s="8" customFormat="1" ht="13.5" customHeight="1" x14ac:dyDescent="0.2">
      <c r="A100" s="8" t="s">
        <v>72</v>
      </c>
    </row>
    <row r="101" spans="1:37" ht="13.5" customHeight="1" x14ac:dyDescent="0.25"/>
    <row r="102" spans="1:37" ht="13.5" customHeight="1" x14ac:dyDescent="0.25"/>
    <row r="103" spans="1:37" s="3" customFormat="1" ht="13.5" customHeight="1" x14ac:dyDescent="0.25">
      <c r="A103" s="8" t="s">
        <v>73</v>
      </c>
    </row>
    <row r="104" spans="1:37" ht="13.5" customHeight="1" x14ac:dyDescent="0.25"/>
    <row r="105" spans="1:37" ht="13.5" customHeight="1" x14ac:dyDescent="0.25"/>
    <row r="106" spans="1:37" s="8" customFormat="1" ht="13.5" customHeight="1" x14ac:dyDescent="0.2">
      <c r="A106" s="8" t="s">
        <v>74</v>
      </c>
    </row>
    <row r="107" spans="1:37" ht="13.5" customHeight="1" x14ac:dyDescent="0.25"/>
    <row r="108" spans="1:37" ht="13.5" customHeight="1" x14ac:dyDescent="0.25"/>
    <row r="109" spans="1:37" s="8" customFormat="1" ht="13.5" customHeight="1" x14ac:dyDescent="0.2">
      <c r="A109" s="8" t="s">
        <v>75</v>
      </c>
    </row>
    <row r="110" spans="1:37" ht="13.5" customHeight="1" x14ac:dyDescent="0.25">
      <c r="A110" t="s">
        <v>107</v>
      </c>
      <c r="C110" t="s">
        <v>80</v>
      </c>
      <c r="AH110">
        <v>1</v>
      </c>
      <c r="AK110">
        <v>1</v>
      </c>
    </row>
    <row r="111" spans="1:37" ht="13.5" customHeight="1" x14ac:dyDescent="0.25"/>
    <row r="112" spans="1:37" s="8" customFormat="1" ht="13.5" customHeight="1" x14ac:dyDescent="0.2">
      <c r="A112" s="8" t="s">
        <v>76</v>
      </c>
    </row>
    <row r="113" spans="1:37" ht="13.5" customHeight="1" x14ac:dyDescent="0.25">
      <c r="A113" t="s">
        <v>108</v>
      </c>
      <c r="C113" t="s">
        <v>80</v>
      </c>
      <c r="AH113">
        <v>1</v>
      </c>
      <c r="AK113">
        <v>1</v>
      </c>
    </row>
    <row r="114" spans="1:37" ht="13.5" customHeight="1" x14ac:dyDescent="0.25"/>
    <row r="115" spans="1:37" s="8" customFormat="1" ht="13.5" customHeight="1" x14ac:dyDescent="0.2">
      <c r="A115" s="8" t="s">
        <v>77</v>
      </c>
    </row>
    <row r="116" spans="1:37" ht="13.5" customHeight="1" x14ac:dyDescent="0.25"/>
    <row r="117" spans="1:37" ht="13.5" customHeight="1" x14ac:dyDescent="0.25"/>
    <row r="118" spans="1:37" s="8" customFormat="1" ht="13.5" customHeight="1" x14ac:dyDescent="0.2">
      <c r="A118" s="8" t="s">
        <v>78</v>
      </c>
    </row>
  </sheetData>
  <mergeCells count="36">
    <mergeCell ref="AF1:AF6"/>
    <mergeCell ref="AH1:AH6"/>
    <mergeCell ref="AI1:AI6"/>
    <mergeCell ref="AJ1:AJ6"/>
    <mergeCell ref="AG2:AG6"/>
    <mergeCell ref="S1:S6"/>
    <mergeCell ref="H1:H6"/>
    <mergeCell ref="I1:I6"/>
    <mergeCell ref="J1:J6"/>
    <mergeCell ref="K1:K6"/>
    <mergeCell ref="L1:L6"/>
    <mergeCell ref="N1:N6"/>
    <mergeCell ref="O1:O6"/>
    <mergeCell ref="P1:P6"/>
    <mergeCell ref="Q1:Q6"/>
    <mergeCell ref="R1:R6"/>
    <mergeCell ref="M1:M6"/>
    <mergeCell ref="AD1:AD6"/>
    <mergeCell ref="AE1:AE6"/>
    <mergeCell ref="T1:T6"/>
    <mergeCell ref="U1:U6"/>
    <mergeCell ref="V1:V6"/>
    <mergeCell ref="W1:W6"/>
    <mergeCell ref="X1:X6"/>
    <mergeCell ref="Y1:Y6"/>
    <mergeCell ref="Z1:Z6"/>
    <mergeCell ref="AA1:AA6"/>
    <mergeCell ref="AB1:AB6"/>
    <mergeCell ref="AC1:AC6"/>
    <mergeCell ref="G1:G6"/>
    <mergeCell ref="A4:B5"/>
    <mergeCell ref="A1:B3"/>
    <mergeCell ref="C1:C6"/>
    <mergeCell ref="D1:D6"/>
    <mergeCell ref="E1:E6"/>
    <mergeCell ref="F1:F6"/>
  </mergeCells>
  <pageMargins left="0.7" right="0.7" top="0.75" bottom="0.75" header="0.3" footer="0.3"/>
  <pageSetup scale="4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8"/>
  <sheetViews>
    <sheetView workbookViewId="0">
      <selection activeCell="A2" sqref="A2"/>
    </sheetView>
  </sheetViews>
  <sheetFormatPr defaultRowHeight="15" x14ac:dyDescent="0.25"/>
  <sheetData>
    <row r="1" spans="1:35" ht="15.75" customHeight="1" x14ac:dyDescent="0.25">
      <c r="A1" s="4" t="s">
        <v>36</v>
      </c>
      <c r="G1" s="18"/>
      <c r="S1" s="22"/>
      <c r="T1" s="22"/>
      <c r="AI1" s="23"/>
    </row>
    <row r="2" spans="1:35" x14ac:dyDescent="0.25">
      <c r="A2" s="21" t="s">
        <v>114</v>
      </c>
      <c r="G2" s="18"/>
      <c r="S2" s="22"/>
      <c r="T2" s="22"/>
      <c r="AI2" s="23"/>
    </row>
    <row r="3" spans="1:35" x14ac:dyDescent="0.25">
      <c r="A3" t="s">
        <v>115</v>
      </c>
      <c r="G3" s="18"/>
      <c r="S3" s="22"/>
      <c r="T3" s="22"/>
      <c r="AI3" s="23"/>
    </row>
    <row r="4" spans="1:35" s="25" customFormat="1" x14ac:dyDescent="0.25">
      <c r="A4" s="25" t="s">
        <v>116</v>
      </c>
      <c r="G4" s="26"/>
      <c r="AI4" s="23"/>
    </row>
    <row r="5" spans="1:35" x14ac:dyDescent="0.25">
      <c r="A5" t="s">
        <v>37</v>
      </c>
      <c r="G5" s="18"/>
      <c r="S5" s="22"/>
      <c r="T5" s="22"/>
      <c r="AI5" s="23"/>
    </row>
    <row r="6" spans="1:35" x14ac:dyDescent="0.25">
      <c r="G6" s="18"/>
      <c r="S6" s="22"/>
      <c r="T6" s="22"/>
      <c r="AI6" s="23"/>
    </row>
    <row r="7" spans="1:35" x14ac:dyDescent="0.25">
      <c r="A7" t="s">
        <v>38</v>
      </c>
      <c r="G7" s="18"/>
      <c r="S7" s="22"/>
      <c r="T7" s="22"/>
      <c r="AI7" s="23"/>
    </row>
    <row r="8" spans="1:35" x14ac:dyDescent="0.25">
      <c r="G8" s="18"/>
      <c r="S8" s="22"/>
      <c r="T8" s="22"/>
      <c r="AI8" s="23"/>
    </row>
    <row r="9" spans="1:35" x14ac:dyDescent="0.25">
      <c r="G9" s="18"/>
      <c r="S9" s="22"/>
      <c r="T9" s="22"/>
      <c r="AI9" s="23"/>
    </row>
    <row r="10" spans="1:35" ht="15.75" thickBot="1" x14ac:dyDescent="0.3">
      <c r="A10" s="6"/>
      <c r="B10" s="6"/>
      <c r="C10" s="6"/>
      <c r="D10" s="6"/>
      <c r="E10" s="6"/>
      <c r="F10" s="6"/>
      <c r="G10" s="20"/>
      <c r="S10" s="22"/>
      <c r="T10" s="22"/>
      <c r="AI10" s="23"/>
    </row>
    <row r="11" spans="1:35" x14ac:dyDescent="0.25">
      <c r="A11" t="s">
        <v>39</v>
      </c>
      <c r="G11" s="18"/>
      <c r="S11" s="22"/>
      <c r="T11" s="22"/>
      <c r="AI11" s="23"/>
    </row>
    <row r="12" spans="1:35" x14ac:dyDescent="0.25">
      <c r="G12" s="18"/>
      <c r="S12" s="22"/>
      <c r="T12" s="22"/>
      <c r="AI12" s="23"/>
    </row>
    <row r="13" spans="1:35" x14ac:dyDescent="0.25">
      <c r="G13" s="18"/>
      <c r="S13" s="22"/>
      <c r="T13" s="22"/>
      <c r="AI13" s="23"/>
    </row>
    <row r="14" spans="1:35" x14ac:dyDescent="0.25">
      <c r="G14" s="18"/>
      <c r="S14" s="22"/>
      <c r="T14" s="22"/>
      <c r="AI14" s="23"/>
    </row>
    <row r="15" spans="1:35" ht="15.75" thickBot="1" x14ac:dyDescent="0.3">
      <c r="A15" s="5"/>
      <c r="B15" s="6"/>
      <c r="C15" s="6"/>
      <c r="D15" s="6"/>
      <c r="E15" s="6"/>
      <c r="F15" s="6"/>
      <c r="G15" s="20"/>
      <c r="S15" s="22"/>
      <c r="T15" s="22"/>
      <c r="AI15" s="23"/>
    </row>
    <row r="16" spans="1:35" x14ac:dyDescent="0.25">
      <c r="A16" t="s">
        <v>112</v>
      </c>
      <c r="G16" s="18"/>
      <c r="S16" s="22"/>
      <c r="T16" s="22"/>
      <c r="AI16" s="23"/>
    </row>
    <row r="17" spans="1:35" x14ac:dyDescent="0.25">
      <c r="G17" s="18"/>
      <c r="S17" s="22"/>
      <c r="T17" s="22"/>
      <c r="AI17" s="23"/>
    </row>
    <row r="18" spans="1:35" x14ac:dyDescent="0.25">
      <c r="G18" s="18"/>
      <c r="S18" s="22"/>
      <c r="T18" s="22"/>
      <c r="AI18" s="23"/>
    </row>
    <row r="19" spans="1:35" x14ac:dyDescent="0.25">
      <c r="G19" s="18"/>
      <c r="S19" s="22"/>
      <c r="T19" s="22"/>
      <c r="AI19" s="23"/>
    </row>
    <row r="20" spans="1:35" ht="15.75" thickBot="1" x14ac:dyDescent="0.3">
      <c r="A20" s="5" t="s">
        <v>40</v>
      </c>
      <c r="B20" s="6" t="s">
        <v>41</v>
      </c>
      <c r="C20" s="7"/>
      <c r="D20" s="6" t="s">
        <v>40</v>
      </c>
      <c r="E20" s="6"/>
      <c r="F20" s="6"/>
      <c r="G20" s="20"/>
      <c r="S20" s="22"/>
      <c r="T20" s="22"/>
      <c r="AI20" s="23"/>
    </row>
    <row r="21" spans="1:35" x14ac:dyDescent="0.25">
      <c r="A21" t="s">
        <v>42</v>
      </c>
      <c r="G21" s="18"/>
      <c r="S21" s="22"/>
      <c r="T21" s="22"/>
      <c r="AI21" s="23"/>
    </row>
    <row r="22" spans="1:35" x14ac:dyDescent="0.25">
      <c r="G22" s="18"/>
      <c r="S22" s="22"/>
      <c r="T22" s="22"/>
      <c r="AI22" s="23"/>
    </row>
    <row r="23" spans="1:35" x14ac:dyDescent="0.25">
      <c r="G23" s="18"/>
      <c r="S23" s="22"/>
      <c r="T23" s="22"/>
      <c r="AI23" s="23"/>
    </row>
    <row r="24" spans="1:35" x14ac:dyDescent="0.25">
      <c r="G24" s="18"/>
      <c r="S24" s="22"/>
      <c r="T24" s="22"/>
      <c r="AI24" s="23"/>
    </row>
    <row r="25" spans="1:35" ht="15.75" thickBot="1" x14ac:dyDescent="0.3">
      <c r="A25" s="6"/>
      <c r="B25" s="6"/>
      <c r="C25" s="6"/>
      <c r="D25" s="6"/>
      <c r="E25" s="6"/>
      <c r="F25" s="6"/>
      <c r="G25" s="20"/>
      <c r="S25" s="22"/>
      <c r="T25" s="22"/>
      <c r="AI25" s="23"/>
    </row>
    <row r="26" spans="1:35" x14ac:dyDescent="0.25">
      <c r="A26" t="s">
        <v>113</v>
      </c>
      <c r="G26" s="18"/>
      <c r="S26" s="22"/>
      <c r="T26" s="22"/>
      <c r="AI26" s="23"/>
    </row>
    <row r="27" spans="1:35" x14ac:dyDescent="0.25">
      <c r="G27" s="18"/>
      <c r="S27" s="22"/>
      <c r="T27" s="22"/>
      <c r="AI27" s="23"/>
    </row>
    <row r="28" spans="1:35" x14ac:dyDescent="0.25">
      <c r="G28" s="18"/>
      <c r="S28" s="22"/>
      <c r="T28" s="22"/>
      <c r="AI28" s="23"/>
    </row>
  </sheetData>
  <pageMargins left="0.7" right="0.7" top="0.75" bottom="0.75" header="0.3" footer="0.3"/>
  <pageSetup paperSize="52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Sign Page</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 Seibel</dc:creator>
  <cp:lastModifiedBy>Michelle Fowler</cp:lastModifiedBy>
  <cp:lastPrinted>2024-12-04T15:28:59Z</cp:lastPrinted>
  <dcterms:created xsi:type="dcterms:W3CDTF">2012-10-14T00:55:13Z</dcterms:created>
  <dcterms:modified xsi:type="dcterms:W3CDTF">2024-12-04T15:31:18Z</dcterms:modified>
</cp:coreProperties>
</file>