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Users\Clerk\Desktop\Election\2024\"/>
    </mc:Choice>
  </mc:AlternateContent>
  <xr:revisionPtr revIDLastSave="0" documentId="8_{4721DA5D-DCAC-40E2-B207-C9798FA96371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National" sheetId="1" r:id="rId1"/>
    <sheet name="State" sheetId="24" r:id="rId2"/>
    <sheet name="Judge" sheetId="25" r:id="rId3"/>
    <sheet name="County" sheetId="26" r:id="rId4"/>
    <sheet name="Court Judges" sheetId="28" r:id="rId5"/>
    <sheet name="Hospital" sheetId="27" r:id="rId6"/>
    <sheet name="Hoxie" sheetId="30" r:id="rId7"/>
    <sheet name="Township" sheetId="3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8" i="31" l="1"/>
  <c r="E28" i="31"/>
  <c r="V27" i="31"/>
  <c r="U27" i="31"/>
  <c r="U28" i="31" s="1"/>
  <c r="T27" i="31"/>
  <c r="S27" i="31"/>
  <c r="R27" i="31"/>
  <c r="Q27" i="31"/>
  <c r="Q28" i="31" s="1"/>
  <c r="O27" i="31"/>
  <c r="N27" i="31"/>
  <c r="M27" i="31"/>
  <c r="L27" i="31"/>
  <c r="L28" i="31" s="1"/>
  <c r="K27" i="31"/>
  <c r="J27" i="31"/>
  <c r="J28" i="31" s="1"/>
  <c r="H27" i="31"/>
  <c r="G27" i="31"/>
  <c r="G28" i="31" s="1"/>
  <c r="F27" i="31"/>
  <c r="E27" i="31"/>
  <c r="D27" i="31"/>
  <c r="C27" i="31"/>
  <c r="C28" i="31" s="1"/>
  <c r="E24" i="27"/>
  <c r="F23" i="27"/>
  <c r="E23" i="27"/>
  <c r="D23" i="27"/>
  <c r="C23" i="27"/>
  <c r="G25" i="1"/>
  <c r="E25" i="1"/>
  <c r="D25" i="1"/>
  <c r="C25" i="1"/>
  <c r="B25" i="1"/>
  <c r="F25" i="1"/>
  <c r="Q25" i="1"/>
  <c r="P25" i="1"/>
  <c r="P26" i="1" s="1"/>
  <c r="N26" i="1"/>
  <c r="O25" i="1"/>
  <c r="N25" i="1"/>
  <c r="AE25" i="26"/>
  <c r="AD25" i="26"/>
  <c r="AC25" i="26"/>
  <c r="AB25" i="26"/>
  <c r="AJ25" i="28"/>
  <c r="AI25" i="28"/>
  <c r="AH25" i="28"/>
  <c r="AG25" i="28"/>
  <c r="M25" i="1"/>
  <c r="L25" i="1"/>
  <c r="L26" i="1" s="1"/>
  <c r="V25" i="1"/>
  <c r="U25" i="1"/>
  <c r="T25" i="1"/>
  <c r="S25" i="1"/>
  <c r="N28" i="31" l="1"/>
  <c r="C24" i="27"/>
  <c r="B26" i="1"/>
  <c r="AI26" i="28"/>
  <c r="AG26" i="28"/>
  <c r="AD26" i="26"/>
  <c r="AB26" i="26"/>
  <c r="S26" i="1"/>
  <c r="U26" i="1"/>
  <c r="V11" i="31"/>
  <c r="U11" i="31"/>
  <c r="T11" i="31"/>
  <c r="S11" i="31"/>
  <c r="R11" i="31"/>
  <c r="Q11" i="31"/>
  <c r="O11" i="31"/>
  <c r="N11" i="31"/>
  <c r="M11" i="31"/>
  <c r="L11" i="31"/>
  <c r="K11" i="31"/>
  <c r="J11" i="31"/>
  <c r="H11" i="31"/>
  <c r="G11" i="31"/>
  <c r="F11" i="31"/>
  <c r="E11" i="31"/>
  <c r="D11" i="31"/>
  <c r="C11" i="31"/>
  <c r="D9" i="30"/>
  <c r="C9" i="30"/>
  <c r="Z25" i="26"/>
  <c r="Y25" i="26"/>
  <c r="X25" i="26"/>
  <c r="W25" i="26"/>
  <c r="U25" i="26"/>
  <c r="T25" i="26"/>
  <c r="S25" i="26"/>
  <c r="R25" i="26"/>
  <c r="P25" i="26"/>
  <c r="O25" i="26"/>
  <c r="M25" i="26"/>
  <c r="L25" i="26"/>
  <c r="J25" i="26"/>
  <c r="I25" i="26"/>
  <c r="G25" i="26"/>
  <c r="F25" i="26"/>
  <c r="D25" i="26"/>
  <c r="C25" i="26"/>
  <c r="AE25" i="28"/>
  <c r="AD25" i="28"/>
  <c r="AC25" i="28"/>
  <c r="AB25" i="28"/>
  <c r="Z25" i="28"/>
  <c r="Y25" i="28"/>
  <c r="X25" i="28"/>
  <c r="W25" i="28"/>
  <c r="U25" i="28"/>
  <c r="T25" i="28"/>
  <c r="S25" i="28"/>
  <c r="R25" i="28"/>
  <c r="P25" i="28"/>
  <c r="O25" i="28"/>
  <c r="N25" i="28"/>
  <c r="M25" i="28"/>
  <c r="K25" i="28"/>
  <c r="J25" i="28"/>
  <c r="I25" i="28"/>
  <c r="H25" i="28"/>
  <c r="F25" i="28"/>
  <c r="E25" i="28"/>
  <c r="D25" i="28"/>
  <c r="C25" i="28"/>
  <c r="L26" i="25"/>
  <c r="K26" i="25"/>
  <c r="G26" i="25"/>
  <c r="F26" i="25"/>
  <c r="D26" i="25"/>
  <c r="C26" i="25"/>
  <c r="G25" i="24"/>
  <c r="F25" i="24"/>
  <c r="D25" i="24"/>
  <c r="C25" i="24"/>
  <c r="K25" i="1"/>
  <c r="I25" i="1"/>
  <c r="R26" i="26" l="1"/>
  <c r="O26" i="28"/>
  <c r="AD26" i="28"/>
  <c r="J26" i="28"/>
  <c r="E26" i="28"/>
  <c r="W26" i="26"/>
  <c r="F27" i="25"/>
  <c r="Y26" i="26"/>
  <c r="T26" i="26"/>
  <c r="F26" i="26"/>
  <c r="E12" i="31"/>
  <c r="J12" i="31"/>
  <c r="N12" i="31"/>
  <c r="S12" i="31"/>
  <c r="Q12" i="31"/>
  <c r="G12" i="31"/>
  <c r="C12" i="31"/>
  <c r="L12" i="31"/>
  <c r="U12" i="31"/>
  <c r="C10" i="30"/>
  <c r="C26" i="26"/>
  <c r="I26" i="26"/>
  <c r="O26" i="26"/>
  <c r="L26" i="26"/>
  <c r="C26" i="28"/>
  <c r="H26" i="28"/>
  <c r="M26" i="28"/>
  <c r="R26" i="28"/>
  <c r="W26" i="28"/>
  <c r="AB26" i="28"/>
  <c r="C27" i="25"/>
  <c r="K27" i="25"/>
  <c r="T26" i="28"/>
  <c r="Y26" i="28"/>
  <c r="C26" i="24"/>
  <c r="F26" i="24"/>
  <c r="J25" i="1" l="1"/>
  <c r="J26" i="1" s="1"/>
  <c r="H25" i="1" l="1"/>
  <c r="H26" i="1" s="1"/>
  <c r="D26" i="1"/>
  <c r="F26" i="1" l="1"/>
</calcChain>
</file>

<file path=xl/sharedStrings.xml><?xml version="1.0" encoding="utf-8"?>
<sst xmlns="http://schemas.openxmlformats.org/spreadsheetml/2006/main" count="367" uniqueCount="94">
  <si>
    <t>Adell</t>
  </si>
  <si>
    <t>Bloomfield</t>
  </si>
  <si>
    <t>Bowcreek</t>
  </si>
  <si>
    <t>Kenneth - East</t>
  </si>
  <si>
    <t>Kenneth - West</t>
  </si>
  <si>
    <t>Logan</t>
  </si>
  <si>
    <t>Parnell</t>
  </si>
  <si>
    <t>Prairie Dog</t>
  </si>
  <si>
    <t>Saline, West</t>
  </si>
  <si>
    <t>Sheridan</t>
  </si>
  <si>
    <t>Solomon</t>
  </si>
  <si>
    <t>Springbrook</t>
  </si>
  <si>
    <t>Union</t>
  </si>
  <si>
    <t>Valley</t>
  </si>
  <si>
    <t>Saline, East</t>
  </si>
  <si>
    <t xml:space="preserve"> </t>
  </si>
  <si>
    <t>TOTALS</t>
  </si>
  <si>
    <t>NATIONAL OFFICES</t>
  </si>
  <si>
    <t xml:space="preserve">  </t>
  </si>
  <si>
    <t>STATE OFFICES</t>
  </si>
  <si>
    <t xml:space="preserve"> John Cahoj</t>
  </si>
  <si>
    <t>COUNTY OFFICES</t>
  </si>
  <si>
    <t>Treasurer</t>
  </si>
  <si>
    <t>Clerk</t>
  </si>
  <si>
    <t>Sheriff</t>
  </si>
  <si>
    <t>District Magistrate Judge</t>
  </si>
  <si>
    <t xml:space="preserve"> District #1</t>
  </si>
  <si>
    <t>Supreme Court</t>
  </si>
  <si>
    <t>RETAIN JUDGES</t>
  </si>
  <si>
    <t>Court of Appeals</t>
  </si>
  <si>
    <t>David E. Bruns</t>
  </si>
  <si>
    <t xml:space="preserve"> Kevin N. Berens</t>
  </si>
  <si>
    <t xml:space="preserve"> Brandon Carver</t>
  </si>
  <si>
    <t xml:space="preserve"> Heather Bracht</t>
  </si>
  <si>
    <t>G. Gordon Atcheson</t>
  </si>
  <si>
    <t>Hoxie - East</t>
  </si>
  <si>
    <t>Hoxie - West</t>
  </si>
  <si>
    <t>President / Vice-President</t>
  </si>
  <si>
    <t>A</t>
  </si>
  <si>
    <t>ED</t>
  </si>
  <si>
    <t>SUBTOTAL</t>
  </si>
  <si>
    <t xml:space="preserve"> Jim Minnix</t>
  </si>
  <si>
    <t>YES</t>
  </si>
  <si>
    <t>NO</t>
  </si>
  <si>
    <t>District Judges</t>
  </si>
  <si>
    <t>District 15</t>
  </si>
  <si>
    <t>POS 1</t>
  </si>
  <si>
    <t>POS 2</t>
  </si>
  <si>
    <t>POS 3</t>
  </si>
  <si>
    <t>JUDGES</t>
  </si>
  <si>
    <t>Sarah E. Warner</t>
  </si>
  <si>
    <t>Kathryn Gardner</t>
  </si>
  <si>
    <t xml:space="preserve"> Shirley Niermeier</t>
  </si>
  <si>
    <t xml:space="preserve"> Dawn Marie Jones</t>
  </si>
  <si>
    <t>Register</t>
  </si>
  <si>
    <t>of Deeds</t>
  </si>
  <si>
    <t>Attorney</t>
  </si>
  <si>
    <t>Commissioner</t>
  </si>
  <si>
    <t>2nd District</t>
  </si>
  <si>
    <t>3rd District</t>
  </si>
  <si>
    <t>HOSPITAL BOARD</t>
  </si>
  <si>
    <t>TOWNSHIP TRUSTEE</t>
  </si>
  <si>
    <t xml:space="preserve">            US Representative</t>
  </si>
  <si>
    <t>Tracy Mann</t>
  </si>
  <si>
    <t>Paul Buskirk</t>
  </si>
  <si>
    <t>Kennedy Jr./Shanahan</t>
  </si>
  <si>
    <t>Oliver/ter Maat</t>
  </si>
  <si>
    <t>Trump/Vance</t>
  </si>
  <si>
    <t>Harris/Walz</t>
  </si>
  <si>
    <t>Richard (Rick) Billinger</t>
  </si>
  <si>
    <t>MAYOR - City of Hoxie</t>
  </si>
  <si>
    <t>Dawn Elliott</t>
  </si>
  <si>
    <t>Joy Bretz</t>
  </si>
  <si>
    <t>Hannah Schoendaler                          Write-In</t>
  </si>
  <si>
    <t>Karen Arnold-Burger</t>
  </si>
  <si>
    <t>Rachel L. Pickering</t>
  </si>
  <si>
    <t>Angela D. Coble</t>
  </si>
  <si>
    <t>Steven W. Hirsch</t>
  </si>
  <si>
    <t>1st District</t>
  </si>
  <si>
    <t>Kyle Emigh</t>
  </si>
  <si>
    <t>Mike "Buck" Mader</t>
  </si>
  <si>
    <t>David Stithem, unexpired term</t>
  </si>
  <si>
    <t xml:space="preserve"> Scott I. Showalter</t>
  </si>
  <si>
    <t xml:space="preserve">           House</t>
  </si>
  <si>
    <t xml:space="preserve">          Dist 118</t>
  </si>
  <si>
    <t xml:space="preserve">   Kansas Senate</t>
  </si>
  <si>
    <t xml:space="preserve">    District 40</t>
  </si>
  <si>
    <t>Stein</t>
  </si>
  <si>
    <t>Cindy Eller</t>
  </si>
  <si>
    <t>TOWNSHIP TREASURER</t>
  </si>
  <si>
    <t>Roger Milton</t>
  </si>
  <si>
    <t>Robert Schwarz</t>
  </si>
  <si>
    <t>Brian Baalman</t>
  </si>
  <si>
    <t>Bernard Dickman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</si>
</sst>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6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5"/>
      <name val="Arial"/>
      <family val="2"/>
    </font>
    <font>
      <b/>
      <sz val="14"/>
      <name val="Arial"/>
      <family val="2"/>
    </font>
    <font>
      <sz val="15"/>
      <name val="Arial"/>
      <family val="2"/>
    </font>
  </fonts>
  <fills count="5">
    <fill>
      <patternFill patternType="none"/>
    </fill>
    <fill>
      <patternFill patternType="gray125"/>
    </fill>
    <fill>
      <patternFill patternType="lightUp">
        <fgColor theme="3" tint="0.39994506668294322"/>
        <bgColor indexed="65"/>
      </patternFill>
    </fill>
    <fill>
      <patternFill patternType="lightDown">
        <fgColor theme="3" tint="0.39994506668294322"/>
        <bgColor indexed="65"/>
      </patternFill>
    </fill>
    <fill>
      <patternFill patternType="lightHorizontal">
        <fgColor theme="0" tint="-0.499984740745262"/>
        <bgColor indexed="65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textRotation="60"/>
    </xf>
    <xf numFmtId="0" fontId="1" fillId="1" borderId="0" xfId="0" applyFont="1" applyFill="1"/>
    <xf numFmtId="0" fontId="1" fillId="0" borderId="1" xfId="0" applyFont="1" applyBorder="1" applyAlignment="1">
      <alignment horizontal="center" vertical="center"/>
    </xf>
    <xf numFmtId="0" fontId="1" fillId="1" borderId="0" xfId="0" applyFont="1" applyFill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2" fillId="1" borderId="2" xfId="0" applyFont="1" applyFill="1" applyBorder="1" applyAlignment="1">
      <alignment horizontal="center" textRotation="60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1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1" borderId="5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1" borderId="8" xfId="0" applyFont="1" applyFill="1" applyBorder="1" applyAlignment="1">
      <alignment horizontal="center" vertical="center"/>
    </xf>
    <xf numFmtId="0" fontId="1" fillId="1" borderId="9" xfId="0" applyFont="1" applyFill="1" applyBorder="1" applyAlignment="1">
      <alignment horizontal="center" vertical="center"/>
    </xf>
    <xf numFmtId="0" fontId="2" fillId="1" borderId="10" xfId="0" applyFont="1" applyFill="1" applyBorder="1" applyAlignment="1">
      <alignment horizontal="center" textRotation="60"/>
    </xf>
    <xf numFmtId="0" fontId="1" fillId="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9" fillId="0" borderId="0" xfId="0" applyFont="1"/>
    <xf numFmtId="0" fontId="2" fillId="1" borderId="14" xfId="0" applyFont="1" applyFill="1" applyBorder="1" applyAlignment="1">
      <alignment horizontal="center" textRotation="90"/>
    </xf>
    <xf numFmtId="0" fontId="2" fillId="1" borderId="0" xfId="0" applyFont="1" applyFill="1" applyAlignment="1">
      <alignment horizontal="center" textRotation="60"/>
    </xf>
    <xf numFmtId="0" fontId="2" fillId="1" borderId="15" xfId="0" applyFont="1" applyFill="1" applyBorder="1" applyAlignment="1">
      <alignment horizontal="center" textRotation="60"/>
    </xf>
    <xf numFmtId="0" fontId="1" fillId="1" borderId="12" xfId="0" applyFont="1" applyFill="1" applyBorder="1" applyAlignment="1">
      <alignment horizontal="center" vertical="center"/>
    </xf>
    <xf numFmtId="0" fontId="1" fillId="1" borderId="13" xfId="0" applyFont="1" applyFill="1" applyBorder="1" applyAlignment="1">
      <alignment horizontal="center" vertical="center"/>
    </xf>
    <xf numFmtId="0" fontId="10" fillId="0" borderId="0" xfId="0" applyFont="1"/>
    <xf numFmtId="0" fontId="2" fillId="1" borderId="16" xfId="0" applyFont="1" applyFill="1" applyBorder="1" applyAlignment="1">
      <alignment horizontal="center" textRotation="60"/>
    </xf>
    <xf numFmtId="0" fontId="1" fillId="1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1" borderId="1" xfId="0" applyNumberFormat="1" applyFont="1" applyFill="1" applyBorder="1" applyAlignment="1">
      <alignment horizontal="center" vertical="center"/>
    </xf>
    <xf numFmtId="1" fontId="1" fillId="0" borderId="0" xfId="0" applyNumberFormat="1" applyFont="1"/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1" borderId="19" xfId="0" applyFont="1" applyFill="1" applyBorder="1" applyAlignment="1">
      <alignment horizontal="center" vertical="center"/>
    </xf>
    <xf numFmtId="0" fontId="1" fillId="1" borderId="20" xfId="0" applyFont="1" applyFill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vertical="center"/>
    </xf>
    <xf numFmtId="1" fontId="1" fillId="0" borderId="20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textRotation="90" wrapText="1"/>
    </xf>
    <xf numFmtId="0" fontId="6" fillId="0" borderId="7" xfId="0" applyFont="1" applyBorder="1" applyAlignment="1">
      <alignment horizontal="center" textRotation="90" wrapTex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horizontal="center" vertical="center"/>
      <protection locked="0"/>
    </xf>
    <xf numFmtId="0" fontId="1" fillId="1" borderId="27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textRotation="90"/>
    </xf>
    <xf numFmtId="1" fontId="1" fillId="0" borderId="1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textRotation="90"/>
    </xf>
    <xf numFmtId="0" fontId="2" fillId="0" borderId="3" xfId="0" applyFont="1" applyBorder="1" applyAlignment="1">
      <alignment horizontal="center" textRotation="90"/>
    </xf>
    <xf numFmtId="0" fontId="2" fillId="0" borderId="17" xfId="0" applyFont="1" applyBorder="1" applyAlignment="1">
      <alignment horizontal="center" textRotation="90"/>
    </xf>
    <xf numFmtId="0" fontId="2" fillId="0" borderId="18" xfId="0" applyFont="1" applyBorder="1" applyAlignment="1">
      <alignment horizontal="center" textRotation="90"/>
    </xf>
    <xf numFmtId="0" fontId="1" fillId="0" borderId="0" xfId="0" applyFont="1" applyAlignment="1">
      <alignment horizontal="center"/>
    </xf>
    <xf numFmtId="1" fontId="1" fillId="0" borderId="21" xfId="0" applyNumberFormat="1" applyFont="1" applyBorder="1" applyAlignment="1">
      <alignment horizontal="center" vertical="center"/>
    </xf>
    <xf numFmtId="1" fontId="1" fillId="0" borderId="22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textRotation="90"/>
    </xf>
    <xf numFmtId="0" fontId="2" fillId="0" borderId="26" xfId="0" applyFont="1" applyBorder="1" applyAlignment="1">
      <alignment horizontal="center" textRotation="90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 textRotation="90"/>
    </xf>
    <xf numFmtId="0" fontId="2" fillId="0" borderId="7" xfId="0" applyFont="1" applyBorder="1" applyAlignment="1">
      <alignment horizontal="center" textRotation="90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textRotation="90"/>
    </xf>
    <xf numFmtId="0" fontId="5" fillId="0" borderId="5" xfId="0" applyFont="1" applyBorder="1" applyAlignment="1">
      <alignment horizontal="center" textRotation="90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7" xfId="0" applyFont="1" applyBorder="1" applyAlignment="1">
      <alignment horizontal="center" textRotation="90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9"/>
  <sheetViews>
    <sheetView workbookViewId="0">
      <pane ySplit="6" topLeftCell="A7" activePane="bottomLeft" state="frozenSplit"/>
      <selection activeCell="A5" sqref="A5:XFD5"/>
      <selection pane="bottomLeft" activeCell="T8" sqref="T8"/>
    </sheetView>
  </sheetViews>
  <sheetFormatPr defaultColWidth="8.85546875" defaultRowHeight="20.25" x14ac:dyDescent="0.3"/>
  <cols>
    <col min="1" max="1" width="24.5703125" style="1" customWidth="1"/>
    <col min="2" max="17" width="6.7109375" style="1" customWidth="1"/>
    <col min="18" max="18" width="8.85546875" style="1"/>
    <col min="19" max="22" width="6.7109375" style="1" customWidth="1"/>
    <col min="23" max="16384" width="8.85546875" style="1"/>
  </cols>
  <sheetData>
    <row r="1" spans="1:26" x14ac:dyDescent="0.3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W1" s="9"/>
      <c r="X1" s="9"/>
    </row>
    <row r="2" spans="1:26" x14ac:dyDescent="0.3">
      <c r="R2" s="78" t="s">
        <v>62</v>
      </c>
      <c r="S2" s="78"/>
      <c r="T2" s="78"/>
      <c r="U2" s="78"/>
      <c r="V2" s="78"/>
    </row>
    <row r="3" spans="1:26" x14ac:dyDescent="0.3">
      <c r="B3" s="83" t="s">
        <v>37</v>
      </c>
      <c r="C3" s="83"/>
      <c r="D3" s="83"/>
      <c r="E3" s="83"/>
      <c r="F3" s="83"/>
      <c r="G3" s="83"/>
      <c r="I3" s="78"/>
      <c r="J3" s="78"/>
      <c r="K3" s="78"/>
      <c r="L3" s="78"/>
      <c r="S3" s="78" t="s">
        <v>26</v>
      </c>
      <c r="T3" s="78"/>
      <c r="U3" s="78"/>
      <c r="V3" s="78"/>
    </row>
    <row r="4" spans="1:26" s="12" customFormat="1" ht="21" thickBot="1" x14ac:dyDescent="0.35"/>
    <row r="5" spans="1:26" s="4" customFormat="1" ht="159.75" customHeight="1" thickBot="1" x14ac:dyDescent="0.4">
      <c r="B5" s="84" t="s">
        <v>65</v>
      </c>
      <c r="C5" s="70"/>
      <c r="D5" s="74" t="s">
        <v>66</v>
      </c>
      <c r="E5" s="85"/>
      <c r="F5" s="75" t="s">
        <v>67</v>
      </c>
      <c r="G5" s="85"/>
      <c r="H5" s="74" t="s">
        <v>68</v>
      </c>
      <c r="I5" s="75"/>
      <c r="J5" s="74" t="s">
        <v>87</v>
      </c>
      <c r="K5" s="75"/>
      <c r="L5" s="81"/>
      <c r="M5" s="82"/>
      <c r="N5" s="81"/>
      <c r="O5" s="82"/>
      <c r="P5" s="81"/>
      <c r="Q5" s="82"/>
      <c r="R5" s="22"/>
      <c r="S5" s="74" t="s">
        <v>63</v>
      </c>
      <c r="T5" s="75"/>
      <c r="U5" s="76" t="s">
        <v>64</v>
      </c>
      <c r="V5" s="77"/>
      <c r="W5" s="70"/>
      <c r="X5" s="70"/>
      <c r="Y5" s="70"/>
      <c r="Z5" s="70"/>
    </row>
    <row r="6" spans="1:26" ht="27.4" customHeight="1" x14ac:dyDescent="0.3">
      <c r="A6" s="2"/>
      <c r="B6" s="18" t="s">
        <v>38</v>
      </c>
      <c r="C6" s="14" t="s">
        <v>39</v>
      </c>
      <c r="D6" s="18" t="s">
        <v>38</v>
      </c>
      <c r="E6" s="14" t="s">
        <v>39</v>
      </c>
      <c r="F6" s="18" t="s">
        <v>38</v>
      </c>
      <c r="G6" s="19" t="s">
        <v>39</v>
      </c>
      <c r="H6" s="18" t="s">
        <v>38</v>
      </c>
      <c r="I6" s="14" t="s">
        <v>39</v>
      </c>
      <c r="J6" s="18" t="s">
        <v>38</v>
      </c>
      <c r="K6" s="14" t="s">
        <v>39</v>
      </c>
      <c r="L6" s="61" t="s">
        <v>38</v>
      </c>
      <c r="M6" s="62" t="s">
        <v>39</v>
      </c>
      <c r="N6" s="61" t="s">
        <v>38</v>
      </c>
      <c r="O6" s="62" t="s">
        <v>39</v>
      </c>
      <c r="P6" s="61" t="s">
        <v>38</v>
      </c>
      <c r="Q6" s="62" t="s">
        <v>39</v>
      </c>
      <c r="R6" s="17"/>
      <c r="S6" s="18" t="s">
        <v>38</v>
      </c>
      <c r="T6" s="14" t="s">
        <v>39</v>
      </c>
      <c r="U6" s="53" t="s">
        <v>38</v>
      </c>
      <c r="V6" s="54" t="s">
        <v>39</v>
      </c>
      <c r="W6" s="16"/>
      <c r="X6" s="14"/>
      <c r="Y6" s="16"/>
      <c r="Z6" s="14"/>
    </row>
    <row r="7" spans="1:26" ht="27.4" customHeight="1" x14ac:dyDescent="0.3">
      <c r="A7" s="2" t="s">
        <v>35</v>
      </c>
      <c r="B7" s="47">
        <v>0</v>
      </c>
      <c r="C7" s="48">
        <v>3</v>
      </c>
      <c r="D7" s="47">
        <v>1</v>
      </c>
      <c r="E7" s="49">
        <v>0</v>
      </c>
      <c r="F7" s="50">
        <v>85</v>
      </c>
      <c r="G7" s="49">
        <v>247</v>
      </c>
      <c r="H7" s="47">
        <v>9</v>
      </c>
      <c r="I7" s="48">
        <v>32</v>
      </c>
      <c r="J7" s="47"/>
      <c r="K7" s="48"/>
      <c r="L7" s="55"/>
      <c r="M7" s="56"/>
      <c r="N7" s="55"/>
      <c r="O7" s="56"/>
      <c r="P7" s="55"/>
      <c r="Q7" s="56"/>
      <c r="R7" s="17"/>
      <c r="S7" s="47">
        <v>81</v>
      </c>
      <c r="T7" s="48">
        <v>257</v>
      </c>
      <c r="U7" s="55">
        <v>7</v>
      </c>
      <c r="V7" s="56">
        <v>22</v>
      </c>
      <c r="W7" s="50"/>
      <c r="X7" s="48"/>
      <c r="Y7" s="50"/>
      <c r="Z7" s="48"/>
    </row>
    <row r="8" spans="1:26" ht="27.4" customHeight="1" x14ac:dyDescent="0.3">
      <c r="A8" s="2" t="s">
        <v>36</v>
      </c>
      <c r="B8" s="47">
        <v>0</v>
      </c>
      <c r="C8" s="48">
        <v>3</v>
      </c>
      <c r="D8" s="47">
        <v>0</v>
      </c>
      <c r="E8" s="49">
        <v>1</v>
      </c>
      <c r="F8" s="50">
        <v>47</v>
      </c>
      <c r="G8" s="49">
        <v>164</v>
      </c>
      <c r="H8" s="47">
        <v>13</v>
      </c>
      <c r="I8" s="48">
        <v>24</v>
      </c>
      <c r="J8" s="47">
        <v>1</v>
      </c>
      <c r="K8" s="48">
        <v>1</v>
      </c>
      <c r="L8" s="55"/>
      <c r="M8" s="56"/>
      <c r="N8" s="55"/>
      <c r="O8" s="56"/>
      <c r="P8" s="55"/>
      <c r="Q8" s="56"/>
      <c r="R8" s="17"/>
      <c r="S8" s="47">
        <v>51</v>
      </c>
      <c r="T8" s="48">
        <v>171</v>
      </c>
      <c r="U8" s="55">
        <v>7</v>
      </c>
      <c r="V8" s="56">
        <v>17</v>
      </c>
      <c r="W8" s="50"/>
      <c r="X8" s="48"/>
      <c r="Y8" s="50"/>
      <c r="Z8" s="48"/>
    </row>
    <row r="9" spans="1:26" ht="27.4" customHeight="1" x14ac:dyDescent="0.3">
      <c r="A9" s="2" t="s">
        <v>0</v>
      </c>
      <c r="B9" s="47">
        <v>0</v>
      </c>
      <c r="C9" s="48">
        <v>0</v>
      </c>
      <c r="D9" s="47">
        <v>0</v>
      </c>
      <c r="E9" s="49">
        <v>0</v>
      </c>
      <c r="F9" s="50">
        <v>3</v>
      </c>
      <c r="G9" s="49">
        <v>3</v>
      </c>
      <c r="H9" s="47">
        <v>3</v>
      </c>
      <c r="I9" s="48">
        <v>0</v>
      </c>
      <c r="J9" s="47"/>
      <c r="K9" s="48"/>
      <c r="L9" s="55"/>
      <c r="M9" s="56"/>
      <c r="N9" s="55"/>
      <c r="O9" s="56"/>
      <c r="P9" s="55"/>
      <c r="Q9" s="56"/>
      <c r="R9" s="17"/>
      <c r="S9" s="47">
        <v>3</v>
      </c>
      <c r="T9" s="48">
        <v>2</v>
      </c>
      <c r="U9" s="55">
        <v>3</v>
      </c>
      <c r="V9" s="56">
        <v>0</v>
      </c>
      <c r="W9" s="50"/>
      <c r="X9" s="48"/>
      <c r="Y9" s="50"/>
      <c r="Z9" s="48"/>
    </row>
    <row r="10" spans="1:26" ht="27.4" customHeight="1" x14ac:dyDescent="0.3">
      <c r="A10" s="2" t="s">
        <v>1</v>
      </c>
      <c r="B10" s="47">
        <v>0</v>
      </c>
      <c r="C10" s="48">
        <v>0</v>
      </c>
      <c r="D10" s="47">
        <v>0</v>
      </c>
      <c r="E10" s="49">
        <v>0</v>
      </c>
      <c r="F10" s="50">
        <v>0</v>
      </c>
      <c r="G10" s="49">
        <v>19</v>
      </c>
      <c r="H10" s="47">
        <v>0</v>
      </c>
      <c r="I10" s="48">
        <v>0</v>
      </c>
      <c r="J10" s="47"/>
      <c r="K10" s="48"/>
      <c r="L10" s="55"/>
      <c r="M10" s="56"/>
      <c r="N10" s="55"/>
      <c r="O10" s="56"/>
      <c r="P10" s="55"/>
      <c r="Q10" s="56"/>
      <c r="R10" s="17"/>
      <c r="S10" s="47">
        <v>0</v>
      </c>
      <c r="T10" s="48">
        <v>19</v>
      </c>
      <c r="U10" s="55">
        <v>0</v>
      </c>
      <c r="V10" s="56">
        <v>0</v>
      </c>
      <c r="W10" s="50"/>
      <c r="X10" s="48"/>
      <c r="Y10" s="50"/>
      <c r="Z10" s="48"/>
    </row>
    <row r="11" spans="1:26" ht="27.4" customHeight="1" x14ac:dyDescent="0.3">
      <c r="A11" s="2" t="s">
        <v>2</v>
      </c>
      <c r="B11" s="47">
        <v>0</v>
      </c>
      <c r="C11" s="48">
        <v>0</v>
      </c>
      <c r="D11" s="47">
        <v>0</v>
      </c>
      <c r="E11" s="49">
        <v>0</v>
      </c>
      <c r="F11" s="50">
        <v>2</v>
      </c>
      <c r="G11" s="49">
        <v>18</v>
      </c>
      <c r="H11" s="47">
        <v>0</v>
      </c>
      <c r="I11" s="48">
        <v>1</v>
      </c>
      <c r="J11" s="47"/>
      <c r="K11" s="48"/>
      <c r="L11" s="55"/>
      <c r="M11" s="56"/>
      <c r="N11" s="55"/>
      <c r="O11" s="56"/>
      <c r="P11" s="55"/>
      <c r="Q11" s="56"/>
      <c r="R11" s="23"/>
      <c r="S11" s="47">
        <v>2</v>
      </c>
      <c r="T11" s="48">
        <v>18</v>
      </c>
      <c r="U11" s="55">
        <v>0</v>
      </c>
      <c r="V11" s="56">
        <v>1</v>
      </c>
      <c r="W11" s="50"/>
      <c r="X11" s="48"/>
      <c r="Y11" s="50"/>
      <c r="Z11" s="48"/>
    </row>
    <row r="12" spans="1:26" ht="27.4" customHeight="1" x14ac:dyDescent="0.3">
      <c r="A12" s="2" t="s">
        <v>3</v>
      </c>
      <c r="B12" s="47">
        <v>0</v>
      </c>
      <c r="C12" s="48">
        <v>1</v>
      </c>
      <c r="D12" s="47">
        <v>0</v>
      </c>
      <c r="E12" s="49">
        <v>0</v>
      </c>
      <c r="F12" s="50">
        <v>4</v>
      </c>
      <c r="G12" s="49">
        <v>43</v>
      </c>
      <c r="H12" s="47">
        <v>2</v>
      </c>
      <c r="I12" s="48">
        <v>1</v>
      </c>
      <c r="J12" s="47"/>
      <c r="K12" s="48"/>
      <c r="L12" s="55"/>
      <c r="M12" s="56"/>
      <c r="N12" s="55"/>
      <c r="O12" s="56"/>
      <c r="P12" s="55"/>
      <c r="Q12" s="56"/>
      <c r="R12" s="23"/>
      <c r="S12" s="47">
        <v>4</v>
      </c>
      <c r="T12" s="48">
        <v>43</v>
      </c>
      <c r="U12" s="55">
        <v>2</v>
      </c>
      <c r="V12" s="56">
        <v>2</v>
      </c>
      <c r="W12" s="50"/>
      <c r="X12" s="48"/>
      <c r="Y12" s="50"/>
      <c r="Z12" s="48"/>
    </row>
    <row r="13" spans="1:26" ht="27.4" customHeight="1" x14ac:dyDescent="0.3">
      <c r="A13" s="2" t="s">
        <v>4</v>
      </c>
      <c r="B13" s="47">
        <v>2</v>
      </c>
      <c r="C13" s="48">
        <v>0</v>
      </c>
      <c r="D13" s="47">
        <v>0</v>
      </c>
      <c r="E13" s="49">
        <v>0</v>
      </c>
      <c r="F13" s="50">
        <v>6</v>
      </c>
      <c r="G13" s="49">
        <v>42</v>
      </c>
      <c r="H13" s="47">
        <v>2</v>
      </c>
      <c r="I13" s="48">
        <v>1</v>
      </c>
      <c r="J13" s="47"/>
      <c r="K13" s="48"/>
      <c r="L13" s="55"/>
      <c r="M13" s="56"/>
      <c r="N13" s="55"/>
      <c r="O13" s="56"/>
      <c r="P13" s="55"/>
      <c r="Q13" s="56"/>
      <c r="R13" s="23"/>
      <c r="S13" s="47">
        <v>9</v>
      </c>
      <c r="T13" s="48">
        <v>43</v>
      </c>
      <c r="U13" s="55">
        <v>0</v>
      </c>
      <c r="V13" s="56">
        <v>0</v>
      </c>
      <c r="W13" s="50"/>
      <c r="X13" s="48"/>
      <c r="Y13" s="50"/>
      <c r="Z13" s="48"/>
    </row>
    <row r="14" spans="1:26" ht="27.4" customHeight="1" x14ac:dyDescent="0.3">
      <c r="A14" s="2" t="s">
        <v>5</v>
      </c>
      <c r="B14" s="47">
        <v>0</v>
      </c>
      <c r="C14" s="48">
        <v>0</v>
      </c>
      <c r="D14" s="47">
        <v>0</v>
      </c>
      <c r="E14" s="49">
        <v>0</v>
      </c>
      <c r="F14" s="50">
        <v>11</v>
      </c>
      <c r="G14" s="49">
        <v>43</v>
      </c>
      <c r="H14" s="47">
        <v>2</v>
      </c>
      <c r="I14" s="48">
        <v>0</v>
      </c>
      <c r="J14" s="47"/>
      <c r="K14" s="48"/>
      <c r="L14" s="55"/>
      <c r="M14" s="56"/>
      <c r="N14" s="55"/>
      <c r="O14" s="56"/>
      <c r="P14" s="55"/>
      <c r="Q14" s="56"/>
      <c r="R14" s="23"/>
      <c r="S14" s="47">
        <v>11</v>
      </c>
      <c r="T14" s="48">
        <v>43</v>
      </c>
      <c r="U14" s="55">
        <v>2</v>
      </c>
      <c r="V14" s="56">
        <v>0</v>
      </c>
      <c r="W14" s="50"/>
      <c r="X14" s="48"/>
      <c r="Y14" s="50"/>
      <c r="Z14" s="48"/>
    </row>
    <row r="15" spans="1:26" ht="27.4" customHeight="1" x14ac:dyDescent="0.3">
      <c r="A15" s="2" t="s">
        <v>6</v>
      </c>
      <c r="B15" s="47">
        <v>0</v>
      </c>
      <c r="C15" s="48">
        <v>0</v>
      </c>
      <c r="D15" s="47">
        <v>0</v>
      </c>
      <c r="E15" s="49">
        <v>0</v>
      </c>
      <c r="F15" s="50">
        <v>6</v>
      </c>
      <c r="G15" s="49">
        <v>57</v>
      </c>
      <c r="H15" s="47">
        <v>0</v>
      </c>
      <c r="I15" s="48">
        <v>1</v>
      </c>
      <c r="J15" s="47"/>
      <c r="K15" s="48"/>
      <c r="L15" s="55"/>
      <c r="M15" s="56"/>
      <c r="N15" s="55"/>
      <c r="O15" s="56"/>
      <c r="P15" s="55"/>
      <c r="Q15" s="56"/>
      <c r="R15" s="23"/>
      <c r="S15" s="47">
        <v>6</v>
      </c>
      <c r="T15" s="48">
        <v>55</v>
      </c>
      <c r="U15" s="55">
        <v>0</v>
      </c>
      <c r="V15" s="56">
        <v>1</v>
      </c>
      <c r="W15" s="50"/>
      <c r="X15" s="48"/>
      <c r="Y15" s="50"/>
      <c r="Z15" s="48"/>
    </row>
    <row r="16" spans="1:26" ht="27.4" customHeight="1" x14ac:dyDescent="0.3">
      <c r="A16" s="2" t="s">
        <v>7</v>
      </c>
      <c r="B16" s="47">
        <v>0</v>
      </c>
      <c r="C16" s="48">
        <v>1</v>
      </c>
      <c r="D16" s="47">
        <v>0</v>
      </c>
      <c r="E16" s="49">
        <v>0</v>
      </c>
      <c r="F16" s="50">
        <v>0</v>
      </c>
      <c r="G16" s="49">
        <v>32</v>
      </c>
      <c r="H16" s="47">
        <v>0</v>
      </c>
      <c r="I16" s="48">
        <v>2</v>
      </c>
      <c r="J16" s="47"/>
      <c r="K16" s="48"/>
      <c r="L16" s="55"/>
      <c r="M16" s="56"/>
      <c r="N16" s="55"/>
      <c r="O16" s="56"/>
      <c r="P16" s="55"/>
      <c r="Q16" s="56"/>
      <c r="R16" s="23"/>
      <c r="S16" s="47">
        <v>0</v>
      </c>
      <c r="T16" s="48">
        <v>33</v>
      </c>
      <c r="U16" s="55">
        <v>0</v>
      </c>
      <c r="V16" s="56">
        <v>1</v>
      </c>
      <c r="W16" s="50"/>
      <c r="X16" s="48"/>
      <c r="Y16" s="50"/>
      <c r="Z16" s="48"/>
    </row>
    <row r="17" spans="1:26" ht="27.4" customHeight="1" x14ac:dyDescent="0.3">
      <c r="A17" s="2" t="s">
        <v>14</v>
      </c>
      <c r="B17" s="47">
        <v>0</v>
      </c>
      <c r="C17" s="48">
        <v>0</v>
      </c>
      <c r="D17" s="47">
        <v>0</v>
      </c>
      <c r="E17" s="49">
        <v>0</v>
      </c>
      <c r="F17" s="50">
        <v>12</v>
      </c>
      <c r="G17" s="49">
        <v>15</v>
      </c>
      <c r="H17" s="47">
        <v>0</v>
      </c>
      <c r="I17" s="48">
        <v>2</v>
      </c>
      <c r="J17" s="47"/>
      <c r="K17" s="48"/>
      <c r="L17" s="55"/>
      <c r="M17" s="56"/>
      <c r="N17" s="55"/>
      <c r="O17" s="56"/>
      <c r="P17" s="55"/>
      <c r="Q17" s="56"/>
      <c r="R17" s="23"/>
      <c r="S17" s="47">
        <v>12</v>
      </c>
      <c r="T17" s="48">
        <v>17</v>
      </c>
      <c r="U17" s="55">
        <v>0</v>
      </c>
      <c r="V17" s="56">
        <v>0</v>
      </c>
      <c r="W17" s="50"/>
      <c r="X17" s="48"/>
      <c r="Y17" s="50"/>
      <c r="Z17" s="48"/>
    </row>
    <row r="18" spans="1:26" ht="27.4" customHeight="1" x14ac:dyDescent="0.3">
      <c r="A18" s="2" t="s">
        <v>8</v>
      </c>
      <c r="B18" s="47">
        <v>0</v>
      </c>
      <c r="C18" s="48">
        <v>0</v>
      </c>
      <c r="D18" s="47">
        <v>0</v>
      </c>
      <c r="E18" s="49">
        <v>0</v>
      </c>
      <c r="F18" s="50">
        <v>10</v>
      </c>
      <c r="G18" s="49">
        <v>29</v>
      </c>
      <c r="H18" s="47">
        <v>0</v>
      </c>
      <c r="I18" s="48">
        <v>1</v>
      </c>
      <c r="J18" s="47"/>
      <c r="K18" s="48"/>
      <c r="L18" s="55"/>
      <c r="M18" s="56"/>
      <c r="N18" s="55"/>
      <c r="O18" s="56"/>
      <c r="P18" s="55"/>
      <c r="Q18" s="56"/>
      <c r="R18" s="23"/>
      <c r="S18" s="47">
        <v>11</v>
      </c>
      <c r="T18" s="48">
        <v>29</v>
      </c>
      <c r="U18" s="55">
        <v>0</v>
      </c>
      <c r="V18" s="56">
        <v>0</v>
      </c>
      <c r="W18" s="50"/>
      <c r="X18" s="48"/>
      <c r="Y18" s="50"/>
      <c r="Z18" s="48"/>
    </row>
    <row r="19" spans="1:26" ht="27.4" customHeight="1" x14ac:dyDescent="0.3">
      <c r="A19" s="2" t="s">
        <v>9</v>
      </c>
      <c r="B19" s="47">
        <v>0</v>
      </c>
      <c r="C19" s="48">
        <v>3</v>
      </c>
      <c r="D19" s="47">
        <v>0</v>
      </c>
      <c r="E19" s="49">
        <v>0</v>
      </c>
      <c r="F19" s="50">
        <v>0</v>
      </c>
      <c r="G19" s="49">
        <v>134</v>
      </c>
      <c r="H19" s="47">
        <v>0</v>
      </c>
      <c r="I19" s="48">
        <v>10</v>
      </c>
      <c r="J19" s="47"/>
      <c r="K19" s="48"/>
      <c r="L19" s="55"/>
      <c r="M19" s="56"/>
      <c r="N19" s="55"/>
      <c r="O19" s="56"/>
      <c r="P19" s="55"/>
      <c r="Q19" s="56"/>
      <c r="R19" s="23"/>
      <c r="S19" s="47">
        <v>0</v>
      </c>
      <c r="T19" s="48">
        <v>138</v>
      </c>
      <c r="U19" s="55">
        <v>0</v>
      </c>
      <c r="V19" s="56">
        <v>4</v>
      </c>
      <c r="W19" s="50"/>
      <c r="X19" s="48"/>
      <c r="Y19" s="50"/>
      <c r="Z19" s="48"/>
    </row>
    <row r="20" spans="1:26" ht="27.4" customHeight="1" x14ac:dyDescent="0.3">
      <c r="A20" s="2" t="s">
        <v>10</v>
      </c>
      <c r="B20" s="47">
        <v>1</v>
      </c>
      <c r="C20" s="48">
        <v>0</v>
      </c>
      <c r="D20" s="47">
        <v>0</v>
      </c>
      <c r="E20" s="49">
        <v>0</v>
      </c>
      <c r="F20" s="50">
        <v>37</v>
      </c>
      <c r="G20" s="49">
        <v>37</v>
      </c>
      <c r="H20" s="47">
        <v>5</v>
      </c>
      <c r="I20" s="48">
        <v>5</v>
      </c>
      <c r="J20" s="47"/>
      <c r="K20" s="48"/>
      <c r="L20" s="55"/>
      <c r="M20" s="56"/>
      <c r="N20" s="55"/>
      <c r="O20" s="56"/>
      <c r="P20" s="55"/>
      <c r="Q20" s="56"/>
      <c r="R20" s="23"/>
      <c r="S20" s="47">
        <v>43</v>
      </c>
      <c r="T20" s="48">
        <v>41</v>
      </c>
      <c r="U20" s="55">
        <v>2</v>
      </c>
      <c r="V20" s="56">
        <v>3</v>
      </c>
      <c r="W20" s="50"/>
      <c r="X20" s="48"/>
      <c r="Y20" s="50"/>
      <c r="Z20" s="48"/>
    </row>
    <row r="21" spans="1:26" ht="27.4" customHeight="1" x14ac:dyDescent="0.3">
      <c r="A21" s="2" t="s">
        <v>11</v>
      </c>
      <c r="B21" s="47">
        <v>1</v>
      </c>
      <c r="C21" s="48">
        <v>0</v>
      </c>
      <c r="D21" s="47">
        <v>0</v>
      </c>
      <c r="E21" s="49">
        <v>1</v>
      </c>
      <c r="F21" s="50">
        <v>11</v>
      </c>
      <c r="G21" s="49">
        <v>41</v>
      </c>
      <c r="H21" s="47">
        <v>2</v>
      </c>
      <c r="I21" s="48">
        <v>0</v>
      </c>
      <c r="J21" s="47"/>
      <c r="K21" s="48"/>
      <c r="L21" s="55"/>
      <c r="M21" s="56"/>
      <c r="N21" s="55"/>
      <c r="O21" s="56"/>
      <c r="P21" s="55"/>
      <c r="Q21" s="56"/>
      <c r="R21" s="23"/>
      <c r="S21" s="47">
        <v>12</v>
      </c>
      <c r="T21" s="48">
        <v>41</v>
      </c>
      <c r="U21" s="55">
        <v>2</v>
      </c>
      <c r="V21" s="56">
        <v>0</v>
      </c>
      <c r="W21" s="50"/>
      <c r="X21" s="48"/>
      <c r="Y21" s="50"/>
      <c r="Z21" s="48"/>
    </row>
    <row r="22" spans="1:26" ht="27.4" customHeight="1" x14ac:dyDescent="0.3">
      <c r="A22" s="2" t="s">
        <v>12</v>
      </c>
      <c r="B22" s="47">
        <v>0</v>
      </c>
      <c r="C22" s="48">
        <v>0</v>
      </c>
      <c r="D22" s="47">
        <v>0</v>
      </c>
      <c r="E22" s="49">
        <v>0</v>
      </c>
      <c r="F22" s="50">
        <v>0</v>
      </c>
      <c r="G22" s="49">
        <v>19</v>
      </c>
      <c r="H22" s="47">
        <v>0</v>
      </c>
      <c r="I22" s="48">
        <v>0</v>
      </c>
      <c r="J22" s="47"/>
      <c r="K22" s="48"/>
      <c r="L22" s="55"/>
      <c r="M22" s="56"/>
      <c r="N22" s="55"/>
      <c r="O22" s="56"/>
      <c r="P22" s="55"/>
      <c r="Q22" s="56"/>
      <c r="R22" s="23"/>
      <c r="S22" s="47">
        <v>0</v>
      </c>
      <c r="T22" s="48">
        <v>19</v>
      </c>
      <c r="U22" s="55">
        <v>0</v>
      </c>
      <c r="V22" s="56">
        <v>0</v>
      </c>
      <c r="W22" s="50"/>
      <c r="X22" s="48"/>
      <c r="Y22" s="50"/>
      <c r="Z22" s="48"/>
    </row>
    <row r="23" spans="1:26" ht="27.4" customHeight="1" x14ac:dyDescent="0.3">
      <c r="A23" s="2" t="s">
        <v>13</v>
      </c>
      <c r="B23" s="47">
        <v>0</v>
      </c>
      <c r="C23" s="48">
        <v>0</v>
      </c>
      <c r="D23" s="47">
        <v>0</v>
      </c>
      <c r="E23" s="49">
        <v>0</v>
      </c>
      <c r="F23" s="50">
        <v>11</v>
      </c>
      <c r="G23" s="49">
        <v>41</v>
      </c>
      <c r="H23" s="47">
        <v>1</v>
      </c>
      <c r="I23" s="48">
        <v>7</v>
      </c>
      <c r="J23" s="47"/>
      <c r="K23" s="48"/>
      <c r="L23" s="55"/>
      <c r="M23" s="56"/>
      <c r="N23" s="55"/>
      <c r="O23" s="56"/>
      <c r="P23" s="55"/>
      <c r="Q23" s="56"/>
      <c r="R23" s="23"/>
      <c r="S23" s="47">
        <v>10</v>
      </c>
      <c r="T23" s="48">
        <v>42</v>
      </c>
      <c r="U23" s="55">
        <v>1</v>
      </c>
      <c r="V23" s="56">
        <v>6</v>
      </c>
      <c r="W23" s="50"/>
      <c r="X23" s="48"/>
      <c r="Y23" s="50"/>
      <c r="Z23" s="48"/>
    </row>
    <row r="24" spans="1:26" ht="4.9000000000000004" customHeight="1" x14ac:dyDescent="0.3">
      <c r="A24" s="6"/>
      <c r="B24" s="20"/>
      <c r="C24" s="15"/>
      <c r="D24" s="20"/>
      <c r="E24" s="21"/>
      <c r="F24" s="17"/>
      <c r="G24" s="21"/>
      <c r="H24" s="20"/>
      <c r="I24" s="15"/>
      <c r="J24" s="20"/>
      <c r="K24" s="15"/>
      <c r="L24" s="57"/>
      <c r="M24" s="58"/>
      <c r="N24" s="57"/>
      <c r="O24" s="58"/>
      <c r="P24" s="57"/>
      <c r="Q24" s="58"/>
      <c r="R24" s="23"/>
      <c r="S24" s="20"/>
      <c r="T24" s="15"/>
      <c r="U24" s="57"/>
      <c r="V24" s="58"/>
      <c r="W24" s="17"/>
      <c r="X24" s="15"/>
      <c r="Y24" s="17"/>
      <c r="Z24" s="15"/>
    </row>
    <row r="25" spans="1:26" s="3" customFormat="1" ht="27.4" customHeight="1" x14ac:dyDescent="0.2">
      <c r="A25" s="2" t="s">
        <v>40</v>
      </c>
      <c r="B25" s="42">
        <f t="shared" ref="B25:I25" si="0">SUM(B7:B23)</f>
        <v>4</v>
      </c>
      <c r="C25" s="42">
        <f t="shared" si="0"/>
        <v>11</v>
      </c>
      <c r="D25" s="42">
        <f t="shared" si="0"/>
        <v>1</v>
      </c>
      <c r="E25" s="42">
        <f t="shared" si="0"/>
        <v>2</v>
      </c>
      <c r="F25" s="42">
        <f t="shared" si="0"/>
        <v>245</v>
      </c>
      <c r="G25" s="42">
        <f t="shared" si="0"/>
        <v>984</v>
      </c>
      <c r="H25" s="42">
        <f t="shared" si="0"/>
        <v>39</v>
      </c>
      <c r="I25" s="44">
        <f t="shared" si="0"/>
        <v>87</v>
      </c>
      <c r="J25" s="42">
        <f t="shared" ref="J25" si="1">SUM(J7:J23)</f>
        <v>1</v>
      </c>
      <c r="K25" s="44">
        <f>SUM(K7:K23)</f>
        <v>1</v>
      </c>
      <c r="L25" s="59">
        <f t="shared" ref="L25" si="2">SUM(L7:L23)</f>
        <v>0</v>
      </c>
      <c r="M25" s="60">
        <f>SUM(M7:M23)</f>
        <v>0</v>
      </c>
      <c r="N25" s="59">
        <f t="shared" ref="N25" si="3">SUM(N7:N23)</f>
        <v>0</v>
      </c>
      <c r="O25" s="60">
        <f>SUM(O7:O23)</f>
        <v>0</v>
      </c>
      <c r="P25" s="59">
        <f t="shared" ref="P25" si="4">SUM(P7:P23)</f>
        <v>0</v>
      </c>
      <c r="Q25" s="60">
        <f>SUM(Q7:Q23)</f>
        <v>0</v>
      </c>
      <c r="R25" s="45"/>
      <c r="S25" s="42">
        <f>SUM(S7:S23)</f>
        <v>255</v>
      </c>
      <c r="T25" s="44">
        <f>SUM(T7:T23)</f>
        <v>1011</v>
      </c>
      <c r="U25" s="59">
        <f t="shared" ref="U25" si="5">SUM(U7:U23)</f>
        <v>26</v>
      </c>
      <c r="V25" s="60">
        <f>SUM(V7:V23)</f>
        <v>57</v>
      </c>
      <c r="W25" s="43"/>
      <c r="X25" s="44"/>
      <c r="Y25" s="43"/>
      <c r="Z25" s="44"/>
    </row>
    <row r="26" spans="1:26" s="3" customFormat="1" ht="27.4" customHeight="1" thickBot="1" x14ac:dyDescent="0.25">
      <c r="A26" s="24" t="s">
        <v>16</v>
      </c>
      <c r="B26" s="73">
        <f>B25+C25</f>
        <v>15</v>
      </c>
      <c r="C26" s="72"/>
      <c r="D26" s="73">
        <f>D25+E25</f>
        <v>3</v>
      </c>
      <c r="E26" s="72"/>
      <c r="F26" s="73">
        <f>F25+G25</f>
        <v>1229</v>
      </c>
      <c r="G26" s="72"/>
      <c r="H26" s="73">
        <f>H25+I25</f>
        <v>126</v>
      </c>
      <c r="I26" s="72"/>
      <c r="J26" s="73">
        <f>J25+K25</f>
        <v>2</v>
      </c>
      <c r="K26" s="71"/>
      <c r="L26" s="79">
        <f>L25+M25</f>
        <v>0</v>
      </c>
      <c r="M26" s="80"/>
      <c r="N26" s="79">
        <f>N25+O25</f>
        <v>0</v>
      </c>
      <c r="O26" s="80"/>
      <c r="P26" s="79">
        <f>P25+Q25</f>
        <v>0</v>
      </c>
      <c r="Q26" s="80"/>
      <c r="R26" s="45"/>
      <c r="S26" s="73">
        <f>S25+T25</f>
        <v>1266</v>
      </c>
      <c r="T26" s="71"/>
      <c r="U26" s="79">
        <f>U25+V25</f>
        <v>83</v>
      </c>
      <c r="V26" s="80"/>
      <c r="W26" s="71"/>
      <c r="X26" s="72"/>
      <c r="Y26" s="71"/>
      <c r="Z26" s="72"/>
    </row>
    <row r="29" spans="1:26" x14ac:dyDescent="0.3">
      <c r="M29" s="46"/>
      <c r="N29" s="46"/>
      <c r="O29" s="46"/>
      <c r="P29" s="46"/>
      <c r="Q29" s="46"/>
    </row>
  </sheetData>
  <mergeCells count="28">
    <mergeCell ref="B3:G3"/>
    <mergeCell ref="I3:L3"/>
    <mergeCell ref="B5:C5"/>
    <mergeCell ref="D5:E5"/>
    <mergeCell ref="F5:G5"/>
    <mergeCell ref="H5:I5"/>
    <mergeCell ref="J5:K5"/>
    <mergeCell ref="L5:M5"/>
    <mergeCell ref="S3:V3"/>
    <mergeCell ref="R2:V2"/>
    <mergeCell ref="L26:M26"/>
    <mergeCell ref="S26:T26"/>
    <mergeCell ref="U26:V26"/>
    <mergeCell ref="N5:O5"/>
    <mergeCell ref="N26:O26"/>
    <mergeCell ref="P5:Q5"/>
    <mergeCell ref="P26:Q26"/>
    <mergeCell ref="W5:X5"/>
    <mergeCell ref="W26:X26"/>
    <mergeCell ref="Y5:Z5"/>
    <mergeCell ref="Y26:Z26"/>
    <mergeCell ref="B26:C26"/>
    <mergeCell ref="D26:E26"/>
    <mergeCell ref="F26:G26"/>
    <mergeCell ref="H26:I26"/>
    <mergeCell ref="J26:K26"/>
    <mergeCell ref="S5:T5"/>
    <mergeCell ref="U5:V5"/>
  </mergeCells>
  <phoneticPr fontId="0" type="noConversion"/>
  <printOptions horizontalCentered="1" verticalCentered="1"/>
  <pageMargins left="0" right="0" top="0" bottom="0" header="0" footer="0"/>
  <pageSetup scale="6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6"/>
  <sheetViews>
    <sheetView workbookViewId="0">
      <pane ySplit="6" topLeftCell="A7" activePane="bottomLeft" state="frozenSplit"/>
      <selection pane="bottomLeft" activeCell="G7" sqref="G7"/>
    </sheetView>
  </sheetViews>
  <sheetFormatPr defaultColWidth="8.85546875" defaultRowHeight="20.25" x14ac:dyDescent="0.3"/>
  <cols>
    <col min="1" max="1" width="24.5703125" style="1" customWidth="1"/>
    <col min="2" max="2" width="8.85546875" style="1"/>
    <col min="3" max="4" width="6.7109375" style="1" customWidth="1"/>
    <col min="5" max="5" width="14.28515625" style="1" customWidth="1"/>
    <col min="6" max="6" width="6.7109375" style="1" customWidth="1"/>
    <col min="7" max="7" width="8.85546875" style="1"/>
    <col min="8" max="9" width="6.7109375" style="1" customWidth="1"/>
    <col min="10" max="16384" width="8.85546875" style="1"/>
  </cols>
  <sheetData>
    <row r="1" spans="1:11" x14ac:dyDescent="0.3">
      <c r="A1" s="9" t="s">
        <v>19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C2" s="12" t="s">
        <v>85</v>
      </c>
      <c r="D2" s="12"/>
      <c r="E2" s="12"/>
      <c r="F2" s="12" t="s">
        <v>83</v>
      </c>
      <c r="G2" s="12"/>
      <c r="H2" s="78"/>
      <c r="I2" s="78"/>
    </row>
    <row r="3" spans="1:11" x14ac:dyDescent="0.3">
      <c r="C3" s="12" t="s">
        <v>86</v>
      </c>
      <c r="D3" s="12"/>
      <c r="E3" s="12"/>
      <c r="F3" s="12" t="s">
        <v>84</v>
      </c>
      <c r="G3" s="12"/>
      <c r="H3" s="12"/>
      <c r="I3" s="12"/>
      <c r="J3" s="12"/>
    </row>
    <row r="4" spans="1:11" s="4" customFormat="1" ht="23.25" x14ac:dyDescent="0.35">
      <c r="B4" s="5"/>
      <c r="C4" s="12"/>
      <c r="D4" s="12"/>
      <c r="E4" s="12"/>
      <c r="F4" s="12"/>
      <c r="G4" s="12"/>
      <c r="H4" s="12"/>
      <c r="I4" s="5" t="s">
        <v>18</v>
      </c>
    </row>
    <row r="5" spans="1:11" s="4" customFormat="1" ht="156.75" customHeight="1" x14ac:dyDescent="0.35">
      <c r="B5" s="5"/>
      <c r="C5" s="89" t="s">
        <v>69</v>
      </c>
      <c r="D5" s="90"/>
      <c r="E5" s="17"/>
      <c r="F5" s="74" t="s">
        <v>41</v>
      </c>
      <c r="G5" s="85"/>
    </row>
    <row r="6" spans="1:11" ht="27.4" customHeight="1" x14ac:dyDescent="0.3">
      <c r="A6" s="2"/>
      <c r="B6" s="7"/>
      <c r="C6" s="65" t="s">
        <v>38</v>
      </c>
      <c r="D6" s="65" t="s">
        <v>39</v>
      </c>
      <c r="E6" s="17"/>
      <c r="F6" s="18" t="s">
        <v>38</v>
      </c>
      <c r="G6" s="19" t="s">
        <v>39</v>
      </c>
      <c r="H6" s="10"/>
      <c r="I6" s="10"/>
    </row>
    <row r="7" spans="1:11" ht="27.4" customHeight="1" x14ac:dyDescent="0.3">
      <c r="A7" s="2" t="s">
        <v>35</v>
      </c>
      <c r="B7" s="7"/>
      <c r="C7" s="67">
        <v>82</v>
      </c>
      <c r="D7" s="66">
        <v>259</v>
      </c>
      <c r="E7" s="17"/>
      <c r="F7" s="47">
        <v>75</v>
      </c>
      <c r="G7" s="49">
        <v>255</v>
      </c>
      <c r="H7" s="10"/>
      <c r="I7" s="10"/>
    </row>
    <row r="8" spans="1:11" ht="27.4" customHeight="1" x14ac:dyDescent="0.3">
      <c r="A8" s="2" t="s">
        <v>36</v>
      </c>
      <c r="B8" s="7"/>
      <c r="C8" s="68">
        <v>55</v>
      </c>
      <c r="D8" s="49">
        <v>175</v>
      </c>
      <c r="E8" s="17"/>
      <c r="F8" s="47">
        <v>49</v>
      </c>
      <c r="G8" s="49">
        <v>171</v>
      </c>
      <c r="H8" s="10"/>
      <c r="I8" s="10"/>
    </row>
    <row r="9" spans="1:11" ht="27.4" customHeight="1" x14ac:dyDescent="0.3">
      <c r="A9" s="2" t="s">
        <v>0</v>
      </c>
      <c r="B9" s="7"/>
      <c r="C9" s="68">
        <v>4</v>
      </c>
      <c r="D9" s="49">
        <v>2</v>
      </c>
      <c r="E9" s="17"/>
      <c r="F9" s="47">
        <v>5</v>
      </c>
      <c r="G9" s="49">
        <v>2</v>
      </c>
      <c r="H9" s="10"/>
      <c r="I9" s="10"/>
    </row>
    <row r="10" spans="1:11" ht="27.4" customHeight="1" x14ac:dyDescent="0.3">
      <c r="A10" s="2" t="s">
        <v>1</v>
      </c>
      <c r="B10" s="7"/>
      <c r="C10" s="68">
        <v>0</v>
      </c>
      <c r="D10" s="49">
        <v>18</v>
      </c>
      <c r="E10" s="17"/>
      <c r="F10" s="47">
        <v>0</v>
      </c>
      <c r="G10" s="49">
        <v>18</v>
      </c>
      <c r="H10" s="10"/>
      <c r="I10" s="10"/>
    </row>
    <row r="11" spans="1:11" ht="27.4" customHeight="1" x14ac:dyDescent="0.3">
      <c r="A11" s="2" t="s">
        <v>2</v>
      </c>
      <c r="B11" s="7"/>
      <c r="C11" s="68">
        <v>2</v>
      </c>
      <c r="D11" s="49">
        <v>18</v>
      </c>
      <c r="E11" s="17"/>
      <c r="F11" s="47">
        <v>2</v>
      </c>
      <c r="G11" s="49">
        <v>18</v>
      </c>
      <c r="H11" s="10"/>
      <c r="I11" s="10"/>
    </row>
    <row r="12" spans="1:11" ht="27.4" customHeight="1" x14ac:dyDescent="0.3">
      <c r="A12" s="2" t="s">
        <v>3</v>
      </c>
      <c r="B12" s="7"/>
      <c r="C12" s="68">
        <v>3</v>
      </c>
      <c r="D12" s="49">
        <v>41</v>
      </c>
      <c r="E12" s="17"/>
      <c r="F12" s="47">
        <v>3</v>
      </c>
      <c r="G12" s="49">
        <v>40</v>
      </c>
      <c r="H12" s="10"/>
      <c r="I12" s="10"/>
    </row>
    <row r="13" spans="1:11" ht="27.4" customHeight="1" x14ac:dyDescent="0.3">
      <c r="A13" s="2" t="s">
        <v>4</v>
      </c>
      <c r="B13" s="7"/>
      <c r="C13" s="68">
        <v>9</v>
      </c>
      <c r="D13" s="49">
        <v>40</v>
      </c>
      <c r="E13" s="17"/>
      <c r="F13" s="47">
        <v>8</v>
      </c>
      <c r="G13" s="49">
        <v>41</v>
      </c>
      <c r="H13" s="10"/>
      <c r="I13" s="10"/>
    </row>
    <row r="14" spans="1:11" ht="27.4" customHeight="1" x14ac:dyDescent="0.3">
      <c r="A14" s="2" t="s">
        <v>5</v>
      </c>
      <c r="B14" s="7"/>
      <c r="C14" s="68">
        <v>12</v>
      </c>
      <c r="D14" s="49">
        <v>40</v>
      </c>
      <c r="E14" s="17"/>
      <c r="F14" s="47">
        <v>12</v>
      </c>
      <c r="G14" s="49">
        <v>41</v>
      </c>
      <c r="H14" s="10"/>
      <c r="I14" s="10"/>
    </row>
    <row r="15" spans="1:11" ht="27.4" customHeight="1" x14ac:dyDescent="0.3">
      <c r="A15" s="2" t="s">
        <v>6</v>
      </c>
      <c r="B15" s="7"/>
      <c r="C15" s="68">
        <v>6</v>
      </c>
      <c r="D15" s="49">
        <v>54</v>
      </c>
      <c r="E15" s="17"/>
      <c r="F15" s="47">
        <v>6</v>
      </c>
      <c r="G15" s="49">
        <v>53</v>
      </c>
      <c r="H15" s="10"/>
      <c r="I15" s="10"/>
    </row>
    <row r="16" spans="1:11" ht="27.4" customHeight="1" x14ac:dyDescent="0.3">
      <c r="A16" s="2" t="s">
        <v>7</v>
      </c>
      <c r="B16" s="7"/>
      <c r="C16" s="68">
        <v>0</v>
      </c>
      <c r="D16" s="49">
        <v>31</v>
      </c>
      <c r="E16" s="17"/>
      <c r="F16" s="47">
        <v>0</v>
      </c>
      <c r="G16" s="49">
        <v>31</v>
      </c>
      <c r="H16" s="10"/>
      <c r="I16" s="10"/>
    </row>
    <row r="17" spans="1:9" ht="27.4" customHeight="1" x14ac:dyDescent="0.3">
      <c r="A17" s="2" t="s">
        <v>14</v>
      </c>
      <c r="B17" s="7"/>
      <c r="C17" s="68">
        <v>12</v>
      </c>
      <c r="D17" s="49">
        <v>14</v>
      </c>
      <c r="E17" s="17"/>
      <c r="F17" s="47">
        <v>11</v>
      </c>
      <c r="G17" s="49">
        <v>15</v>
      </c>
      <c r="H17" s="10"/>
      <c r="I17" s="10"/>
    </row>
    <row r="18" spans="1:9" ht="27.4" customHeight="1" x14ac:dyDescent="0.3">
      <c r="A18" s="2" t="s">
        <v>8</v>
      </c>
      <c r="B18" s="7"/>
      <c r="C18" s="68">
        <v>11</v>
      </c>
      <c r="D18" s="49">
        <v>26</v>
      </c>
      <c r="E18" s="17"/>
      <c r="F18" s="47">
        <v>11</v>
      </c>
      <c r="G18" s="49">
        <v>25</v>
      </c>
      <c r="H18" s="10"/>
      <c r="I18" s="10"/>
    </row>
    <row r="19" spans="1:9" ht="27.4" customHeight="1" x14ac:dyDescent="0.3">
      <c r="A19" s="2" t="s">
        <v>9</v>
      </c>
      <c r="B19" s="7"/>
      <c r="C19" s="68">
        <v>0</v>
      </c>
      <c r="D19" s="49">
        <v>129</v>
      </c>
      <c r="E19" s="17"/>
      <c r="F19" s="47">
        <v>0</v>
      </c>
      <c r="G19" s="49">
        <v>124</v>
      </c>
      <c r="H19" s="10"/>
      <c r="I19" s="10"/>
    </row>
    <row r="20" spans="1:9" ht="27.4" customHeight="1" x14ac:dyDescent="0.3">
      <c r="A20" s="2" t="s">
        <v>10</v>
      </c>
      <c r="B20" s="7"/>
      <c r="C20" s="68">
        <v>41</v>
      </c>
      <c r="D20" s="49">
        <v>39</v>
      </c>
      <c r="E20" s="17"/>
      <c r="F20" s="47">
        <v>40</v>
      </c>
      <c r="G20" s="49">
        <v>41</v>
      </c>
      <c r="H20" s="10"/>
      <c r="I20" s="10"/>
    </row>
    <row r="21" spans="1:9" ht="27.4" customHeight="1" x14ac:dyDescent="0.3">
      <c r="A21" s="2" t="s">
        <v>11</v>
      </c>
      <c r="B21" s="7"/>
      <c r="C21" s="68">
        <v>11</v>
      </c>
      <c r="D21" s="49">
        <v>40</v>
      </c>
      <c r="E21" s="17"/>
      <c r="F21" s="47">
        <v>11</v>
      </c>
      <c r="G21" s="49">
        <v>40</v>
      </c>
      <c r="H21" s="10"/>
      <c r="I21" s="10"/>
    </row>
    <row r="22" spans="1:9" ht="27.4" customHeight="1" x14ac:dyDescent="0.3">
      <c r="A22" s="2" t="s">
        <v>12</v>
      </c>
      <c r="B22" s="7"/>
      <c r="C22" s="68">
        <v>0</v>
      </c>
      <c r="D22" s="49">
        <v>15</v>
      </c>
      <c r="E22" s="17"/>
      <c r="F22" s="47">
        <v>0</v>
      </c>
      <c r="G22" s="49">
        <v>15</v>
      </c>
      <c r="H22" s="10"/>
      <c r="I22" s="10"/>
    </row>
    <row r="23" spans="1:9" ht="27.4" customHeight="1" x14ac:dyDescent="0.3">
      <c r="A23" s="2" t="s">
        <v>13</v>
      </c>
      <c r="B23" s="7"/>
      <c r="C23" s="68">
        <v>11</v>
      </c>
      <c r="D23" s="49">
        <v>45</v>
      </c>
      <c r="E23" s="17"/>
      <c r="F23" s="47">
        <v>11</v>
      </c>
      <c r="G23" s="49">
        <v>43</v>
      </c>
      <c r="H23" s="10"/>
      <c r="I23" s="10"/>
    </row>
    <row r="24" spans="1:9" s="3" customFormat="1" ht="5.0999999999999996" customHeight="1" x14ac:dyDescent="0.3">
      <c r="A24" s="6"/>
      <c r="B24" s="8"/>
      <c r="C24" s="69"/>
      <c r="D24" s="21"/>
      <c r="E24" s="17"/>
      <c r="F24" s="20"/>
      <c r="G24" s="21"/>
      <c r="H24" s="10"/>
      <c r="I24" s="10"/>
    </row>
    <row r="25" spans="1:9" ht="23.25" x14ac:dyDescent="0.3">
      <c r="A25" s="2" t="s">
        <v>40</v>
      </c>
      <c r="B25" s="7"/>
      <c r="C25" s="65">
        <f>SUM(C7:C23)</f>
        <v>259</v>
      </c>
      <c r="D25" s="19">
        <f>SUM(D7:D23)</f>
        <v>986</v>
      </c>
      <c r="E25" s="17"/>
      <c r="F25" s="18">
        <f>SUM(F7:F23)</f>
        <v>244</v>
      </c>
      <c r="G25" s="19">
        <f>SUM(G7:G23)</f>
        <v>973</v>
      </c>
    </row>
    <row r="26" spans="1:9" ht="23.25" x14ac:dyDescent="0.3">
      <c r="A26" s="24" t="s">
        <v>16</v>
      </c>
      <c r="B26" s="7"/>
      <c r="C26" s="86">
        <f>C25+D25</f>
        <v>1245</v>
      </c>
      <c r="D26" s="87"/>
      <c r="E26" s="17"/>
      <c r="F26" s="88">
        <f>F25+G25</f>
        <v>1217</v>
      </c>
      <c r="G26" s="87"/>
    </row>
  </sheetData>
  <mergeCells count="5">
    <mergeCell ref="C26:D26"/>
    <mergeCell ref="F26:G26"/>
    <mergeCell ref="H2:I2"/>
    <mergeCell ref="C5:D5"/>
    <mergeCell ref="F5:G5"/>
  </mergeCells>
  <printOptions horizontalCentered="1" verticalCentered="1"/>
  <pageMargins left="0" right="0" top="0" bottom="0" header="0" footer="0"/>
  <pageSetup scale="7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27"/>
  <sheetViews>
    <sheetView workbookViewId="0">
      <pane ySplit="7" topLeftCell="A8" activePane="bottomLeft" state="frozenSplit"/>
      <selection pane="bottomLeft" activeCell="L8" sqref="L8"/>
    </sheetView>
  </sheetViews>
  <sheetFormatPr defaultColWidth="8.85546875" defaultRowHeight="20.25" x14ac:dyDescent="0.3"/>
  <cols>
    <col min="1" max="1" width="24.5703125" style="1" customWidth="1"/>
    <col min="2" max="2" width="8.85546875" style="1"/>
    <col min="3" max="4" width="6.7109375" style="1" customWidth="1"/>
    <col min="5" max="5" width="8.85546875" style="1"/>
    <col min="6" max="7" width="6.7109375" style="1" customWidth="1"/>
    <col min="8" max="8" width="5.28515625" style="1" customWidth="1"/>
    <col min="9" max="10" width="8.85546875" style="1"/>
    <col min="11" max="12" width="6.7109375" style="1" customWidth="1"/>
    <col min="13" max="16384" width="8.85546875" style="1"/>
  </cols>
  <sheetData>
    <row r="1" spans="1:28" x14ac:dyDescent="0.3">
      <c r="A1" s="9" t="s">
        <v>49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S1" s="9"/>
      <c r="T1" s="9"/>
      <c r="U1" s="9"/>
      <c r="V1" s="9"/>
      <c r="W1" s="9"/>
      <c r="X1" s="9"/>
    </row>
    <row r="2" spans="1:28" x14ac:dyDescent="0.3">
      <c r="C2" s="91" t="s">
        <v>44</v>
      </c>
      <c r="D2" s="91"/>
      <c r="E2" s="91"/>
      <c r="F2" s="91"/>
      <c r="G2" s="91"/>
      <c r="H2" s="13"/>
      <c r="I2" s="91" t="s">
        <v>25</v>
      </c>
      <c r="J2" s="91"/>
      <c r="K2" s="91"/>
      <c r="L2" s="91"/>
      <c r="M2" s="91"/>
      <c r="N2" s="91"/>
      <c r="Y2" s="78"/>
      <c r="Z2" s="78"/>
      <c r="AA2" s="78"/>
      <c r="AB2" s="78"/>
    </row>
    <row r="3" spans="1:28" x14ac:dyDescent="0.3">
      <c r="C3" s="91" t="s">
        <v>45</v>
      </c>
      <c r="D3" s="91"/>
      <c r="E3" s="91"/>
      <c r="F3" s="91"/>
      <c r="G3" s="91"/>
      <c r="H3" s="13"/>
      <c r="I3" s="91" t="s">
        <v>45</v>
      </c>
      <c r="J3" s="91"/>
      <c r="K3" s="91"/>
      <c r="L3" s="91"/>
      <c r="M3" s="91"/>
      <c r="N3" s="91"/>
      <c r="O3" s="12"/>
      <c r="P3" s="12"/>
      <c r="Q3" s="12"/>
      <c r="R3" s="12"/>
      <c r="T3" s="12"/>
      <c r="U3" s="12"/>
      <c r="V3" s="12"/>
      <c r="W3" s="12"/>
      <c r="Y3" s="12"/>
      <c r="Z3" s="12"/>
      <c r="AA3" s="12"/>
      <c r="AB3" s="12"/>
    </row>
    <row r="4" spans="1:28" ht="23.25" x14ac:dyDescent="0.35">
      <c r="C4" s="78" t="s">
        <v>46</v>
      </c>
      <c r="D4" s="78"/>
      <c r="F4" s="78" t="s">
        <v>47</v>
      </c>
      <c r="G4" s="78"/>
      <c r="H4" s="12"/>
      <c r="K4" s="78" t="s">
        <v>48</v>
      </c>
      <c r="L4" s="78"/>
      <c r="N4" s="4"/>
      <c r="O4" s="4"/>
      <c r="P4" s="4"/>
      <c r="Q4" s="4"/>
    </row>
    <row r="5" spans="1:28" s="4" customFormat="1" ht="23.25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28" ht="156.75" customHeight="1" x14ac:dyDescent="0.35">
      <c r="A6" s="4"/>
      <c r="B6" s="5"/>
      <c r="C6" s="74" t="s">
        <v>31</v>
      </c>
      <c r="D6" s="85"/>
      <c r="E6" s="22"/>
      <c r="F6" s="74" t="s">
        <v>82</v>
      </c>
      <c r="G6" s="85"/>
      <c r="H6" s="27"/>
      <c r="I6" s="28"/>
      <c r="J6" s="29"/>
      <c r="K6" s="74" t="s">
        <v>20</v>
      </c>
      <c r="L6" s="85"/>
    </row>
    <row r="7" spans="1:28" ht="27.4" customHeight="1" x14ac:dyDescent="0.3">
      <c r="A7" s="2"/>
      <c r="B7" s="7"/>
      <c r="C7" s="18" t="s">
        <v>38</v>
      </c>
      <c r="D7" s="19" t="s">
        <v>39</v>
      </c>
      <c r="E7" s="17"/>
      <c r="F7" s="18" t="s">
        <v>38</v>
      </c>
      <c r="G7" s="19" t="s">
        <v>39</v>
      </c>
      <c r="H7" s="30"/>
      <c r="I7" s="23"/>
      <c r="J7" s="31"/>
      <c r="K7" s="18" t="s">
        <v>38</v>
      </c>
      <c r="L7" s="19" t="s">
        <v>39</v>
      </c>
    </row>
    <row r="8" spans="1:28" ht="27.4" customHeight="1" x14ac:dyDescent="0.3">
      <c r="A8" s="2" t="s">
        <v>35</v>
      </c>
      <c r="B8" s="7"/>
      <c r="C8" s="47">
        <v>81</v>
      </c>
      <c r="D8" s="49">
        <v>248</v>
      </c>
      <c r="E8" s="17"/>
      <c r="F8" s="47">
        <v>74</v>
      </c>
      <c r="G8" s="49">
        <v>242</v>
      </c>
      <c r="H8" s="30"/>
      <c r="I8" s="23"/>
      <c r="J8" s="31"/>
      <c r="K8" s="47">
        <v>84</v>
      </c>
      <c r="L8" s="49">
        <v>269</v>
      </c>
    </row>
    <row r="9" spans="1:28" ht="27.4" customHeight="1" x14ac:dyDescent="0.3">
      <c r="A9" s="2" t="s">
        <v>36</v>
      </c>
      <c r="B9" s="7"/>
      <c r="C9" s="47">
        <v>52</v>
      </c>
      <c r="D9" s="49">
        <v>168</v>
      </c>
      <c r="E9" s="17"/>
      <c r="F9" s="47">
        <v>48</v>
      </c>
      <c r="G9" s="49">
        <v>167</v>
      </c>
      <c r="H9" s="30"/>
      <c r="I9" s="23"/>
      <c r="J9" s="31"/>
      <c r="K9" s="47">
        <v>57</v>
      </c>
      <c r="L9" s="49">
        <v>181</v>
      </c>
    </row>
    <row r="10" spans="1:28" ht="27.4" customHeight="1" x14ac:dyDescent="0.3">
      <c r="A10" s="2" t="s">
        <v>0</v>
      </c>
      <c r="B10" s="7"/>
      <c r="C10" s="47">
        <v>4</v>
      </c>
      <c r="D10" s="49">
        <v>2</v>
      </c>
      <c r="E10" s="17"/>
      <c r="F10" s="47">
        <v>4</v>
      </c>
      <c r="G10" s="49">
        <v>2</v>
      </c>
      <c r="H10" s="30"/>
      <c r="I10" s="23"/>
      <c r="J10" s="31"/>
      <c r="K10" s="47">
        <v>5</v>
      </c>
      <c r="L10" s="49">
        <v>2</v>
      </c>
    </row>
    <row r="11" spans="1:28" ht="27.4" customHeight="1" x14ac:dyDescent="0.3">
      <c r="A11" s="2" t="s">
        <v>1</v>
      </c>
      <c r="B11" s="7"/>
      <c r="C11" s="47">
        <v>0</v>
      </c>
      <c r="D11" s="49">
        <v>18</v>
      </c>
      <c r="E11" s="17"/>
      <c r="F11" s="47">
        <v>0</v>
      </c>
      <c r="G11" s="49">
        <v>18</v>
      </c>
      <c r="H11" s="30"/>
      <c r="I11" s="23"/>
      <c r="J11" s="31"/>
      <c r="K11" s="47">
        <v>0</v>
      </c>
      <c r="L11" s="49">
        <v>19</v>
      </c>
    </row>
    <row r="12" spans="1:28" ht="27.4" customHeight="1" x14ac:dyDescent="0.3">
      <c r="A12" s="2" t="s">
        <v>2</v>
      </c>
      <c r="B12" s="7"/>
      <c r="C12" s="47">
        <v>1</v>
      </c>
      <c r="D12" s="49">
        <v>18</v>
      </c>
      <c r="E12" s="17"/>
      <c r="F12" s="47">
        <v>0</v>
      </c>
      <c r="G12" s="49">
        <v>18</v>
      </c>
      <c r="H12" s="30"/>
      <c r="I12" s="23"/>
      <c r="J12" s="31"/>
      <c r="K12" s="47">
        <v>2</v>
      </c>
      <c r="L12" s="49">
        <v>18</v>
      </c>
    </row>
    <row r="13" spans="1:28" ht="27.4" customHeight="1" x14ac:dyDescent="0.3">
      <c r="A13" s="2" t="s">
        <v>3</v>
      </c>
      <c r="B13" s="7"/>
      <c r="C13" s="47">
        <v>4</v>
      </c>
      <c r="D13" s="49">
        <v>39</v>
      </c>
      <c r="E13" s="17"/>
      <c r="F13" s="47">
        <v>4</v>
      </c>
      <c r="G13" s="49">
        <v>39</v>
      </c>
      <c r="H13" s="30"/>
      <c r="I13" s="23"/>
      <c r="J13" s="31"/>
      <c r="K13" s="47">
        <v>6</v>
      </c>
      <c r="L13" s="49">
        <v>42</v>
      </c>
    </row>
    <row r="14" spans="1:28" ht="27.4" customHeight="1" x14ac:dyDescent="0.3">
      <c r="A14" s="2" t="s">
        <v>4</v>
      </c>
      <c r="B14" s="7"/>
      <c r="C14" s="47">
        <v>9</v>
      </c>
      <c r="D14" s="49">
        <v>37</v>
      </c>
      <c r="E14" s="17"/>
      <c r="F14" s="47">
        <v>9</v>
      </c>
      <c r="G14" s="49">
        <v>39</v>
      </c>
      <c r="H14" s="30"/>
      <c r="I14" s="23"/>
      <c r="J14" s="31"/>
      <c r="K14" s="47">
        <v>9</v>
      </c>
      <c r="L14" s="49">
        <v>41</v>
      </c>
    </row>
    <row r="15" spans="1:28" ht="27.4" customHeight="1" x14ac:dyDescent="0.3">
      <c r="A15" s="2" t="s">
        <v>5</v>
      </c>
      <c r="B15" s="7"/>
      <c r="C15" s="47">
        <v>8</v>
      </c>
      <c r="D15" s="49">
        <v>37</v>
      </c>
      <c r="E15" s="17"/>
      <c r="F15" s="47">
        <v>9</v>
      </c>
      <c r="G15" s="49">
        <v>37</v>
      </c>
      <c r="H15" s="30"/>
      <c r="I15" s="23"/>
      <c r="J15" s="31"/>
      <c r="K15" s="47">
        <v>13</v>
      </c>
      <c r="L15" s="49">
        <v>39</v>
      </c>
    </row>
    <row r="16" spans="1:28" ht="27.4" customHeight="1" x14ac:dyDescent="0.3">
      <c r="A16" s="2" t="s">
        <v>6</v>
      </c>
      <c r="B16" s="7"/>
      <c r="C16" s="47">
        <v>6</v>
      </c>
      <c r="D16" s="49">
        <v>49</v>
      </c>
      <c r="E16" s="17"/>
      <c r="F16" s="47">
        <v>5</v>
      </c>
      <c r="G16" s="49">
        <v>50</v>
      </c>
      <c r="H16" s="30"/>
      <c r="I16" s="23"/>
      <c r="J16" s="31"/>
      <c r="K16" s="47">
        <v>6</v>
      </c>
      <c r="L16" s="49">
        <v>56</v>
      </c>
    </row>
    <row r="17" spans="1:12" ht="27.4" customHeight="1" x14ac:dyDescent="0.3">
      <c r="A17" s="2" t="s">
        <v>7</v>
      </c>
      <c r="B17" s="7"/>
      <c r="C17" s="47">
        <v>0</v>
      </c>
      <c r="D17" s="49">
        <v>31</v>
      </c>
      <c r="E17" s="17"/>
      <c r="F17" s="47">
        <v>0</v>
      </c>
      <c r="G17" s="49">
        <v>31</v>
      </c>
      <c r="H17" s="30"/>
      <c r="I17" s="23"/>
      <c r="J17" s="31"/>
      <c r="K17" s="47">
        <v>0</v>
      </c>
      <c r="L17" s="49">
        <v>31</v>
      </c>
    </row>
    <row r="18" spans="1:12" ht="27.4" customHeight="1" x14ac:dyDescent="0.3">
      <c r="A18" s="2" t="s">
        <v>14</v>
      </c>
      <c r="B18" s="7"/>
      <c r="C18" s="47">
        <v>11</v>
      </c>
      <c r="D18" s="49">
        <v>16</v>
      </c>
      <c r="E18" s="17"/>
      <c r="F18" s="47">
        <v>10</v>
      </c>
      <c r="G18" s="49">
        <v>15</v>
      </c>
      <c r="H18" s="30"/>
      <c r="I18" s="23"/>
      <c r="J18" s="31"/>
      <c r="K18" s="47">
        <v>11</v>
      </c>
      <c r="L18" s="49">
        <v>15</v>
      </c>
    </row>
    <row r="19" spans="1:12" ht="27.4" customHeight="1" x14ac:dyDescent="0.3">
      <c r="A19" s="2" t="s">
        <v>8</v>
      </c>
      <c r="B19" s="7"/>
      <c r="C19" s="47">
        <v>11</v>
      </c>
      <c r="D19" s="49">
        <v>20</v>
      </c>
      <c r="E19" s="17"/>
      <c r="F19" s="47">
        <v>11</v>
      </c>
      <c r="G19" s="49">
        <v>22</v>
      </c>
      <c r="H19" s="30"/>
      <c r="I19" s="23"/>
      <c r="J19" s="31"/>
      <c r="K19" s="47">
        <v>11</v>
      </c>
      <c r="L19" s="49">
        <v>25</v>
      </c>
    </row>
    <row r="20" spans="1:12" ht="27.4" customHeight="1" x14ac:dyDescent="0.3">
      <c r="A20" s="2" t="s">
        <v>9</v>
      </c>
      <c r="B20" s="7"/>
      <c r="C20" s="47">
        <v>0</v>
      </c>
      <c r="D20" s="49">
        <v>125</v>
      </c>
      <c r="E20" s="17"/>
      <c r="F20" s="47">
        <v>0</v>
      </c>
      <c r="G20" s="49">
        <v>119</v>
      </c>
      <c r="H20" s="30"/>
      <c r="I20" s="23"/>
      <c r="J20" s="31"/>
      <c r="K20" s="47">
        <v>0</v>
      </c>
      <c r="L20" s="49">
        <v>136</v>
      </c>
    </row>
    <row r="21" spans="1:12" ht="27.4" customHeight="1" x14ac:dyDescent="0.3">
      <c r="A21" s="2" t="s">
        <v>10</v>
      </c>
      <c r="B21" s="7"/>
      <c r="C21" s="47">
        <v>40</v>
      </c>
      <c r="D21" s="49">
        <v>42</v>
      </c>
      <c r="E21" s="17"/>
      <c r="F21" s="47">
        <v>40</v>
      </c>
      <c r="G21" s="49">
        <v>39</v>
      </c>
      <c r="H21" s="30"/>
      <c r="I21" s="23"/>
      <c r="J21" s="31"/>
      <c r="K21" s="47">
        <v>44</v>
      </c>
      <c r="L21" s="49">
        <v>39</v>
      </c>
    </row>
    <row r="22" spans="1:12" ht="27.4" customHeight="1" x14ac:dyDescent="0.3">
      <c r="A22" s="2" t="s">
        <v>11</v>
      </c>
      <c r="B22" s="7"/>
      <c r="C22" s="47">
        <v>12</v>
      </c>
      <c r="D22" s="49">
        <v>36</v>
      </c>
      <c r="E22" s="17"/>
      <c r="F22" s="47">
        <v>12</v>
      </c>
      <c r="G22" s="49">
        <v>37</v>
      </c>
      <c r="H22" s="30"/>
      <c r="I22" s="23"/>
      <c r="J22" s="31"/>
      <c r="K22" s="47">
        <v>14</v>
      </c>
      <c r="L22" s="49">
        <v>36</v>
      </c>
    </row>
    <row r="23" spans="1:12" ht="27.4" customHeight="1" x14ac:dyDescent="0.3">
      <c r="A23" s="2" t="s">
        <v>12</v>
      </c>
      <c r="B23" s="7"/>
      <c r="C23" s="47">
        <v>0</v>
      </c>
      <c r="D23" s="49">
        <v>14</v>
      </c>
      <c r="E23" s="17"/>
      <c r="F23" s="47">
        <v>0</v>
      </c>
      <c r="G23" s="49">
        <v>14</v>
      </c>
      <c r="H23" s="30"/>
      <c r="I23" s="23"/>
      <c r="J23" s="31"/>
      <c r="K23" s="47">
        <v>0</v>
      </c>
      <c r="L23" s="49">
        <v>17</v>
      </c>
    </row>
    <row r="24" spans="1:12" s="3" customFormat="1" ht="27.4" customHeight="1" x14ac:dyDescent="0.2">
      <c r="A24" s="2" t="s">
        <v>13</v>
      </c>
      <c r="B24" s="7"/>
      <c r="C24" s="47">
        <v>9</v>
      </c>
      <c r="D24" s="49">
        <v>40</v>
      </c>
      <c r="E24" s="17"/>
      <c r="F24" s="47">
        <v>8</v>
      </c>
      <c r="G24" s="49">
        <v>38</v>
      </c>
      <c r="H24" s="30"/>
      <c r="I24" s="23"/>
      <c r="J24" s="31"/>
      <c r="K24" s="47">
        <v>12</v>
      </c>
      <c r="L24" s="49">
        <v>41</v>
      </c>
    </row>
    <row r="25" spans="1:12" ht="5.0999999999999996" customHeight="1" x14ac:dyDescent="0.3">
      <c r="A25" s="6"/>
      <c r="B25" s="8"/>
      <c r="C25" s="20"/>
      <c r="D25" s="21"/>
      <c r="E25" s="17"/>
      <c r="F25" s="20"/>
      <c r="G25" s="21"/>
      <c r="H25" s="30"/>
      <c r="I25" s="23"/>
      <c r="J25" s="31"/>
      <c r="K25" s="20"/>
      <c r="L25" s="21"/>
    </row>
    <row r="26" spans="1:12" ht="23.25" x14ac:dyDescent="0.3">
      <c r="A26" s="2" t="s">
        <v>40</v>
      </c>
      <c r="B26" s="7"/>
      <c r="C26" s="18">
        <f t="shared" ref="C26:D26" si="0">SUM(C8:C24)</f>
        <v>248</v>
      </c>
      <c r="D26" s="19">
        <f t="shared" si="0"/>
        <v>940</v>
      </c>
      <c r="E26" s="17"/>
      <c r="F26" s="18">
        <f>SUM(F8:F24)</f>
        <v>234</v>
      </c>
      <c r="G26" s="19">
        <f>SUM(G8:G24)</f>
        <v>927</v>
      </c>
      <c r="H26" s="30"/>
      <c r="I26" s="23"/>
      <c r="J26" s="31"/>
      <c r="K26" s="18">
        <f>SUM(K8:K24)</f>
        <v>274</v>
      </c>
      <c r="L26" s="19">
        <f>SUM(L8:L24)</f>
        <v>1007</v>
      </c>
    </row>
    <row r="27" spans="1:12" ht="23.25" x14ac:dyDescent="0.3">
      <c r="A27" s="24" t="s">
        <v>16</v>
      </c>
      <c r="B27" s="7"/>
      <c r="C27" s="88">
        <f>C26+D26</f>
        <v>1188</v>
      </c>
      <c r="D27" s="87"/>
      <c r="E27" s="17"/>
      <c r="F27" s="88">
        <f>F26+G26</f>
        <v>1161</v>
      </c>
      <c r="G27" s="87"/>
      <c r="H27" s="30"/>
      <c r="I27" s="23"/>
      <c r="J27" s="31"/>
      <c r="K27" s="88">
        <f>K26+L26</f>
        <v>1281</v>
      </c>
      <c r="L27" s="87"/>
    </row>
  </sheetData>
  <mergeCells count="14">
    <mergeCell ref="Y2:AB2"/>
    <mergeCell ref="C2:G2"/>
    <mergeCell ref="I2:N2"/>
    <mergeCell ref="K27:L27"/>
    <mergeCell ref="K6:L6"/>
    <mergeCell ref="F27:G27"/>
    <mergeCell ref="C6:D6"/>
    <mergeCell ref="F6:G6"/>
    <mergeCell ref="C27:D27"/>
    <mergeCell ref="C3:G3"/>
    <mergeCell ref="C4:D4"/>
    <mergeCell ref="F4:G4"/>
    <mergeCell ref="I3:N3"/>
    <mergeCell ref="K4:L4"/>
  </mergeCells>
  <printOptions horizontalCentered="1" verticalCentered="1"/>
  <pageMargins left="0" right="0" top="0" bottom="0" header="0" footer="0"/>
  <pageSetup scale="5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G26"/>
  <sheetViews>
    <sheetView workbookViewId="0">
      <pane ySplit="6" topLeftCell="A7" activePane="bottomLeft" state="frozenSplit"/>
      <selection pane="bottomLeft" activeCell="P8" sqref="P8"/>
    </sheetView>
  </sheetViews>
  <sheetFormatPr defaultColWidth="8.85546875" defaultRowHeight="20.25" x14ac:dyDescent="0.3"/>
  <cols>
    <col min="1" max="1" width="24.5703125" style="1" customWidth="1"/>
    <col min="2" max="2" width="8.85546875" style="1"/>
    <col min="3" max="4" width="6.7109375" style="1" customWidth="1"/>
    <col min="5" max="5" width="8.85546875" style="1"/>
    <col min="6" max="7" width="6.7109375" style="1" customWidth="1"/>
    <col min="8" max="8" width="8.85546875" style="1"/>
    <col min="9" max="10" width="6.7109375" style="1" customWidth="1"/>
    <col min="11" max="11" width="8.85546875" style="1"/>
    <col min="12" max="13" width="6.7109375" style="1" customWidth="1"/>
    <col min="14" max="14" width="8.85546875" style="1"/>
    <col min="15" max="15" width="6.7109375" style="1" customWidth="1"/>
    <col min="16" max="16" width="8" style="1" customWidth="1"/>
    <col min="17" max="17" width="8.85546875" style="1"/>
    <col min="18" max="21" width="6.7109375" style="1" customWidth="1"/>
    <col min="22" max="22" width="8.85546875" style="1"/>
    <col min="23" max="26" width="6.7109375" style="1" customWidth="1"/>
    <col min="34" max="16384" width="8.85546875" style="1"/>
  </cols>
  <sheetData>
    <row r="1" spans="1:33" x14ac:dyDescent="0.3">
      <c r="A1" s="94" t="s">
        <v>21</v>
      </c>
      <c r="B1" s="94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Q1" s="9"/>
      <c r="T1" s="9"/>
      <c r="U1" s="9"/>
      <c r="V1" s="9"/>
      <c r="Y1" s="9"/>
      <c r="Z1" s="9"/>
      <c r="AA1" s="1"/>
      <c r="AB1" s="1"/>
      <c r="AC1" s="1"/>
      <c r="AD1" s="1"/>
      <c r="AE1" s="1"/>
      <c r="AF1" s="1"/>
      <c r="AG1" s="1"/>
    </row>
    <row r="2" spans="1:33" x14ac:dyDescent="0.3">
      <c r="C2" s="9"/>
      <c r="D2" s="9"/>
      <c r="E2" s="9"/>
      <c r="F2" s="9"/>
      <c r="G2" s="9"/>
      <c r="H2" s="9"/>
      <c r="I2" s="92" t="s">
        <v>54</v>
      </c>
      <c r="J2" s="92"/>
      <c r="K2" s="9"/>
      <c r="L2" s="9"/>
      <c r="M2" s="9"/>
      <c r="N2" s="9"/>
      <c r="Q2" s="9"/>
      <c r="R2" s="92" t="s">
        <v>78</v>
      </c>
      <c r="S2" s="92"/>
      <c r="T2" s="92"/>
      <c r="U2" s="92"/>
      <c r="V2" s="9"/>
      <c r="W2" s="92" t="s">
        <v>58</v>
      </c>
      <c r="X2" s="92"/>
      <c r="Y2" s="92"/>
      <c r="Z2" s="92"/>
      <c r="AA2" s="9"/>
      <c r="AB2" s="92" t="s">
        <v>59</v>
      </c>
      <c r="AC2" s="92"/>
      <c r="AD2" s="92"/>
      <c r="AE2" s="92"/>
      <c r="AF2" s="1"/>
      <c r="AG2" s="1"/>
    </row>
    <row r="3" spans="1:33" x14ac:dyDescent="0.3">
      <c r="C3" s="92" t="s">
        <v>23</v>
      </c>
      <c r="D3" s="92"/>
      <c r="E3" s="92" t="s">
        <v>22</v>
      </c>
      <c r="F3" s="92"/>
      <c r="G3" s="92"/>
      <c r="H3" s="92"/>
      <c r="I3" s="92" t="s">
        <v>55</v>
      </c>
      <c r="J3" s="92"/>
      <c r="K3" s="9"/>
      <c r="L3" s="92" t="s">
        <v>56</v>
      </c>
      <c r="M3" s="92"/>
      <c r="N3" s="9"/>
      <c r="O3" s="92" t="s">
        <v>24</v>
      </c>
      <c r="P3" s="92"/>
      <c r="Q3" s="9"/>
      <c r="R3" s="92" t="s">
        <v>57</v>
      </c>
      <c r="S3" s="92"/>
      <c r="T3" s="92"/>
      <c r="U3" s="92"/>
      <c r="V3" s="9"/>
      <c r="W3" s="92" t="s">
        <v>57</v>
      </c>
      <c r="X3" s="92"/>
      <c r="Y3" s="92"/>
      <c r="Z3" s="92"/>
      <c r="AA3" s="9"/>
      <c r="AB3" s="92" t="s">
        <v>57</v>
      </c>
      <c r="AC3" s="92"/>
      <c r="AD3" s="92"/>
      <c r="AE3" s="92"/>
      <c r="AF3" s="1"/>
      <c r="AG3" s="1"/>
    </row>
    <row r="4" spans="1:33" s="12" customFormat="1" x14ac:dyDescent="0.3"/>
    <row r="5" spans="1:33" s="4" customFormat="1" ht="216" customHeight="1" x14ac:dyDescent="0.35">
      <c r="A5" s="25"/>
      <c r="B5" s="5"/>
      <c r="C5" s="74" t="s">
        <v>33</v>
      </c>
      <c r="D5" s="85"/>
      <c r="E5" s="22"/>
      <c r="F5" s="74" t="s">
        <v>52</v>
      </c>
      <c r="G5" s="75"/>
      <c r="H5" s="33"/>
      <c r="I5" s="74" t="s">
        <v>53</v>
      </c>
      <c r="J5" s="85"/>
      <c r="K5" s="11"/>
      <c r="L5" s="74" t="s">
        <v>77</v>
      </c>
      <c r="M5" s="75"/>
      <c r="N5" s="33"/>
      <c r="O5" s="74" t="s">
        <v>32</v>
      </c>
      <c r="P5" s="85" t="s">
        <v>15</v>
      </c>
      <c r="Q5" s="33"/>
      <c r="R5" s="84" t="s">
        <v>81</v>
      </c>
      <c r="S5" s="95" t="s">
        <v>15</v>
      </c>
      <c r="T5" s="74"/>
      <c r="U5" s="75"/>
      <c r="V5" s="33"/>
      <c r="W5" s="74" t="s">
        <v>80</v>
      </c>
      <c r="X5" s="85" t="s">
        <v>15</v>
      </c>
      <c r="Y5" s="74"/>
      <c r="Z5" s="85"/>
      <c r="AA5" s="33"/>
      <c r="AB5" s="74" t="s">
        <v>79</v>
      </c>
      <c r="AC5" s="85" t="s">
        <v>15</v>
      </c>
      <c r="AD5" s="74"/>
      <c r="AE5" s="85"/>
    </row>
    <row r="6" spans="1:33" ht="27.4" customHeight="1" x14ac:dyDescent="0.3">
      <c r="A6" s="2"/>
      <c r="B6" s="7"/>
      <c r="C6" s="18" t="s">
        <v>38</v>
      </c>
      <c r="D6" s="19" t="s">
        <v>39</v>
      </c>
      <c r="E6" s="17"/>
      <c r="F6" s="18" t="s">
        <v>38</v>
      </c>
      <c r="G6" s="14" t="s">
        <v>39</v>
      </c>
      <c r="H6" s="34"/>
      <c r="I6" s="18" t="s">
        <v>38</v>
      </c>
      <c r="J6" s="19" t="s">
        <v>39</v>
      </c>
      <c r="K6" s="17"/>
      <c r="L6" s="18" t="s">
        <v>38</v>
      </c>
      <c r="M6" s="14" t="s">
        <v>39</v>
      </c>
      <c r="N6" s="34"/>
      <c r="O6" s="18" t="s">
        <v>38</v>
      </c>
      <c r="P6" s="19" t="s">
        <v>39</v>
      </c>
      <c r="Q6" s="34"/>
      <c r="R6" s="18" t="s">
        <v>38</v>
      </c>
      <c r="S6" s="19" t="s">
        <v>39</v>
      </c>
      <c r="T6" s="18" t="s">
        <v>38</v>
      </c>
      <c r="U6" s="14" t="s">
        <v>39</v>
      </c>
      <c r="V6" s="34"/>
      <c r="W6" s="18" t="s">
        <v>38</v>
      </c>
      <c r="X6" s="19" t="s">
        <v>39</v>
      </c>
      <c r="Y6" s="18" t="s">
        <v>38</v>
      </c>
      <c r="Z6" s="19" t="s">
        <v>39</v>
      </c>
      <c r="AA6" s="34"/>
      <c r="AB6" s="18" t="s">
        <v>38</v>
      </c>
      <c r="AC6" s="19" t="s">
        <v>39</v>
      </c>
      <c r="AD6" s="18" t="s">
        <v>38</v>
      </c>
      <c r="AE6" s="19" t="s">
        <v>39</v>
      </c>
      <c r="AF6" s="1"/>
      <c r="AG6" s="1"/>
    </row>
    <row r="7" spans="1:33" ht="27.4" customHeight="1" x14ac:dyDescent="0.3">
      <c r="A7" s="2" t="s">
        <v>35</v>
      </c>
      <c r="B7" s="7"/>
      <c r="C7" s="47">
        <v>87</v>
      </c>
      <c r="D7" s="49">
        <v>261</v>
      </c>
      <c r="E7" s="17"/>
      <c r="F7" s="47">
        <v>85</v>
      </c>
      <c r="G7" s="48">
        <v>250</v>
      </c>
      <c r="H7" s="34"/>
      <c r="I7" s="47">
        <v>84</v>
      </c>
      <c r="J7" s="49">
        <v>250</v>
      </c>
      <c r="K7" s="17"/>
      <c r="L7" s="47">
        <v>81</v>
      </c>
      <c r="M7" s="48">
        <v>257</v>
      </c>
      <c r="N7" s="34"/>
      <c r="O7" s="47">
        <v>88</v>
      </c>
      <c r="P7" s="49">
        <v>271</v>
      </c>
      <c r="Q7" s="34"/>
      <c r="R7" s="18">
        <v>78</v>
      </c>
      <c r="S7" s="19">
        <v>244</v>
      </c>
      <c r="T7" s="18"/>
      <c r="U7" s="19"/>
      <c r="V7" s="34"/>
      <c r="W7" s="51"/>
      <c r="X7" s="52"/>
      <c r="Y7" s="51"/>
      <c r="Z7" s="52"/>
      <c r="AA7" s="34"/>
      <c r="AB7" s="51"/>
      <c r="AC7" s="52"/>
      <c r="AD7" s="51"/>
      <c r="AE7" s="52"/>
      <c r="AF7" s="1"/>
      <c r="AG7" s="1"/>
    </row>
    <row r="8" spans="1:33" ht="27.4" customHeight="1" x14ac:dyDescent="0.3">
      <c r="A8" s="2" t="s">
        <v>36</v>
      </c>
      <c r="B8" s="7"/>
      <c r="C8" s="47">
        <v>61</v>
      </c>
      <c r="D8" s="49">
        <v>178</v>
      </c>
      <c r="E8" s="17"/>
      <c r="F8" s="47">
        <v>54</v>
      </c>
      <c r="G8" s="48">
        <v>173</v>
      </c>
      <c r="H8" s="34"/>
      <c r="I8" s="47">
        <v>50</v>
      </c>
      <c r="J8" s="49">
        <v>173</v>
      </c>
      <c r="K8" s="17"/>
      <c r="L8" s="47">
        <v>50</v>
      </c>
      <c r="M8" s="48">
        <v>175</v>
      </c>
      <c r="N8" s="34"/>
      <c r="O8" s="47">
        <v>57</v>
      </c>
      <c r="P8" s="49">
        <v>181</v>
      </c>
      <c r="Q8" s="34"/>
      <c r="R8" s="51"/>
      <c r="S8" s="52"/>
      <c r="T8" s="51"/>
      <c r="U8" s="52"/>
      <c r="V8" s="34"/>
      <c r="W8" s="47">
        <v>48</v>
      </c>
      <c r="X8" s="49">
        <v>172</v>
      </c>
      <c r="Y8" s="47"/>
      <c r="Z8" s="48"/>
      <c r="AA8" s="34"/>
      <c r="AB8" s="51"/>
      <c r="AC8" s="52"/>
      <c r="AD8" s="51"/>
      <c r="AE8" s="52"/>
      <c r="AF8" s="1"/>
      <c r="AG8" s="1"/>
    </row>
    <row r="9" spans="1:33" ht="27.4" customHeight="1" x14ac:dyDescent="0.3">
      <c r="A9" s="2" t="s">
        <v>0</v>
      </c>
      <c r="B9" s="7"/>
      <c r="C9" s="47">
        <v>6</v>
      </c>
      <c r="D9" s="49">
        <v>3</v>
      </c>
      <c r="E9" s="17"/>
      <c r="F9" s="47">
        <v>3</v>
      </c>
      <c r="G9" s="48">
        <v>2</v>
      </c>
      <c r="H9" s="34"/>
      <c r="I9" s="47">
        <v>5</v>
      </c>
      <c r="J9" s="49">
        <v>2</v>
      </c>
      <c r="K9" s="17"/>
      <c r="L9" s="47">
        <v>3</v>
      </c>
      <c r="M9" s="48">
        <v>3</v>
      </c>
      <c r="N9" s="34"/>
      <c r="O9" s="47">
        <v>6</v>
      </c>
      <c r="P9" s="49">
        <v>2</v>
      </c>
      <c r="Q9" s="34"/>
      <c r="R9" s="18">
        <v>5</v>
      </c>
      <c r="S9" s="19">
        <v>2</v>
      </c>
      <c r="T9" s="18"/>
      <c r="U9" s="19"/>
      <c r="V9" s="34"/>
      <c r="W9" s="51"/>
      <c r="X9" s="52"/>
      <c r="Y9" s="51"/>
      <c r="Z9" s="52"/>
      <c r="AA9" s="34"/>
      <c r="AB9" s="51"/>
      <c r="AC9" s="52"/>
      <c r="AD9" s="51"/>
      <c r="AE9" s="52"/>
      <c r="AF9" s="1"/>
      <c r="AG9" s="1"/>
    </row>
    <row r="10" spans="1:33" ht="27.4" customHeight="1" x14ac:dyDescent="0.3">
      <c r="A10" s="2" t="s">
        <v>1</v>
      </c>
      <c r="B10" s="7"/>
      <c r="C10" s="47">
        <v>0</v>
      </c>
      <c r="D10" s="49">
        <v>17</v>
      </c>
      <c r="E10" s="17"/>
      <c r="F10" s="47">
        <v>0</v>
      </c>
      <c r="G10" s="48">
        <v>17</v>
      </c>
      <c r="H10" s="34"/>
      <c r="I10" s="47">
        <v>0</v>
      </c>
      <c r="J10" s="49">
        <v>18</v>
      </c>
      <c r="K10" s="17"/>
      <c r="L10" s="47">
        <v>0</v>
      </c>
      <c r="M10" s="48">
        <v>20</v>
      </c>
      <c r="N10" s="34"/>
      <c r="O10" s="47">
        <v>0</v>
      </c>
      <c r="P10" s="49">
        <v>20</v>
      </c>
      <c r="Q10" s="34"/>
      <c r="R10" s="51"/>
      <c r="S10" s="52"/>
      <c r="T10" s="51"/>
      <c r="U10" s="52"/>
      <c r="V10" s="34"/>
      <c r="W10" s="51"/>
      <c r="X10" s="52"/>
      <c r="Y10" s="51"/>
      <c r="Z10" s="52"/>
      <c r="AA10" s="34"/>
      <c r="AB10" s="47">
        <v>0</v>
      </c>
      <c r="AC10" s="49">
        <v>19</v>
      </c>
      <c r="AD10" s="47"/>
      <c r="AE10" s="49"/>
      <c r="AF10" s="1"/>
      <c r="AG10" s="1"/>
    </row>
    <row r="11" spans="1:33" ht="27.4" customHeight="1" x14ac:dyDescent="0.3">
      <c r="A11" s="2" t="s">
        <v>2</v>
      </c>
      <c r="B11" s="7"/>
      <c r="C11" s="47">
        <v>2</v>
      </c>
      <c r="D11" s="49">
        <v>17</v>
      </c>
      <c r="E11" s="17"/>
      <c r="F11" s="47">
        <v>2</v>
      </c>
      <c r="G11" s="48">
        <v>18</v>
      </c>
      <c r="H11" s="34"/>
      <c r="I11" s="47">
        <v>2</v>
      </c>
      <c r="J11" s="49">
        <v>16</v>
      </c>
      <c r="K11" s="23"/>
      <c r="L11" s="47">
        <v>2</v>
      </c>
      <c r="M11" s="48">
        <v>17</v>
      </c>
      <c r="N11" s="34"/>
      <c r="O11" s="47">
        <v>2</v>
      </c>
      <c r="P11" s="49">
        <v>18</v>
      </c>
      <c r="Q11" s="34"/>
      <c r="R11" s="18">
        <v>2</v>
      </c>
      <c r="S11" s="19">
        <v>15</v>
      </c>
      <c r="T11" s="18"/>
      <c r="U11" s="19"/>
      <c r="V11" s="34"/>
      <c r="W11" s="51"/>
      <c r="X11" s="52"/>
      <c r="Y11" s="51"/>
      <c r="Z11" s="52"/>
      <c r="AA11" s="34"/>
      <c r="AB11" s="51"/>
      <c r="AC11" s="52"/>
      <c r="AD11" s="51"/>
      <c r="AE11" s="52"/>
      <c r="AF11" s="1"/>
      <c r="AG11" s="1"/>
    </row>
    <row r="12" spans="1:33" ht="27.4" customHeight="1" x14ac:dyDescent="0.3">
      <c r="A12" s="2" t="s">
        <v>3</v>
      </c>
      <c r="B12" s="7"/>
      <c r="C12" s="47">
        <v>6</v>
      </c>
      <c r="D12" s="49">
        <v>41</v>
      </c>
      <c r="E12" s="17"/>
      <c r="F12" s="47">
        <v>6</v>
      </c>
      <c r="G12" s="48">
        <v>43</v>
      </c>
      <c r="H12" s="34"/>
      <c r="I12" s="47">
        <v>6</v>
      </c>
      <c r="J12" s="49">
        <v>42</v>
      </c>
      <c r="K12" s="23"/>
      <c r="L12" s="47">
        <v>6</v>
      </c>
      <c r="M12" s="48">
        <v>41</v>
      </c>
      <c r="N12" s="34"/>
      <c r="O12" s="47">
        <v>6</v>
      </c>
      <c r="P12" s="49">
        <v>44</v>
      </c>
      <c r="Q12" s="34"/>
      <c r="R12" s="18">
        <v>6</v>
      </c>
      <c r="S12" s="19">
        <v>43</v>
      </c>
      <c r="T12" s="18"/>
      <c r="U12" s="19"/>
      <c r="V12" s="34"/>
      <c r="W12" s="51"/>
      <c r="X12" s="52"/>
      <c r="Y12" s="51"/>
      <c r="Z12" s="52"/>
      <c r="AA12" s="34"/>
      <c r="AB12" s="51"/>
      <c r="AC12" s="52"/>
      <c r="AD12" s="51"/>
      <c r="AE12" s="52"/>
      <c r="AF12" s="1"/>
      <c r="AG12" s="1"/>
    </row>
    <row r="13" spans="1:33" ht="27.4" customHeight="1" x14ac:dyDescent="0.3">
      <c r="A13" s="2" t="s">
        <v>4</v>
      </c>
      <c r="B13" s="7"/>
      <c r="C13" s="47">
        <v>9</v>
      </c>
      <c r="D13" s="49">
        <v>41</v>
      </c>
      <c r="E13" s="17"/>
      <c r="F13" s="47">
        <v>8</v>
      </c>
      <c r="G13" s="48">
        <v>39</v>
      </c>
      <c r="H13" s="34"/>
      <c r="I13" s="47">
        <v>9</v>
      </c>
      <c r="J13" s="49">
        <v>42</v>
      </c>
      <c r="K13" s="23"/>
      <c r="L13" s="47">
        <v>9</v>
      </c>
      <c r="M13" s="48">
        <v>41</v>
      </c>
      <c r="N13" s="34"/>
      <c r="O13" s="47">
        <v>9</v>
      </c>
      <c r="P13" s="49">
        <v>44</v>
      </c>
      <c r="Q13" s="34"/>
      <c r="R13" s="51"/>
      <c r="S13" s="52"/>
      <c r="T13" s="51"/>
      <c r="U13" s="52"/>
      <c r="V13" s="34"/>
      <c r="W13" s="47">
        <v>8</v>
      </c>
      <c r="X13" s="49">
        <v>41</v>
      </c>
      <c r="Y13" s="47"/>
      <c r="Z13" s="48"/>
      <c r="AA13" s="34"/>
      <c r="AB13" s="51"/>
      <c r="AC13" s="52"/>
      <c r="AD13" s="51"/>
      <c r="AE13" s="52"/>
      <c r="AF13" s="1"/>
      <c r="AG13" s="1"/>
    </row>
    <row r="14" spans="1:33" ht="27.4" customHeight="1" x14ac:dyDescent="0.3">
      <c r="A14" s="2" t="s">
        <v>5</v>
      </c>
      <c r="B14" s="7"/>
      <c r="C14" s="47">
        <v>13</v>
      </c>
      <c r="D14" s="49">
        <v>38</v>
      </c>
      <c r="E14" s="17"/>
      <c r="F14" s="47">
        <v>8</v>
      </c>
      <c r="G14" s="48">
        <v>39</v>
      </c>
      <c r="H14" s="34"/>
      <c r="I14" s="47">
        <v>11</v>
      </c>
      <c r="J14" s="49">
        <v>40</v>
      </c>
      <c r="K14" s="23"/>
      <c r="L14" s="47">
        <v>12</v>
      </c>
      <c r="M14" s="48">
        <v>39</v>
      </c>
      <c r="N14" s="34"/>
      <c r="O14" s="47">
        <v>13</v>
      </c>
      <c r="P14" s="49">
        <v>41</v>
      </c>
      <c r="Q14" s="34"/>
      <c r="R14" s="51"/>
      <c r="S14" s="52"/>
      <c r="T14" s="51"/>
      <c r="U14" s="52"/>
      <c r="V14" s="34"/>
      <c r="W14" s="51"/>
      <c r="X14" s="52"/>
      <c r="Y14" s="51"/>
      <c r="Z14" s="52"/>
      <c r="AA14" s="34"/>
      <c r="AB14" s="47">
        <v>13</v>
      </c>
      <c r="AC14" s="49">
        <v>38</v>
      </c>
      <c r="AD14" s="47"/>
      <c r="AE14" s="49"/>
      <c r="AF14" s="1"/>
      <c r="AG14" s="1"/>
    </row>
    <row r="15" spans="1:33" ht="27.4" customHeight="1" x14ac:dyDescent="0.3">
      <c r="A15" s="2" t="s">
        <v>6</v>
      </c>
      <c r="B15" s="7"/>
      <c r="C15" s="47">
        <v>5</v>
      </c>
      <c r="D15" s="49">
        <v>50</v>
      </c>
      <c r="E15" s="17"/>
      <c r="F15" s="47">
        <v>6</v>
      </c>
      <c r="G15" s="48">
        <v>55</v>
      </c>
      <c r="H15" s="34"/>
      <c r="I15" s="47">
        <v>6</v>
      </c>
      <c r="J15" s="49">
        <v>51</v>
      </c>
      <c r="K15" s="23"/>
      <c r="L15" s="47">
        <v>6</v>
      </c>
      <c r="M15" s="48">
        <v>54</v>
      </c>
      <c r="N15" s="34"/>
      <c r="O15" s="47">
        <v>6</v>
      </c>
      <c r="P15" s="49">
        <v>52</v>
      </c>
      <c r="Q15" s="34"/>
      <c r="R15" s="51"/>
      <c r="S15" s="52"/>
      <c r="T15" s="51"/>
      <c r="U15" s="52"/>
      <c r="V15" s="34"/>
      <c r="W15" s="47">
        <v>4</v>
      </c>
      <c r="X15" s="49">
        <v>51</v>
      </c>
      <c r="Y15" s="47"/>
      <c r="Z15" s="48"/>
      <c r="AA15" s="34"/>
      <c r="AB15" s="51"/>
      <c r="AC15" s="52"/>
      <c r="AD15" s="51"/>
      <c r="AE15" s="52"/>
      <c r="AF15" s="1"/>
      <c r="AG15" s="1"/>
    </row>
    <row r="16" spans="1:33" ht="27.4" customHeight="1" x14ac:dyDescent="0.3">
      <c r="A16" s="2" t="s">
        <v>7</v>
      </c>
      <c r="B16" s="7"/>
      <c r="C16" s="47">
        <v>0</v>
      </c>
      <c r="D16" s="49">
        <v>30</v>
      </c>
      <c r="E16" s="17"/>
      <c r="F16" s="47">
        <v>0</v>
      </c>
      <c r="G16" s="48">
        <v>29</v>
      </c>
      <c r="H16" s="34"/>
      <c r="I16" s="47">
        <v>0</v>
      </c>
      <c r="J16" s="49">
        <v>28</v>
      </c>
      <c r="K16" s="23"/>
      <c r="L16" s="47">
        <v>0</v>
      </c>
      <c r="M16" s="48">
        <v>30</v>
      </c>
      <c r="N16" s="34"/>
      <c r="O16" s="47">
        <v>0</v>
      </c>
      <c r="P16" s="49">
        <v>38</v>
      </c>
      <c r="Q16" s="34"/>
      <c r="R16" s="51"/>
      <c r="S16" s="52"/>
      <c r="T16" s="51"/>
      <c r="U16" s="52"/>
      <c r="V16" s="34"/>
      <c r="W16" s="51"/>
      <c r="X16" s="52"/>
      <c r="Y16" s="51"/>
      <c r="Z16" s="52"/>
      <c r="AA16" s="34"/>
      <c r="AB16" s="47">
        <v>0</v>
      </c>
      <c r="AC16" s="49">
        <v>34</v>
      </c>
      <c r="AD16" s="47"/>
      <c r="AE16" s="49"/>
      <c r="AF16" s="1"/>
      <c r="AG16" s="1"/>
    </row>
    <row r="17" spans="1:33" ht="27.4" customHeight="1" x14ac:dyDescent="0.3">
      <c r="A17" s="2" t="s">
        <v>14</v>
      </c>
      <c r="B17" s="7"/>
      <c r="C17" s="47">
        <v>11</v>
      </c>
      <c r="D17" s="49">
        <v>15</v>
      </c>
      <c r="E17" s="17"/>
      <c r="F17" s="47">
        <v>11</v>
      </c>
      <c r="G17" s="48">
        <v>15</v>
      </c>
      <c r="H17" s="34"/>
      <c r="I17" s="47">
        <v>10</v>
      </c>
      <c r="J17" s="49">
        <v>15</v>
      </c>
      <c r="K17" s="23"/>
      <c r="L17" s="47">
        <v>11</v>
      </c>
      <c r="M17" s="48">
        <v>14</v>
      </c>
      <c r="N17" s="34"/>
      <c r="O17" s="47">
        <v>11</v>
      </c>
      <c r="P17" s="49">
        <v>14</v>
      </c>
      <c r="Q17" s="34"/>
      <c r="R17" s="18">
        <v>11</v>
      </c>
      <c r="S17" s="19">
        <v>15</v>
      </c>
      <c r="T17" s="18"/>
      <c r="U17" s="19"/>
      <c r="V17" s="34"/>
      <c r="W17" s="51"/>
      <c r="X17" s="52"/>
      <c r="Y17" s="51"/>
      <c r="Z17" s="52"/>
      <c r="AA17" s="34"/>
      <c r="AB17" s="51"/>
      <c r="AC17" s="52"/>
      <c r="AD17" s="51"/>
      <c r="AE17" s="52"/>
      <c r="AF17" s="1"/>
      <c r="AG17" s="1"/>
    </row>
    <row r="18" spans="1:33" ht="27.4" customHeight="1" x14ac:dyDescent="0.3">
      <c r="A18" s="2" t="s">
        <v>8</v>
      </c>
      <c r="B18" s="7"/>
      <c r="C18" s="47">
        <v>10</v>
      </c>
      <c r="D18" s="49">
        <v>27</v>
      </c>
      <c r="E18" s="17"/>
      <c r="F18" s="47">
        <v>11</v>
      </c>
      <c r="G18" s="48">
        <v>26</v>
      </c>
      <c r="H18" s="34"/>
      <c r="I18" s="47">
        <v>11</v>
      </c>
      <c r="J18" s="49">
        <v>25</v>
      </c>
      <c r="K18" s="23"/>
      <c r="L18" s="47">
        <v>11</v>
      </c>
      <c r="M18" s="48">
        <v>25</v>
      </c>
      <c r="N18" s="34"/>
      <c r="O18" s="47">
        <v>11</v>
      </c>
      <c r="P18" s="49">
        <v>28</v>
      </c>
      <c r="Q18" s="34"/>
      <c r="R18" s="18">
        <v>10</v>
      </c>
      <c r="S18" s="19">
        <v>21</v>
      </c>
      <c r="T18" s="18"/>
      <c r="U18" s="19"/>
      <c r="V18" s="34"/>
      <c r="W18" s="51"/>
      <c r="X18" s="52"/>
      <c r="Y18" s="51"/>
      <c r="Z18" s="52"/>
      <c r="AA18" s="34"/>
      <c r="AB18" s="51"/>
      <c r="AC18" s="52"/>
      <c r="AD18" s="51"/>
      <c r="AE18" s="52"/>
      <c r="AF18" s="1"/>
      <c r="AG18" s="1"/>
    </row>
    <row r="19" spans="1:33" ht="27.4" customHeight="1" x14ac:dyDescent="0.3">
      <c r="A19" s="2" t="s">
        <v>9</v>
      </c>
      <c r="B19" s="7"/>
      <c r="C19" s="47">
        <v>0</v>
      </c>
      <c r="D19" s="49">
        <v>126</v>
      </c>
      <c r="E19" s="17"/>
      <c r="F19" s="47">
        <v>0</v>
      </c>
      <c r="G19" s="48">
        <v>123</v>
      </c>
      <c r="H19" s="34"/>
      <c r="I19" s="47">
        <v>0</v>
      </c>
      <c r="J19" s="49">
        <v>125</v>
      </c>
      <c r="K19" s="23"/>
      <c r="L19" s="47">
        <v>0</v>
      </c>
      <c r="M19" s="48">
        <v>120</v>
      </c>
      <c r="N19" s="34"/>
      <c r="O19" s="47">
        <v>0</v>
      </c>
      <c r="P19" s="49">
        <v>134</v>
      </c>
      <c r="Q19" s="34"/>
      <c r="R19" s="51"/>
      <c r="S19" s="52"/>
      <c r="T19" s="51"/>
      <c r="U19" s="52"/>
      <c r="V19" s="34"/>
      <c r="W19" s="51"/>
      <c r="X19" s="52"/>
      <c r="Y19" s="51"/>
      <c r="Z19" s="52"/>
      <c r="AA19" s="34"/>
      <c r="AB19" s="47">
        <v>0</v>
      </c>
      <c r="AC19" s="49">
        <v>136</v>
      </c>
      <c r="AD19" s="47"/>
      <c r="AE19" s="49"/>
      <c r="AF19" s="1"/>
      <c r="AG19" s="1"/>
    </row>
    <row r="20" spans="1:33" ht="27.4" customHeight="1" x14ac:dyDescent="0.3">
      <c r="A20" s="2" t="s">
        <v>10</v>
      </c>
      <c r="B20" s="7"/>
      <c r="C20" s="47">
        <v>38</v>
      </c>
      <c r="D20" s="49">
        <v>42</v>
      </c>
      <c r="E20" s="17"/>
      <c r="F20" s="47">
        <v>40</v>
      </c>
      <c r="G20" s="48">
        <v>40</v>
      </c>
      <c r="H20" s="34"/>
      <c r="I20" s="47">
        <v>40</v>
      </c>
      <c r="J20" s="49">
        <v>41</v>
      </c>
      <c r="K20" s="23"/>
      <c r="L20" s="47">
        <v>38</v>
      </c>
      <c r="M20" s="48">
        <v>43</v>
      </c>
      <c r="N20" s="34"/>
      <c r="O20" s="47">
        <v>44</v>
      </c>
      <c r="P20" s="49">
        <v>44</v>
      </c>
      <c r="Q20" s="34"/>
      <c r="R20" s="51"/>
      <c r="S20" s="52"/>
      <c r="T20" s="51"/>
      <c r="U20" s="52"/>
      <c r="V20" s="34"/>
      <c r="W20" s="51"/>
      <c r="X20" s="52"/>
      <c r="Y20" s="51"/>
      <c r="Z20" s="52"/>
      <c r="AA20" s="34"/>
      <c r="AB20" s="47">
        <v>38</v>
      </c>
      <c r="AC20" s="49">
        <v>42</v>
      </c>
      <c r="AD20" s="47"/>
      <c r="AE20" s="49"/>
      <c r="AF20" s="1"/>
      <c r="AG20" s="1"/>
    </row>
    <row r="21" spans="1:33" ht="27.4" customHeight="1" x14ac:dyDescent="0.3">
      <c r="A21" s="2" t="s">
        <v>11</v>
      </c>
      <c r="B21" s="7"/>
      <c r="C21" s="47">
        <v>13</v>
      </c>
      <c r="D21" s="49">
        <v>34</v>
      </c>
      <c r="E21" s="17"/>
      <c r="F21" s="47">
        <v>11</v>
      </c>
      <c r="G21" s="48">
        <v>33</v>
      </c>
      <c r="H21" s="34"/>
      <c r="I21" s="47">
        <v>12</v>
      </c>
      <c r="J21" s="49">
        <v>33</v>
      </c>
      <c r="K21" s="23"/>
      <c r="L21" s="47">
        <v>10</v>
      </c>
      <c r="M21" s="48">
        <v>33</v>
      </c>
      <c r="N21" s="34"/>
      <c r="O21" s="47">
        <v>13</v>
      </c>
      <c r="P21" s="49">
        <v>37</v>
      </c>
      <c r="Q21" s="34"/>
      <c r="R21" s="51"/>
      <c r="S21" s="52"/>
      <c r="T21" s="51"/>
      <c r="U21" s="52"/>
      <c r="V21" s="34"/>
      <c r="W21" s="47">
        <v>10</v>
      </c>
      <c r="X21" s="49">
        <v>29</v>
      </c>
      <c r="Y21" s="47"/>
      <c r="Z21" s="48"/>
      <c r="AA21" s="34"/>
      <c r="AB21" s="51"/>
      <c r="AC21" s="52"/>
      <c r="AD21" s="51"/>
      <c r="AE21" s="52"/>
      <c r="AF21" s="1"/>
      <c r="AG21" s="1"/>
    </row>
    <row r="22" spans="1:33" ht="27.4" customHeight="1" x14ac:dyDescent="0.3">
      <c r="A22" s="2" t="s">
        <v>12</v>
      </c>
      <c r="B22" s="7"/>
      <c r="C22" s="47">
        <v>0</v>
      </c>
      <c r="D22" s="49">
        <v>14</v>
      </c>
      <c r="E22" s="17"/>
      <c r="F22" s="47">
        <v>0</v>
      </c>
      <c r="G22" s="48">
        <v>13</v>
      </c>
      <c r="H22" s="34"/>
      <c r="I22" s="47">
        <v>0</v>
      </c>
      <c r="J22" s="49">
        <v>15</v>
      </c>
      <c r="K22" s="23"/>
      <c r="L22" s="47">
        <v>0</v>
      </c>
      <c r="M22" s="48">
        <v>17</v>
      </c>
      <c r="N22" s="34"/>
      <c r="O22" s="47">
        <v>0</v>
      </c>
      <c r="P22" s="49">
        <v>16</v>
      </c>
      <c r="Q22" s="34"/>
      <c r="R22" s="51"/>
      <c r="S22" s="52"/>
      <c r="T22" s="51"/>
      <c r="U22" s="52"/>
      <c r="V22" s="34"/>
      <c r="W22" s="47">
        <v>0</v>
      </c>
      <c r="X22" s="49">
        <v>15</v>
      </c>
      <c r="Y22" s="47"/>
      <c r="Z22" s="48"/>
      <c r="AA22" s="34"/>
      <c r="AB22" s="51"/>
      <c r="AC22" s="52"/>
      <c r="AD22" s="51"/>
      <c r="AE22" s="52"/>
      <c r="AF22" s="1"/>
      <c r="AG22" s="1"/>
    </row>
    <row r="23" spans="1:33" ht="27.4" customHeight="1" x14ac:dyDescent="0.3">
      <c r="A23" s="2" t="s">
        <v>13</v>
      </c>
      <c r="B23" s="7"/>
      <c r="C23" s="47">
        <v>11</v>
      </c>
      <c r="D23" s="49">
        <v>42</v>
      </c>
      <c r="E23" s="17"/>
      <c r="F23" s="47">
        <v>9</v>
      </c>
      <c r="G23" s="48">
        <v>42</v>
      </c>
      <c r="H23" s="34"/>
      <c r="I23" s="47">
        <v>10</v>
      </c>
      <c r="J23" s="49">
        <v>43</v>
      </c>
      <c r="K23" s="23"/>
      <c r="L23" s="47">
        <v>12</v>
      </c>
      <c r="M23" s="48">
        <v>44</v>
      </c>
      <c r="N23" s="34"/>
      <c r="O23" s="47">
        <v>11</v>
      </c>
      <c r="P23" s="49">
        <v>47</v>
      </c>
      <c r="Q23" s="34"/>
      <c r="R23" s="18">
        <v>9</v>
      </c>
      <c r="S23" s="19">
        <v>40</v>
      </c>
      <c r="T23" s="18"/>
      <c r="U23" s="19"/>
      <c r="V23" s="34"/>
      <c r="W23" s="51"/>
      <c r="X23" s="52"/>
      <c r="Y23" s="51"/>
      <c r="Z23" s="52"/>
      <c r="AA23" s="34"/>
      <c r="AB23" s="51"/>
      <c r="AC23" s="52"/>
      <c r="AD23" s="51"/>
      <c r="AE23" s="52"/>
      <c r="AF23" s="1"/>
      <c r="AG23" s="1"/>
    </row>
    <row r="24" spans="1:33" ht="4.9000000000000004" customHeight="1" x14ac:dyDescent="0.3">
      <c r="A24" s="6"/>
      <c r="B24" s="8"/>
      <c r="C24" s="20"/>
      <c r="D24" s="21"/>
      <c r="E24" s="17"/>
      <c r="F24" s="20"/>
      <c r="G24" s="15"/>
      <c r="H24" s="34"/>
      <c r="I24" s="20"/>
      <c r="J24" s="21"/>
      <c r="K24" s="23"/>
      <c r="L24" s="20"/>
      <c r="M24" s="15"/>
      <c r="N24" s="34"/>
      <c r="O24" s="20"/>
      <c r="P24" s="21"/>
      <c r="Q24" s="34"/>
      <c r="R24" s="20"/>
      <c r="S24" s="21"/>
      <c r="T24" s="20"/>
      <c r="U24" s="15"/>
      <c r="V24" s="34"/>
      <c r="W24" s="20"/>
      <c r="X24" s="21"/>
      <c r="Y24" s="20"/>
      <c r="Z24" s="21"/>
      <c r="AA24" s="34"/>
      <c r="AB24" s="20"/>
      <c r="AC24" s="21"/>
      <c r="AD24" s="20"/>
      <c r="AE24" s="21"/>
      <c r="AF24" s="1"/>
      <c r="AG24" s="1"/>
    </row>
    <row r="25" spans="1:33" s="3" customFormat="1" ht="27.4" customHeight="1" x14ac:dyDescent="0.2">
      <c r="A25" s="2" t="s">
        <v>40</v>
      </c>
      <c r="B25" s="7"/>
      <c r="C25" s="18">
        <f t="shared" ref="C25:D25" si="0">SUM(C7:C23)</f>
        <v>272</v>
      </c>
      <c r="D25" s="19">
        <f t="shared" si="0"/>
        <v>976</v>
      </c>
      <c r="E25" s="17"/>
      <c r="F25" s="18">
        <f>SUM(F7:F23)</f>
        <v>254</v>
      </c>
      <c r="G25" s="14">
        <f>SUM(G7:G23)</f>
        <v>957</v>
      </c>
      <c r="H25" s="34"/>
      <c r="I25" s="18">
        <f t="shared" ref="I25" si="1">SUM(I7:I23)</f>
        <v>256</v>
      </c>
      <c r="J25" s="19">
        <f>SUM(J7:J23)</f>
        <v>959</v>
      </c>
      <c r="K25" s="23"/>
      <c r="L25" s="18">
        <f>SUM(L7:L23)</f>
        <v>251</v>
      </c>
      <c r="M25" s="14">
        <f>SUM(M7:M23)</f>
        <v>973</v>
      </c>
      <c r="N25" s="34"/>
      <c r="O25" s="18">
        <f t="shared" ref="O25:P25" si="2">SUM(O7:O23)</f>
        <v>277</v>
      </c>
      <c r="P25" s="19">
        <f t="shared" si="2"/>
        <v>1031</v>
      </c>
      <c r="Q25" s="34"/>
      <c r="R25" s="18">
        <f t="shared" ref="R25:S25" si="3">SUM(R7:R23)</f>
        <v>121</v>
      </c>
      <c r="S25" s="19">
        <f t="shared" si="3"/>
        <v>380</v>
      </c>
      <c r="T25" s="18">
        <f>SUM(T7:T23)</f>
        <v>0</v>
      </c>
      <c r="U25" s="14">
        <f>SUM(U7:U23)</f>
        <v>0</v>
      </c>
      <c r="V25" s="34"/>
      <c r="W25" s="18">
        <f t="shared" ref="W25:X25" si="4">SUM(W7:W23)</f>
        <v>70</v>
      </c>
      <c r="X25" s="19">
        <f t="shared" si="4"/>
        <v>308</v>
      </c>
      <c r="Y25" s="18">
        <f>SUM(Y7:Y23)</f>
        <v>0</v>
      </c>
      <c r="Z25" s="19">
        <f>SUM(Z7:Z23)</f>
        <v>0</v>
      </c>
      <c r="AA25" s="34"/>
      <c r="AB25" s="18">
        <f t="shared" ref="AB25:AC25" si="5">SUM(AB7:AB23)</f>
        <v>51</v>
      </c>
      <c r="AC25" s="19">
        <f t="shared" si="5"/>
        <v>269</v>
      </c>
      <c r="AD25" s="18">
        <f>SUM(AD7:AD23)</f>
        <v>0</v>
      </c>
      <c r="AE25" s="19">
        <f>SUM(AE7:AE23)</f>
        <v>0</v>
      </c>
    </row>
    <row r="26" spans="1:33" s="3" customFormat="1" ht="27.4" customHeight="1" x14ac:dyDescent="0.2">
      <c r="A26" s="24" t="s">
        <v>16</v>
      </c>
      <c r="B26" s="7"/>
      <c r="C26" s="88">
        <f>C25+D25</f>
        <v>1248</v>
      </c>
      <c r="D26" s="87"/>
      <c r="E26" s="17"/>
      <c r="F26" s="88">
        <f>F25+G25</f>
        <v>1211</v>
      </c>
      <c r="G26" s="93"/>
      <c r="H26" s="34"/>
      <c r="I26" s="88">
        <f>I25+J25</f>
        <v>1215</v>
      </c>
      <c r="J26" s="87"/>
      <c r="K26" s="23"/>
      <c r="L26" s="88">
        <f>L25+M25</f>
        <v>1224</v>
      </c>
      <c r="M26" s="93"/>
      <c r="N26" s="34"/>
      <c r="O26" s="88">
        <f>O25+P25</f>
        <v>1308</v>
      </c>
      <c r="P26" s="87"/>
      <c r="Q26" s="34"/>
      <c r="R26" s="88">
        <f>R25+S25</f>
        <v>501</v>
      </c>
      <c r="S26" s="87"/>
      <c r="T26" s="88">
        <f>T25+U25</f>
        <v>0</v>
      </c>
      <c r="U26" s="93"/>
      <c r="V26" s="34"/>
      <c r="W26" s="88">
        <f>W25+X25</f>
        <v>378</v>
      </c>
      <c r="X26" s="87"/>
      <c r="Y26" s="88">
        <f>Y25+Z25</f>
        <v>0</v>
      </c>
      <c r="Z26" s="87"/>
      <c r="AA26" s="34"/>
      <c r="AB26" s="88">
        <f>AB25+AC25</f>
        <v>320</v>
      </c>
      <c r="AC26" s="87"/>
      <c r="AD26" s="88">
        <f>AD25+AE25</f>
        <v>0</v>
      </c>
      <c r="AE26" s="87"/>
    </row>
  </sheetData>
  <mergeCells count="35">
    <mergeCell ref="L3:M3"/>
    <mergeCell ref="O3:P3"/>
    <mergeCell ref="R3:U3"/>
    <mergeCell ref="W3:Z3"/>
    <mergeCell ref="R5:S5"/>
    <mergeCell ref="T5:U5"/>
    <mergeCell ref="W5:X5"/>
    <mergeCell ref="Y5:Z5"/>
    <mergeCell ref="L5:M5"/>
    <mergeCell ref="O5:P5"/>
    <mergeCell ref="A1:B1"/>
    <mergeCell ref="E3:H3"/>
    <mergeCell ref="I3:J3"/>
    <mergeCell ref="I2:J2"/>
    <mergeCell ref="I5:J5"/>
    <mergeCell ref="C5:D5"/>
    <mergeCell ref="F5:G5"/>
    <mergeCell ref="C3:D3"/>
    <mergeCell ref="C26:D26"/>
    <mergeCell ref="F26:G26"/>
    <mergeCell ref="I26:J26"/>
    <mergeCell ref="L26:M26"/>
    <mergeCell ref="O26:P26"/>
    <mergeCell ref="AB26:AC26"/>
    <mergeCell ref="AD26:AE26"/>
    <mergeCell ref="R2:U2"/>
    <mergeCell ref="AB2:AE2"/>
    <mergeCell ref="AB3:AE3"/>
    <mergeCell ref="AB5:AC5"/>
    <mergeCell ref="AD5:AE5"/>
    <mergeCell ref="T26:U26"/>
    <mergeCell ref="W2:Z2"/>
    <mergeCell ref="W26:X26"/>
    <mergeCell ref="Y26:Z26"/>
    <mergeCell ref="R26:S26"/>
  </mergeCells>
  <printOptions horizontalCentered="1" verticalCentered="1"/>
  <pageMargins left="0" right="0" top="0" bottom="0" header="0" footer="0"/>
  <pageSetup scale="54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J27"/>
  <sheetViews>
    <sheetView workbookViewId="0">
      <pane ySplit="6" topLeftCell="A7" activePane="bottomLeft" state="frozen"/>
      <selection pane="bottomLeft" activeCell="AH8" sqref="AH8"/>
    </sheetView>
  </sheetViews>
  <sheetFormatPr defaultColWidth="8.85546875" defaultRowHeight="20.25" x14ac:dyDescent="0.3"/>
  <cols>
    <col min="1" max="1" width="24.5703125" style="1" customWidth="1"/>
    <col min="2" max="2" width="8.85546875" style="1"/>
    <col min="3" max="6" width="6.7109375" style="1" customWidth="1"/>
    <col min="7" max="7" width="8.85546875" style="1"/>
    <col min="8" max="11" width="6.7109375" style="1" customWidth="1"/>
    <col min="12" max="12" width="8.85546875" style="1"/>
    <col min="13" max="16" width="6.7109375" style="1" customWidth="1"/>
    <col min="17" max="17" width="8.85546875" style="1"/>
    <col min="18" max="21" width="6.7109375" style="1" customWidth="1"/>
    <col min="22" max="22" width="8.85546875" style="1"/>
    <col min="23" max="26" width="6.7109375" style="1" customWidth="1"/>
    <col min="27" max="27" width="8.85546875" style="1"/>
    <col min="28" max="31" width="6.7109375" style="1" customWidth="1"/>
    <col min="32" max="32" width="8.85546875" style="1"/>
    <col min="33" max="33" width="7.140625" style="1" customWidth="1"/>
    <col min="34" max="34" width="6.85546875" style="1" customWidth="1"/>
    <col min="35" max="35" width="7.42578125" style="1" customWidth="1"/>
    <col min="36" max="36" width="7.140625" style="1" customWidth="1"/>
    <col min="37" max="16384" width="8.85546875" style="1"/>
  </cols>
  <sheetData>
    <row r="1" spans="1:36" x14ac:dyDescent="0.3">
      <c r="A1" s="9" t="s">
        <v>28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Q1" s="9"/>
      <c r="R1" s="9"/>
      <c r="S1" s="9"/>
      <c r="T1" s="9"/>
      <c r="U1" s="9"/>
      <c r="V1" s="9"/>
      <c r="W1" s="9"/>
      <c r="X1" s="9"/>
      <c r="AA1" s="9"/>
      <c r="AB1" s="9"/>
      <c r="AC1" s="9"/>
    </row>
    <row r="2" spans="1:36" x14ac:dyDescent="0.3">
      <c r="C2" s="98" t="s">
        <v>27</v>
      </c>
      <c r="D2" s="98"/>
      <c r="E2" s="98"/>
      <c r="F2" s="98"/>
      <c r="H2" s="26" t="s">
        <v>29</v>
      </c>
      <c r="M2" s="26" t="s">
        <v>29</v>
      </c>
      <c r="R2" s="26" t="s">
        <v>29</v>
      </c>
      <c r="W2" s="26" t="s">
        <v>29</v>
      </c>
      <c r="AB2" s="26" t="s">
        <v>29</v>
      </c>
      <c r="AG2" s="26" t="s">
        <v>29</v>
      </c>
    </row>
    <row r="3" spans="1:36" x14ac:dyDescent="0.3">
      <c r="C3" s="96" t="s">
        <v>50</v>
      </c>
      <c r="D3" s="96"/>
      <c r="E3" s="96"/>
      <c r="F3" s="96"/>
      <c r="G3" s="32"/>
      <c r="H3" s="96" t="s">
        <v>30</v>
      </c>
      <c r="I3" s="96"/>
      <c r="J3" s="96"/>
      <c r="K3" s="96"/>
      <c r="L3" s="32"/>
      <c r="M3" s="96" t="s">
        <v>34</v>
      </c>
      <c r="N3" s="96"/>
      <c r="O3" s="96"/>
      <c r="P3" s="96"/>
      <c r="Q3" s="32"/>
      <c r="R3" s="97" t="s">
        <v>74</v>
      </c>
      <c r="S3" s="97"/>
      <c r="T3" s="97"/>
      <c r="U3" s="97"/>
      <c r="V3" s="32"/>
      <c r="W3" s="99" t="s">
        <v>75</v>
      </c>
      <c r="X3" s="99"/>
      <c r="Y3" s="99"/>
      <c r="Z3" s="99"/>
      <c r="AA3" s="32"/>
      <c r="AB3" s="83" t="s">
        <v>76</v>
      </c>
      <c r="AC3" s="83"/>
      <c r="AD3" s="83"/>
      <c r="AE3" s="83"/>
      <c r="AG3" s="83" t="s">
        <v>51</v>
      </c>
      <c r="AH3" s="83"/>
      <c r="AI3" s="83"/>
      <c r="AJ3" s="83"/>
    </row>
    <row r="4" spans="1:36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G4" s="12"/>
      <c r="AH4" s="12"/>
      <c r="AI4" s="12"/>
      <c r="AJ4" s="12"/>
    </row>
    <row r="5" spans="1:36" s="4" customFormat="1" ht="23.25" x14ac:dyDescent="0.35">
      <c r="A5" s="2"/>
      <c r="B5" s="7"/>
      <c r="C5" s="88" t="s">
        <v>42</v>
      </c>
      <c r="D5" s="87"/>
      <c r="E5" s="88" t="s">
        <v>43</v>
      </c>
      <c r="F5" s="87"/>
      <c r="G5" s="17"/>
      <c r="H5" s="88" t="s">
        <v>42</v>
      </c>
      <c r="I5" s="87"/>
      <c r="J5" s="88" t="s">
        <v>43</v>
      </c>
      <c r="K5" s="87"/>
      <c r="L5" s="17"/>
      <c r="M5" s="88" t="s">
        <v>42</v>
      </c>
      <c r="N5" s="87"/>
      <c r="O5" s="88" t="s">
        <v>43</v>
      </c>
      <c r="P5" s="87"/>
      <c r="Q5" s="17"/>
      <c r="R5" s="88" t="s">
        <v>42</v>
      </c>
      <c r="S5" s="87"/>
      <c r="T5" s="88" t="s">
        <v>43</v>
      </c>
      <c r="U5" s="87"/>
      <c r="V5" s="17"/>
      <c r="W5" s="88" t="s">
        <v>42</v>
      </c>
      <c r="X5" s="87"/>
      <c r="Y5" s="88" t="s">
        <v>43</v>
      </c>
      <c r="Z5" s="87"/>
      <c r="AA5" s="17"/>
      <c r="AB5" s="88" t="s">
        <v>42</v>
      </c>
      <c r="AC5" s="87"/>
      <c r="AD5" s="88" t="s">
        <v>43</v>
      </c>
      <c r="AE5" s="87"/>
      <c r="AF5" s="17"/>
      <c r="AG5" s="88" t="s">
        <v>42</v>
      </c>
      <c r="AH5" s="87"/>
      <c r="AI5" s="88" t="s">
        <v>43</v>
      </c>
      <c r="AJ5" s="87"/>
    </row>
    <row r="6" spans="1:36" ht="27.4" customHeight="1" x14ac:dyDescent="0.3">
      <c r="A6" s="2"/>
      <c r="B6" s="7"/>
      <c r="C6" s="18" t="s">
        <v>38</v>
      </c>
      <c r="D6" s="14" t="s">
        <v>39</v>
      </c>
      <c r="E6" s="18" t="s">
        <v>38</v>
      </c>
      <c r="F6" s="19" t="s">
        <v>39</v>
      </c>
      <c r="G6" s="17"/>
      <c r="H6" s="18" t="s">
        <v>38</v>
      </c>
      <c r="I6" s="14" t="s">
        <v>39</v>
      </c>
      <c r="J6" s="18" t="s">
        <v>38</v>
      </c>
      <c r="K6" s="19" t="s">
        <v>39</v>
      </c>
      <c r="L6" s="17"/>
      <c r="M6" s="18" t="s">
        <v>38</v>
      </c>
      <c r="N6" s="14" t="s">
        <v>39</v>
      </c>
      <c r="O6" s="18" t="s">
        <v>38</v>
      </c>
      <c r="P6" s="19" t="s">
        <v>39</v>
      </c>
      <c r="Q6" s="17"/>
      <c r="R6" s="18" t="s">
        <v>38</v>
      </c>
      <c r="S6" s="14" t="s">
        <v>39</v>
      </c>
      <c r="T6" s="18" t="s">
        <v>38</v>
      </c>
      <c r="U6" s="19" t="s">
        <v>39</v>
      </c>
      <c r="V6" s="17"/>
      <c r="W6" s="18" t="s">
        <v>38</v>
      </c>
      <c r="X6" s="14" t="s">
        <v>39</v>
      </c>
      <c r="Y6" s="18" t="s">
        <v>38</v>
      </c>
      <c r="Z6" s="19" t="s">
        <v>39</v>
      </c>
      <c r="AA6" s="17"/>
      <c r="AB6" s="18" t="s">
        <v>38</v>
      </c>
      <c r="AC6" s="14" t="s">
        <v>39</v>
      </c>
      <c r="AD6" s="18" t="s">
        <v>38</v>
      </c>
      <c r="AE6" s="19" t="s">
        <v>39</v>
      </c>
      <c r="AF6" s="17"/>
      <c r="AG6" s="18" t="s">
        <v>38</v>
      </c>
      <c r="AH6" s="14" t="s">
        <v>39</v>
      </c>
      <c r="AI6" s="18" t="s">
        <v>38</v>
      </c>
      <c r="AJ6" s="19" t="s">
        <v>39</v>
      </c>
    </row>
    <row r="7" spans="1:36" ht="27.4" customHeight="1" x14ac:dyDescent="0.3">
      <c r="A7" s="2" t="s">
        <v>35</v>
      </c>
      <c r="B7" s="7"/>
      <c r="C7" s="47">
        <v>53</v>
      </c>
      <c r="D7" s="49">
        <v>159</v>
      </c>
      <c r="E7" s="50">
        <v>18</v>
      </c>
      <c r="F7" s="49">
        <v>52</v>
      </c>
      <c r="G7" s="17"/>
      <c r="H7" s="47">
        <v>59</v>
      </c>
      <c r="I7" s="48">
        <v>159</v>
      </c>
      <c r="J7" s="47">
        <v>11</v>
      </c>
      <c r="K7" s="49">
        <v>51</v>
      </c>
      <c r="L7" s="17"/>
      <c r="M7" s="47">
        <v>45</v>
      </c>
      <c r="N7" s="48">
        <v>116</v>
      </c>
      <c r="O7" s="47">
        <v>25</v>
      </c>
      <c r="P7" s="49">
        <v>94</v>
      </c>
      <c r="Q7" s="17"/>
      <c r="R7" s="47">
        <v>43</v>
      </c>
      <c r="S7" s="48">
        <v>114</v>
      </c>
      <c r="T7" s="47">
        <v>27</v>
      </c>
      <c r="U7" s="49">
        <v>96</v>
      </c>
      <c r="V7" s="17"/>
      <c r="W7" s="47">
        <v>38</v>
      </c>
      <c r="X7" s="48">
        <v>121</v>
      </c>
      <c r="Y7" s="47">
        <v>32</v>
      </c>
      <c r="Z7" s="49">
        <v>88</v>
      </c>
      <c r="AA7" s="17"/>
      <c r="AB7" s="47">
        <v>43</v>
      </c>
      <c r="AC7" s="48">
        <v>118</v>
      </c>
      <c r="AD7" s="47">
        <v>27</v>
      </c>
      <c r="AE7" s="49">
        <v>94</v>
      </c>
      <c r="AF7" s="17"/>
      <c r="AG7" s="47">
        <v>55</v>
      </c>
      <c r="AH7" s="48">
        <v>160</v>
      </c>
      <c r="AI7" s="47">
        <v>15</v>
      </c>
      <c r="AJ7" s="49">
        <v>47</v>
      </c>
    </row>
    <row r="8" spans="1:36" ht="27.4" customHeight="1" x14ac:dyDescent="0.3">
      <c r="A8" s="2" t="s">
        <v>36</v>
      </c>
      <c r="B8" s="7"/>
      <c r="C8" s="47">
        <v>34</v>
      </c>
      <c r="D8" s="49">
        <v>122</v>
      </c>
      <c r="E8" s="50">
        <v>10</v>
      </c>
      <c r="F8" s="49">
        <v>27</v>
      </c>
      <c r="G8" s="17"/>
      <c r="H8" s="47">
        <v>34</v>
      </c>
      <c r="I8" s="48">
        <v>123</v>
      </c>
      <c r="J8" s="47">
        <v>9</v>
      </c>
      <c r="K8" s="49">
        <v>27</v>
      </c>
      <c r="L8" s="17"/>
      <c r="M8" s="47">
        <v>27</v>
      </c>
      <c r="N8" s="48">
        <v>99</v>
      </c>
      <c r="O8" s="47">
        <v>17</v>
      </c>
      <c r="P8" s="49">
        <v>49</v>
      </c>
      <c r="Q8" s="17"/>
      <c r="R8" s="47">
        <v>27</v>
      </c>
      <c r="S8" s="48">
        <v>99</v>
      </c>
      <c r="T8" s="47">
        <v>17</v>
      </c>
      <c r="U8" s="49">
        <v>48</v>
      </c>
      <c r="V8" s="17"/>
      <c r="W8" s="47">
        <v>30</v>
      </c>
      <c r="X8" s="48">
        <v>100</v>
      </c>
      <c r="Y8" s="47">
        <v>14</v>
      </c>
      <c r="Z8" s="49">
        <v>47</v>
      </c>
      <c r="AA8" s="17"/>
      <c r="AB8" s="47">
        <v>31</v>
      </c>
      <c r="AC8" s="48">
        <v>110</v>
      </c>
      <c r="AD8" s="47">
        <v>13</v>
      </c>
      <c r="AE8" s="49">
        <v>38</v>
      </c>
      <c r="AF8" s="17"/>
      <c r="AG8" s="47">
        <v>34</v>
      </c>
      <c r="AH8" s="48">
        <v>116</v>
      </c>
      <c r="AI8" s="47">
        <v>11</v>
      </c>
      <c r="AJ8" s="49">
        <v>31</v>
      </c>
    </row>
    <row r="9" spans="1:36" ht="27.4" customHeight="1" x14ac:dyDescent="0.3">
      <c r="A9" s="2" t="s">
        <v>0</v>
      </c>
      <c r="B9" s="7"/>
      <c r="C9" s="47">
        <v>4</v>
      </c>
      <c r="D9" s="49">
        <v>2</v>
      </c>
      <c r="E9" s="50">
        <v>2</v>
      </c>
      <c r="F9" s="49">
        <v>0</v>
      </c>
      <c r="G9" s="17"/>
      <c r="H9" s="47">
        <v>3</v>
      </c>
      <c r="I9" s="48">
        <v>2</v>
      </c>
      <c r="J9" s="47">
        <v>3</v>
      </c>
      <c r="K9" s="49">
        <v>0</v>
      </c>
      <c r="L9" s="17"/>
      <c r="M9" s="47">
        <v>2</v>
      </c>
      <c r="N9" s="48">
        <v>2</v>
      </c>
      <c r="O9" s="47">
        <v>4</v>
      </c>
      <c r="P9" s="49">
        <v>0</v>
      </c>
      <c r="Q9" s="17"/>
      <c r="R9" s="47">
        <v>2</v>
      </c>
      <c r="S9" s="48">
        <v>2</v>
      </c>
      <c r="T9" s="47">
        <v>4</v>
      </c>
      <c r="U9" s="49">
        <v>0</v>
      </c>
      <c r="V9" s="17"/>
      <c r="W9" s="47">
        <v>2</v>
      </c>
      <c r="X9" s="48">
        <v>2</v>
      </c>
      <c r="Y9" s="47">
        <v>4</v>
      </c>
      <c r="Z9" s="49">
        <v>0</v>
      </c>
      <c r="AA9" s="17"/>
      <c r="AB9" s="47">
        <v>0</v>
      </c>
      <c r="AC9" s="48">
        <v>2</v>
      </c>
      <c r="AD9" s="47">
        <v>5</v>
      </c>
      <c r="AE9" s="49">
        <v>0</v>
      </c>
      <c r="AF9" s="17"/>
      <c r="AG9" s="47">
        <v>3</v>
      </c>
      <c r="AH9" s="48">
        <v>2</v>
      </c>
      <c r="AI9" s="47">
        <v>3</v>
      </c>
      <c r="AJ9" s="49">
        <v>0</v>
      </c>
    </row>
    <row r="10" spans="1:36" ht="27.4" customHeight="1" x14ac:dyDescent="0.3">
      <c r="A10" s="2" t="s">
        <v>1</v>
      </c>
      <c r="B10" s="7"/>
      <c r="C10" s="47">
        <v>0</v>
      </c>
      <c r="D10" s="49">
        <v>11</v>
      </c>
      <c r="E10" s="50">
        <v>0</v>
      </c>
      <c r="F10" s="49">
        <v>2</v>
      </c>
      <c r="G10" s="17"/>
      <c r="H10" s="47">
        <v>0</v>
      </c>
      <c r="I10" s="48">
        <v>10</v>
      </c>
      <c r="J10" s="47">
        <v>0</v>
      </c>
      <c r="K10" s="49">
        <v>2</v>
      </c>
      <c r="L10" s="17"/>
      <c r="M10" s="47">
        <v>0</v>
      </c>
      <c r="N10" s="48">
        <v>7</v>
      </c>
      <c r="O10" s="47">
        <v>0</v>
      </c>
      <c r="P10" s="49">
        <v>5</v>
      </c>
      <c r="Q10" s="17"/>
      <c r="R10" s="47">
        <v>0</v>
      </c>
      <c r="S10" s="48">
        <v>9</v>
      </c>
      <c r="T10" s="47">
        <v>0</v>
      </c>
      <c r="U10" s="49">
        <v>4</v>
      </c>
      <c r="V10" s="17"/>
      <c r="W10" s="47">
        <v>0</v>
      </c>
      <c r="X10" s="48">
        <v>10</v>
      </c>
      <c r="Y10" s="47">
        <v>0</v>
      </c>
      <c r="Z10" s="49">
        <v>3</v>
      </c>
      <c r="AA10" s="17"/>
      <c r="AB10" s="47">
        <v>0</v>
      </c>
      <c r="AC10" s="48">
        <v>8</v>
      </c>
      <c r="AD10" s="47">
        <v>0</v>
      </c>
      <c r="AE10" s="49">
        <v>4</v>
      </c>
      <c r="AF10" s="17"/>
      <c r="AG10" s="47">
        <v>0</v>
      </c>
      <c r="AH10" s="48">
        <v>11</v>
      </c>
      <c r="AI10" s="47">
        <v>0</v>
      </c>
      <c r="AJ10" s="49">
        <v>2</v>
      </c>
    </row>
    <row r="11" spans="1:36" ht="27.4" customHeight="1" x14ac:dyDescent="0.3">
      <c r="A11" s="2" t="s">
        <v>2</v>
      </c>
      <c r="B11" s="7"/>
      <c r="C11" s="47">
        <v>2</v>
      </c>
      <c r="D11" s="49">
        <v>12</v>
      </c>
      <c r="E11" s="50">
        <v>0</v>
      </c>
      <c r="F11" s="49">
        <v>1</v>
      </c>
      <c r="G11" s="17"/>
      <c r="H11" s="47">
        <v>2</v>
      </c>
      <c r="I11" s="48">
        <v>11</v>
      </c>
      <c r="J11" s="47">
        <v>0</v>
      </c>
      <c r="K11" s="49">
        <v>2</v>
      </c>
      <c r="L11" s="23"/>
      <c r="M11" s="47">
        <v>0</v>
      </c>
      <c r="N11" s="48">
        <v>12</v>
      </c>
      <c r="O11" s="47">
        <v>2</v>
      </c>
      <c r="P11" s="49">
        <v>1</v>
      </c>
      <c r="Q11" s="17"/>
      <c r="R11" s="47">
        <v>0</v>
      </c>
      <c r="S11" s="48">
        <v>12</v>
      </c>
      <c r="T11" s="47">
        <v>2</v>
      </c>
      <c r="U11" s="49">
        <v>1</v>
      </c>
      <c r="V11" s="23"/>
      <c r="W11" s="47">
        <v>0</v>
      </c>
      <c r="X11" s="48">
        <v>11</v>
      </c>
      <c r="Y11" s="47">
        <v>2</v>
      </c>
      <c r="Z11" s="49">
        <v>2</v>
      </c>
      <c r="AA11" s="23"/>
      <c r="AB11" s="47">
        <v>0</v>
      </c>
      <c r="AC11" s="48">
        <v>12</v>
      </c>
      <c r="AD11" s="47">
        <v>2</v>
      </c>
      <c r="AE11" s="49">
        <v>1</v>
      </c>
      <c r="AF11" s="23"/>
      <c r="AG11" s="47">
        <v>2</v>
      </c>
      <c r="AH11" s="48">
        <v>10</v>
      </c>
      <c r="AI11" s="47">
        <v>0</v>
      </c>
      <c r="AJ11" s="49">
        <v>2</v>
      </c>
    </row>
    <row r="12" spans="1:36" ht="27.4" customHeight="1" x14ac:dyDescent="0.3">
      <c r="A12" s="2" t="s">
        <v>3</v>
      </c>
      <c r="B12" s="7"/>
      <c r="C12" s="47">
        <v>2</v>
      </c>
      <c r="D12" s="49">
        <v>26</v>
      </c>
      <c r="E12" s="50">
        <v>2</v>
      </c>
      <c r="F12" s="49">
        <v>10</v>
      </c>
      <c r="G12" s="17"/>
      <c r="H12" s="47">
        <v>2</v>
      </c>
      <c r="I12" s="48">
        <v>25</v>
      </c>
      <c r="J12" s="47">
        <v>2</v>
      </c>
      <c r="K12" s="49">
        <v>10</v>
      </c>
      <c r="L12" s="23"/>
      <c r="M12" s="47">
        <v>4</v>
      </c>
      <c r="N12" s="48">
        <v>18</v>
      </c>
      <c r="O12" s="47">
        <v>1</v>
      </c>
      <c r="P12" s="49">
        <v>16</v>
      </c>
      <c r="Q12" s="17"/>
      <c r="R12" s="47">
        <v>3</v>
      </c>
      <c r="S12" s="48">
        <v>20</v>
      </c>
      <c r="T12" s="47">
        <v>1</v>
      </c>
      <c r="U12" s="49">
        <v>15</v>
      </c>
      <c r="V12" s="23"/>
      <c r="W12" s="47">
        <v>3</v>
      </c>
      <c r="X12" s="48">
        <v>20</v>
      </c>
      <c r="Y12" s="47">
        <v>1</v>
      </c>
      <c r="Z12" s="49">
        <v>16</v>
      </c>
      <c r="AA12" s="23"/>
      <c r="AB12" s="47">
        <v>3</v>
      </c>
      <c r="AC12" s="48">
        <v>22</v>
      </c>
      <c r="AD12" s="47">
        <v>1</v>
      </c>
      <c r="AE12" s="49">
        <v>13</v>
      </c>
      <c r="AF12" s="23"/>
      <c r="AG12" s="47">
        <v>2</v>
      </c>
      <c r="AH12" s="48">
        <v>23</v>
      </c>
      <c r="AI12" s="47">
        <v>2</v>
      </c>
      <c r="AJ12" s="49">
        <v>12</v>
      </c>
    </row>
    <row r="13" spans="1:36" ht="27.4" customHeight="1" x14ac:dyDescent="0.3">
      <c r="A13" s="2" t="s">
        <v>4</v>
      </c>
      <c r="B13" s="7"/>
      <c r="C13" s="47">
        <v>5</v>
      </c>
      <c r="D13" s="49">
        <v>23</v>
      </c>
      <c r="E13" s="50">
        <v>3</v>
      </c>
      <c r="F13" s="49">
        <v>6</v>
      </c>
      <c r="G13" s="17"/>
      <c r="H13" s="47">
        <v>5</v>
      </c>
      <c r="I13" s="48">
        <v>24</v>
      </c>
      <c r="J13" s="47">
        <v>3</v>
      </c>
      <c r="K13" s="49">
        <v>5</v>
      </c>
      <c r="L13" s="23"/>
      <c r="M13" s="47">
        <v>5</v>
      </c>
      <c r="N13" s="48">
        <v>17</v>
      </c>
      <c r="O13" s="47">
        <v>3</v>
      </c>
      <c r="P13" s="49">
        <v>12</v>
      </c>
      <c r="Q13" s="17"/>
      <c r="R13" s="47">
        <v>5</v>
      </c>
      <c r="S13" s="48">
        <v>17</v>
      </c>
      <c r="T13" s="47">
        <v>3</v>
      </c>
      <c r="U13" s="49">
        <v>12</v>
      </c>
      <c r="V13" s="23"/>
      <c r="W13" s="47">
        <v>5</v>
      </c>
      <c r="X13" s="48">
        <v>17</v>
      </c>
      <c r="Y13" s="47">
        <v>3</v>
      </c>
      <c r="Z13" s="49">
        <v>12</v>
      </c>
      <c r="AA13" s="23"/>
      <c r="AB13" s="47">
        <v>5</v>
      </c>
      <c r="AC13" s="48">
        <v>17</v>
      </c>
      <c r="AD13" s="47">
        <v>3</v>
      </c>
      <c r="AE13" s="49">
        <v>12</v>
      </c>
      <c r="AF13" s="23"/>
      <c r="AG13" s="47">
        <v>5</v>
      </c>
      <c r="AH13" s="48">
        <v>24</v>
      </c>
      <c r="AI13" s="47">
        <v>3</v>
      </c>
      <c r="AJ13" s="49">
        <v>5</v>
      </c>
    </row>
    <row r="14" spans="1:36" ht="27.4" customHeight="1" x14ac:dyDescent="0.3">
      <c r="A14" s="2" t="s">
        <v>5</v>
      </c>
      <c r="B14" s="7"/>
      <c r="C14" s="47">
        <v>6</v>
      </c>
      <c r="D14" s="49">
        <v>25</v>
      </c>
      <c r="E14" s="50">
        <v>2</v>
      </c>
      <c r="F14" s="49">
        <v>11</v>
      </c>
      <c r="G14" s="17"/>
      <c r="H14" s="47">
        <v>6</v>
      </c>
      <c r="I14" s="48">
        <v>24</v>
      </c>
      <c r="J14" s="47">
        <v>2</v>
      </c>
      <c r="K14" s="49">
        <v>10</v>
      </c>
      <c r="L14" s="23"/>
      <c r="M14" s="47">
        <v>5</v>
      </c>
      <c r="N14" s="48">
        <v>19</v>
      </c>
      <c r="O14" s="47">
        <v>3</v>
      </c>
      <c r="P14" s="49">
        <v>16</v>
      </c>
      <c r="Q14" s="17"/>
      <c r="R14" s="47">
        <v>5</v>
      </c>
      <c r="S14" s="48">
        <v>20</v>
      </c>
      <c r="T14" s="47">
        <v>3</v>
      </c>
      <c r="U14" s="49">
        <v>14</v>
      </c>
      <c r="V14" s="23"/>
      <c r="W14" s="47">
        <v>5</v>
      </c>
      <c r="X14" s="48">
        <v>19</v>
      </c>
      <c r="Y14" s="47">
        <v>3</v>
      </c>
      <c r="Z14" s="49">
        <v>16</v>
      </c>
      <c r="AA14" s="23"/>
      <c r="AB14" s="47">
        <v>7</v>
      </c>
      <c r="AC14" s="48">
        <v>22</v>
      </c>
      <c r="AD14" s="47">
        <v>2</v>
      </c>
      <c r="AE14" s="49">
        <v>13</v>
      </c>
      <c r="AF14" s="23"/>
      <c r="AG14" s="47">
        <v>6</v>
      </c>
      <c r="AH14" s="48">
        <v>24</v>
      </c>
      <c r="AI14" s="47">
        <v>2</v>
      </c>
      <c r="AJ14" s="49">
        <v>11</v>
      </c>
    </row>
    <row r="15" spans="1:36" ht="27.4" customHeight="1" x14ac:dyDescent="0.3">
      <c r="A15" s="2" t="s">
        <v>6</v>
      </c>
      <c r="B15" s="7"/>
      <c r="C15" s="47">
        <v>5</v>
      </c>
      <c r="D15" s="49">
        <v>36</v>
      </c>
      <c r="E15" s="50">
        <v>1</v>
      </c>
      <c r="F15" s="49">
        <v>14</v>
      </c>
      <c r="G15" s="17"/>
      <c r="H15" s="47">
        <v>6</v>
      </c>
      <c r="I15" s="48">
        <v>38</v>
      </c>
      <c r="J15" s="47">
        <v>0</v>
      </c>
      <c r="K15" s="49">
        <v>12</v>
      </c>
      <c r="L15" s="23"/>
      <c r="M15" s="47">
        <v>3</v>
      </c>
      <c r="N15" s="48">
        <v>22</v>
      </c>
      <c r="O15" s="47">
        <v>3</v>
      </c>
      <c r="P15" s="49">
        <v>27</v>
      </c>
      <c r="Q15" s="17"/>
      <c r="R15" s="47">
        <v>4</v>
      </c>
      <c r="S15" s="48">
        <v>22</v>
      </c>
      <c r="T15" s="47">
        <v>2</v>
      </c>
      <c r="U15" s="49">
        <v>27</v>
      </c>
      <c r="V15" s="23"/>
      <c r="W15" s="47">
        <v>3</v>
      </c>
      <c r="X15" s="48">
        <v>24</v>
      </c>
      <c r="Y15" s="47">
        <v>3</v>
      </c>
      <c r="Z15" s="49">
        <v>26</v>
      </c>
      <c r="AA15" s="23"/>
      <c r="AB15" s="47">
        <v>4</v>
      </c>
      <c r="AC15" s="48">
        <v>25</v>
      </c>
      <c r="AD15" s="47">
        <v>2</v>
      </c>
      <c r="AE15" s="49">
        <v>25</v>
      </c>
      <c r="AF15" s="23"/>
      <c r="AG15" s="47">
        <v>5</v>
      </c>
      <c r="AH15" s="48">
        <v>38</v>
      </c>
      <c r="AI15" s="47">
        <v>1</v>
      </c>
      <c r="AJ15" s="49">
        <v>12</v>
      </c>
    </row>
    <row r="16" spans="1:36" ht="27.4" customHeight="1" x14ac:dyDescent="0.3">
      <c r="A16" s="2" t="s">
        <v>7</v>
      </c>
      <c r="B16" s="7"/>
      <c r="C16" s="47">
        <v>0</v>
      </c>
      <c r="D16" s="49">
        <v>20</v>
      </c>
      <c r="E16" s="50">
        <v>0</v>
      </c>
      <c r="F16" s="49">
        <v>6</v>
      </c>
      <c r="G16" s="17"/>
      <c r="H16" s="47">
        <v>0</v>
      </c>
      <c r="I16" s="48">
        <v>18</v>
      </c>
      <c r="J16" s="47">
        <v>0</v>
      </c>
      <c r="K16" s="49">
        <v>8</v>
      </c>
      <c r="L16" s="23"/>
      <c r="M16" s="47">
        <v>0</v>
      </c>
      <c r="N16" s="48">
        <v>18</v>
      </c>
      <c r="O16" s="47">
        <v>0</v>
      </c>
      <c r="P16" s="49">
        <v>8</v>
      </c>
      <c r="Q16" s="17"/>
      <c r="R16" s="47">
        <v>0</v>
      </c>
      <c r="S16" s="48">
        <v>19</v>
      </c>
      <c r="T16" s="47">
        <v>0</v>
      </c>
      <c r="U16" s="49">
        <v>7</v>
      </c>
      <c r="V16" s="23"/>
      <c r="W16" s="47">
        <v>0</v>
      </c>
      <c r="X16" s="48">
        <v>21</v>
      </c>
      <c r="Y16" s="47">
        <v>0</v>
      </c>
      <c r="Z16" s="49">
        <v>6</v>
      </c>
      <c r="AA16" s="23"/>
      <c r="AB16" s="47">
        <v>0</v>
      </c>
      <c r="AC16" s="48">
        <v>21</v>
      </c>
      <c r="AD16" s="47">
        <v>0</v>
      </c>
      <c r="AE16" s="49">
        <v>5</v>
      </c>
      <c r="AF16" s="23"/>
      <c r="AG16" s="47">
        <v>0</v>
      </c>
      <c r="AH16" s="48">
        <v>21</v>
      </c>
      <c r="AI16" s="47">
        <v>0</v>
      </c>
      <c r="AJ16" s="49">
        <v>6</v>
      </c>
    </row>
    <row r="17" spans="1:36" ht="27.4" customHeight="1" x14ac:dyDescent="0.3">
      <c r="A17" s="2" t="s">
        <v>14</v>
      </c>
      <c r="B17" s="7"/>
      <c r="C17" s="47">
        <v>4</v>
      </c>
      <c r="D17" s="49">
        <v>12</v>
      </c>
      <c r="E17" s="50">
        <v>4</v>
      </c>
      <c r="F17" s="49">
        <v>2</v>
      </c>
      <c r="G17" s="17"/>
      <c r="H17" s="47">
        <v>6</v>
      </c>
      <c r="I17" s="48">
        <v>12</v>
      </c>
      <c r="J17" s="47">
        <v>2</v>
      </c>
      <c r="K17" s="49">
        <v>2</v>
      </c>
      <c r="L17" s="23"/>
      <c r="M17" s="47">
        <v>4</v>
      </c>
      <c r="N17" s="48">
        <v>7</v>
      </c>
      <c r="O17" s="47">
        <v>4</v>
      </c>
      <c r="P17" s="49">
        <v>7</v>
      </c>
      <c r="Q17" s="17"/>
      <c r="R17" s="47">
        <v>3</v>
      </c>
      <c r="S17" s="48">
        <v>9</v>
      </c>
      <c r="T17" s="47">
        <v>5</v>
      </c>
      <c r="U17" s="49">
        <v>5</v>
      </c>
      <c r="V17" s="23"/>
      <c r="W17" s="47">
        <v>2</v>
      </c>
      <c r="X17" s="48">
        <v>7</v>
      </c>
      <c r="Y17" s="47">
        <v>6</v>
      </c>
      <c r="Z17" s="49">
        <v>7</v>
      </c>
      <c r="AA17" s="23"/>
      <c r="AB17" s="47">
        <v>3</v>
      </c>
      <c r="AC17" s="48">
        <v>8</v>
      </c>
      <c r="AD17" s="47">
        <v>5</v>
      </c>
      <c r="AE17" s="49">
        <v>6</v>
      </c>
      <c r="AF17" s="23"/>
      <c r="AG17" s="47">
        <v>6</v>
      </c>
      <c r="AH17" s="48">
        <v>12</v>
      </c>
      <c r="AI17" s="47">
        <v>2</v>
      </c>
      <c r="AJ17" s="49">
        <v>2</v>
      </c>
    </row>
    <row r="18" spans="1:36" ht="27.4" customHeight="1" x14ac:dyDescent="0.3">
      <c r="A18" s="2" t="s">
        <v>8</v>
      </c>
      <c r="B18" s="7"/>
      <c r="C18" s="47">
        <v>5</v>
      </c>
      <c r="D18" s="49">
        <v>21</v>
      </c>
      <c r="E18" s="50">
        <v>5</v>
      </c>
      <c r="F18" s="49">
        <v>4</v>
      </c>
      <c r="G18" s="17"/>
      <c r="H18" s="47">
        <v>5</v>
      </c>
      <c r="I18" s="48">
        <v>21</v>
      </c>
      <c r="J18" s="47">
        <v>5</v>
      </c>
      <c r="K18" s="49">
        <v>3</v>
      </c>
      <c r="L18" s="23"/>
      <c r="M18" s="47">
        <v>3</v>
      </c>
      <c r="N18" s="48">
        <v>16</v>
      </c>
      <c r="O18" s="47">
        <v>7</v>
      </c>
      <c r="P18" s="49">
        <v>8</v>
      </c>
      <c r="Q18" s="17"/>
      <c r="R18" s="47">
        <v>3</v>
      </c>
      <c r="S18" s="48">
        <v>14</v>
      </c>
      <c r="T18" s="47">
        <v>7</v>
      </c>
      <c r="U18" s="49">
        <v>11</v>
      </c>
      <c r="V18" s="23"/>
      <c r="W18" s="47">
        <v>3</v>
      </c>
      <c r="X18" s="48">
        <v>15</v>
      </c>
      <c r="Y18" s="47">
        <v>7</v>
      </c>
      <c r="Z18" s="49">
        <v>9</v>
      </c>
      <c r="AA18" s="23"/>
      <c r="AB18" s="47">
        <v>3</v>
      </c>
      <c r="AC18" s="48">
        <v>14</v>
      </c>
      <c r="AD18" s="47">
        <v>7</v>
      </c>
      <c r="AE18" s="49">
        <v>10</v>
      </c>
      <c r="AF18" s="23"/>
      <c r="AG18" s="47">
        <v>4</v>
      </c>
      <c r="AH18" s="48">
        <v>20</v>
      </c>
      <c r="AI18" s="47">
        <v>6</v>
      </c>
      <c r="AJ18" s="49">
        <v>4</v>
      </c>
    </row>
    <row r="19" spans="1:36" ht="27.4" customHeight="1" x14ac:dyDescent="0.3">
      <c r="A19" s="2" t="s">
        <v>9</v>
      </c>
      <c r="B19" s="7"/>
      <c r="C19" s="47">
        <v>0</v>
      </c>
      <c r="D19" s="49">
        <v>77</v>
      </c>
      <c r="E19" s="50">
        <v>0</v>
      </c>
      <c r="F19" s="49">
        <v>35</v>
      </c>
      <c r="G19" s="17"/>
      <c r="H19" s="47">
        <v>0</v>
      </c>
      <c r="I19" s="48">
        <v>82</v>
      </c>
      <c r="J19" s="47">
        <v>0</v>
      </c>
      <c r="K19" s="49">
        <v>32</v>
      </c>
      <c r="L19" s="23"/>
      <c r="M19" s="47">
        <v>0</v>
      </c>
      <c r="N19" s="48">
        <v>62</v>
      </c>
      <c r="O19" s="47">
        <v>0</v>
      </c>
      <c r="P19" s="49">
        <v>47</v>
      </c>
      <c r="Q19" s="17"/>
      <c r="R19" s="47">
        <v>0</v>
      </c>
      <c r="S19" s="48">
        <v>59</v>
      </c>
      <c r="T19" s="47">
        <v>0</v>
      </c>
      <c r="U19" s="49">
        <v>52</v>
      </c>
      <c r="V19" s="23"/>
      <c r="W19" s="47">
        <v>0</v>
      </c>
      <c r="X19" s="48">
        <v>62</v>
      </c>
      <c r="Y19" s="47">
        <v>0</v>
      </c>
      <c r="Z19" s="49">
        <v>48</v>
      </c>
      <c r="AA19" s="23"/>
      <c r="AB19" s="47">
        <v>0</v>
      </c>
      <c r="AC19" s="48">
        <v>68</v>
      </c>
      <c r="AD19" s="47">
        <v>0</v>
      </c>
      <c r="AE19" s="49">
        <v>42</v>
      </c>
      <c r="AF19" s="23"/>
      <c r="AG19" s="47">
        <v>0</v>
      </c>
      <c r="AH19" s="48">
        <v>76</v>
      </c>
      <c r="AI19" s="47">
        <v>0</v>
      </c>
      <c r="AJ19" s="49">
        <v>37</v>
      </c>
    </row>
    <row r="20" spans="1:36" ht="27.4" customHeight="1" x14ac:dyDescent="0.3">
      <c r="A20" s="2" t="s">
        <v>10</v>
      </c>
      <c r="B20" s="7"/>
      <c r="C20" s="47">
        <v>24</v>
      </c>
      <c r="D20" s="49">
        <v>26</v>
      </c>
      <c r="E20" s="50">
        <v>8</v>
      </c>
      <c r="F20" s="49">
        <v>13</v>
      </c>
      <c r="G20" s="17"/>
      <c r="H20" s="47">
        <v>24</v>
      </c>
      <c r="I20" s="48">
        <v>28</v>
      </c>
      <c r="J20" s="47">
        <v>8</v>
      </c>
      <c r="K20" s="49">
        <v>10</v>
      </c>
      <c r="L20" s="23"/>
      <c r="M20" s="47">
        <v>17</v>
      </c>
      <c r="N20" s="48">
        <v>14</v>
      </c>
      <c r="O20" s="47">
        <v>15</v>
      </c>
      <c r="P20" s="49">
        <v>25</v>
      </c>
      <c r="Q20" s="17"/>
      <c r="R20" s="47">
        <v>22</v>
      </c>
      <c r="S20" s="48">
        <v>16</v>
      </c>
      <c r="T20" s="47">
        <v>10</v>
      </c>
      <c r="U20" s="49">
        <v>22</v>
      </c>
      <c r="V20" s="23"/>
      <c r="W20" s="47">
        <v>19</v>
      </c>
      <c r="X20" s="48">
        <v>15</v>
      </c>
      <c r="Y20" s="47">
        <v>13</v>
      </c>
      <c r="Z20" s="49">
        <v>23</v>
      </c>
      <c r="AA20" s="23"/>
      <c r="AB20" s="47">
        <v>23</v>
      </c>
      <c r="AC20" s="48">
        <v>18</v>
      </c>
      <c r="AD20" s="47">
        <v>10</v>
      </c>
      <c r="AE20" s="49">
        <v>21</v>
      </c>
      <c r="AF20" s="23"/>
      <c r="AG20" s="47">
        <v>27</v>
      </c>
      <c r="AH20" s="48">
        <v>23</v>
      </c>
      <c r="AI20" s="47">
        <v>5</v>
      </c>
      <c r="AJ20" s="49">
        <v>15</v>
      </c>
    </row>
    <row r="21" spans="1:36" ht="27.4" customHeight="1" x14ac:dyDescent="0.3">
      <c r="A21" s="2" t="s">
        <v>11</v>
      </c>
      <c r="B21" s="7"/>
      <c r="C21" s="47">
        <v>5</v>
      </c>
      <c r="D21" s="49">
        <v>23</v>
      </c>
      <c r="E21" s="50">
        <v>4</v>
      </c>
      <c r="F21" s="49">
        <v>11</v>
      </c>
      <c r="G21" s="17"/>
      <c r="H21" s="47">
        <v>6</v>
      </c>
      <c r="I21" s="48">
        <v>23</v>
      </c>
      <c r="J21" s="47">
        <v>3</v>
      </c>
      <c r="K21" s="49">
        <v>11</v>
      </c>
      <c r="L21" s="23"/>
      <c r="M21" s="47">
        <v>4</v>
      </c>
      <c r="N21" s="48">
        <v>10</v>
      </c>
      <c r="O21" s="47">
        <v>5</v>
      </c>
      <c r="P21" s="49">
        <v>23</v>
      </c>
      <c r="Q21" s="17"/>
      <c r="R21" s="47">
        <v>4</v>
      </c>
      <c r="S21" s="48">
        <v>13</v>
      </c>
      <c r="T21" s="47">
        <v>5</v>
      </c>
      <c r="U21" s="49">
        <v>21</v>
      </c>
      <c r="V21" s="23"/>
      <c r="W21" s="47">
        <v>5</v>
      </c>
      <c r="X21" s="48">
        <v>13</v>
      </c>
      <c r="Y21" s="47">
        <v>4</v>
      </c>
      <c r="Z21" s="49">
        <v>21</v>
      </c>
      <c r="AA21" s="23"/>
      <c r="AB21" s="47">
        <v>5</v>
      </c>
      <c r="AC21" s="48">
        <v>15</v>
      </c>
      <c r="AD21" s="47">
        <v>4</v>
      </c>
      <c r="AE21" s="49">
        <v>19</v>
      </c>
      <c r="AF21" s="23"/>
      <c r="AG21" s="47">
        <v>7</v>
      </c>
      <c r="AH21" s="48">
        <v>24</v>
      </c>
      <c r="AI21" s="47">
        <v>2</v>
      </c>
      <c r="AJ21" s="49">
        <v>10</v>
      </c>
    </row>
    <row r="22" spans="1:36" ht="27.4" customHeight="1" x14ac:dyDescent="0.3">
      <c r="A22" s="2" t="s">
        <v>12</v>
      </c>
      <c r="B22" s="7"/>
      <c r="C22" s="47">
        <v>0</v>
      </c>
      <c r="D22" s="49">
        <v>11</v>
      </c>
      <c r="E22" s="50">
        <v>0</v>
      </c>
      <c r="F22" s="49">
        <v>5</v>
      </c>
      <c r="G22" s="17"/>
      <c r="H22" s="47">
        <v>0</v>
      </c>
      <c r="I22" s="48">
        <v>11</v>
      </c>
      <c r="J22" s="47">
        <v>0</v>
      </c>
      <c r="K22" s="49">
        <v>5</v>
      </c>
      <c r="L22" s="23"/>
      <c r="M22" s="47">
        <v>0</v>
      </c>
      <c r="N22" s="48">
        <v>3</v>
      </c>
      <c r="O22" s="47">
        <v>0</v>
      </c>
      <c r="P22" s="49">
        <v>12</v>
      </c>
      <c r="Q22" s="17"/>
      <c r="R22" s="47">
        <v>0</v>
      </c>
      <c r="S22" s="48">
        <v>3</v>
      </c>
      <c r="T22" s="47">
        <v>0</v>
      </c>
      <c r="U22" s="49">
        <v>12</v>
      </c>
      <c r="V22" s="23"/>
      <c r="W22" s="47">
        <v>0</v>
      </c>
      <c r="X22" s="48">
        <v>3</v>
      </c>
      <c r="Y22" s="47">
        <v>0</v>
      </c>
      <c r="Z22" s="49">
        <v>12</v>
      </c>
      <c r="AA22" s="23"/>
      <c r="AB22" s="47">
        <v>0</v>
      </c>
      <c r="AC22" s="48">
        <v>5</v>
      </c>
      <c r="AD22" s="47">
        <v>0</v>
      </c>
      <c r="AE22" s="49">
        <v>10</v>
      </c>
      <c r="AF22" s="23"/>
      <c r="AG22" s="47">
        <v>0</v>
      </c>
      <c r="AH22" s="48">
        <v>23</v>
      </c>
      <c r="AI22" s="47">
        <v>0</v>
      </c>
      <c r="AJ22" s="49">
        <v>5</v>
      </c>
    </row>
    <row r="23" spans="1:36" ht="27.4" customHeight="1" x14ac:dyDescent="0.3">
      <c r="A23" s="2" t="s">
        <v>13</v>
      </c>
      <c r="B23" s="7"/>
      <c r="C23" s="47">
        <v>3</v>
      </c>
      <c r="D23" s="49">
        <v>27</v>
      </c>
      <c r="E23" s="50">
        <v>3</v>
      </c>
      <c r="F23" s="49">
        <v>10</v>
      </c>
      <c r="G23" s="17"/>
      <c r="H23" s="47">
        <v>4</v>
      </c>
      <c r="I23" s="48">
        <v>27</v>
      </c>
      <c r="J23" s="47">
        <v>2</v>
      </c>
      <c r="K23" s="49">
        <v>10</v>
      </c>
      <c r="L23" s="23"/>
      <c r="M23" s="47">
        <v>4</v>
      </c>
      <c r="N23" s="48">
        <v>21</v>
      </c>
      <c r="O23" s="47">
        <v>2</v>
      </c>
      <c r="P23" s="49">
        <v>14</v>
      </c>
      <c r="Q23" s="17"/>
      <c r="R23" s="47">
        <v>4</v>
      </c>
      <c r="S23" s="48">
        <v>21</v>
      </c>
      <c r="T23" s="47">
        <v>3</v>
      </c>
      <c r="U23" s="49">
        <v>15</v>
      </c>
      <c r="V23" s="23"/>
      <c r="W23" s="47">
        <v>3</v>
      </c>
      <c r="X23" s="48">
        <v>21</v>
      </c>
      <c r="Y23" s="47">
        <v>3</v>
      </c>
      <c r="Z23" s="49">
        <v>14</v>
      </c>
      <c r="AA23" s="23"/>
      <c r="AB23" s="47">
        <v>5</v>
      </c>
      <c r="AC23" s="48">
        <v>24</v>
      </c>
      <c r="AD23" s="47">
        <v>2</v>
      </c>
      <c r="AE23" s="49">
        <v>11</v>
      </c>
      <c r="AF23" s="23"/>
      <c r="AG23" s="47">
        <v>3</v>
      </c>
      <c r="AH23" s="48">
        <v>24</v>
      </c>
      <c r="AI23" s="47">
        <v>4</v>
      </c>
      <c r="AJ23" s="49">
        <v>11</v>
      </c>
    </row>
    <row r="24" spans="1:36" s="3" customFormat="1" ht="5.0999999999999996" customHeight="1" x14ac:dyDescent="0.3">
      <c r="A24" s="6"/>
      <c r="B24" s="8"/>
      <c r="C24" s="20"/>
      <c r="D24" s="21"/>
      <c r="E24" s="17"/>
      <c r="F24" s="21"/>
      <c r="G24" s="17"/>
      <c r="H24" s="20"/>
      <c r="I24" s="15"/>
      <c r="J24" s="20"/>
      <c r="K24" s="21"/>
      <c r="L24" s="23"/>
      <c r="M24" s="20"/>
      <c r="N24" s="15"/>
      <c r="O24" s="20"/>
      <c r="P24" s="21"/>
      <c r="Q24" s="17"/>
      <c r="R24" s="20"/>
      <c r="S24" s="15"/>
      <c r="T24" s="20"/>
      <c r="U24" s="21"/>
      <c r="V24" s="23"/>
      <c r="W24" s="20"/>
      <c r="X24" s="15"/>
      <c r="Y24" s="20"/>
      <c r="Z24" s="21"/>
      <c r="AA24" s="23"/>
      <c r="AB24" s="20"/>
      <c r="AC24" s="15"/>
      <c r="AD24" s="20"/>
      <c r="AE24" s="21"/>
      <c r="AF24" s="23"/>
      <c r="AG24" s="20"/>
      <c r="AH24" s="15"/>
      <c r="AI24" s="20"/>
      <c r="AJ24" s="21"/>
    </row>
    <row r="25" spans="1:36" ht="23.25" x14ac:dyDescent="0.3">
      <c r="A25" s="2" t="s">
        <v>40</v>
      </c>
      <c r="B25" s="7"/>
      <c r="C25" s="18">
        <f t="shared" ref="C25:F25" si="0">SUM(C7:C23)</f>
        <v>152</v>
      </c>
      <c r="D25" s="19">
        <f t="shared" si="0"/>
        <v>633</v>
      </c>
      <c r="E25" s="16">
        <f t="shared" si="0"/>
        <v>62</v>
      </c>
      <c r="F25" s="19">
        <f t="shared" si="0"/>
        <v>209</v>
      </c>
      <c r="G25" s="17"/>
      <c r="H25" s="18">
        <f>SUM(H7:H23)</f>
        <v>162</v>
      </c>
      <c r="I25" s="14">
        <f>SUM(I7:I23)</f>
        <v>638</v>
      </c>
      <c r="J25" s="18">
        <f t="shared" ref="J25" si="1">SUM(J7:J23)</f>
        <v>50</v>
      </c>
      <c r="K25" s="19">
        <f>SUM(K7:K23)</f>
        <v>200</v>
      </c>
      <c r="L25" s="23"/>
      <c r="M25" s="18">
        <f>SUM(M7:M23)</f>
        <v>123</v>
      </c>
      <c r="N25" s="14">
        <f>SUM(N7:N23)</f>
        <v>463</v>
      </c>
      <c r="O25" s="18">
        <f t="shared" ref="O25:P25" si="2">SUM(O7:O23)</f>
        <v>91</v>
      </c>
      <c r="P25" s="19">
        <f t="shared" si="2"/>
        <v>364</v>
      </c>
      <c r="Q25" s="17"/>
      <c r="R25" s="18">
        <f>SUM(R7:R23)</f>
        <v>125</v>
      </c>
      <c r="S25" s="14">
        <f>SUM(S7:S23)</f>
        <v>469</v>
      </c>
      <c r="T25" s="18">
        <f t="shared" ref="T25" si="3">SUM(T7:T23)</f>
        <v>89</v>
      </c>
      <c r="U25" s="19">
        <f>SUM(U7:U23)</f>
        <v>362</v>
      </c>
      <c r="V25" s="23"/>
      <c r="W25" s="18">
        <f>SUM(W7:W23)</f>
        <v>118</v>
      </c>
      <c r="X25" s="14">
        <f>SUM(X7:X23)</f>
        <v>481</v>
      </c>
      <c r="Y25" s="18">
        <f t="shared" ref="Y25:Z25" si="4">SUM(Y7:Y23)</f>
        <v>95</v>
      </c>
      <c r="Z25" s="19">
        <f t="shared" si="4"/>
        <v>350</v>
      </c>
      <c r="AA25" s="23"/>
      <c r="AB25" s="18">
        <f>SUM(AB7:AB23)</f>
        <v>132</v>
      </c>
      <c r="AC25" s="14">
        <f>SUM(AC7:AC23)</f>
        <v>509</v>
      </c>
      <c r="AD25" s="18">
        <f t="shared" ref="AD25:AE25" si="5">SUM(AD7:AD23)</f>
        <v>83</v>
      </c>
      <c r="AE25" s="19">
        <f t="shared" si="5"/>
        <v>324</v>
      </c>
      <c r="AF25" s="23"/>
      <c r="AG25" s="18">
        <f>SUM(AG7:AG23)</f>
        <v>159</v>
      </c>
      <c r="AH25" s="14">
        <f>SUM(AH7:AH23)</f>
        <v>631</v>
      </c>
      <c r="AI25" s="18">
        <f t="shared" ref="AI25:AJ25" si="6">SUM(AI7:AI23)</f>
        <v>56</v>
      </c>
      <c r="AJ25" s="19">
        <f t="shared" si="6"/>
        <v>212</v>
      </c>
    </row>
    <row r="26" spans="1:36" ht="23.25" x14ac:dyDescent="0.3">
      <c r="A26" s="24" t="s">
        <v>16</v>
      </c>
      <c r="B26" s="7"/>
      <c r="C26" s="88">
        <f>C25+D25</f>
        <v>785</v>
      </c>
      <c r="D26" s="87"/>
      <c r="E26" s="88">
        <f>E25+F25</f>
        <v>271</v>
      </c>
      <c r="F26" s="87"/>
      <c r="G26" s="17"/>
      <c r="H26" s="88">
        <f>H25+I25</f>
        <v>800</v>
      </c>
      <c r="I26" s="87"/>
      <c r="J26" s="88">
        <f>J25+K25</f>
        <v>250</v>
      </c>
      <c r="K26" s="87"/>
      <c r="L26" s="23"/>
      <c r="M26" s="88">
        <f>M25+N25</f>
        <v>586</v>
      </c>
      <c r="N26" s="87"/>
      <c r="O26" s="88">
        <f>O25+P25</f>
        <v>455</v>
      </c>
      <c r="P26" s="87"/>
      <c r="Q26" s="17"/>
      <c r="R26" s="88">
        <f>R25+S25</f>
        <v>594</v>
      </c>
      <c r="S26" s="87"/>
      <c r="T26" s="88">
        <f>T25+U25</f>
        <v>451</v>
      </c>
      <c r="U26" s="87"/>
      <c r="V26" s="23"/>
      <c r="W26" s="88">
        <f>W25+X25</f>
        <v>599</v>
      </c>
      <c r="X26" s="87"/>
      <c r="Y26" s="88">
        <f>Y25+Z25</f>
        <v>445</v>
      </c>
      <c r="Z26" s="87"/>
      <c r="AA26" s="23"/>
      <c r="AB26" s="88">
        <f>AB25+AC25</f>
        <v>641</v>
      </c>
      <c r="AC26" s="87"/>
      <c r="AD26" s="88">
        <f>AD25+AE25</f>
        <v>407</v>
      </c>
      <c r="AE26" s="87"/>
      <c r="AF26" s="23"/>
      <c r="AG26" s="88">
        <f>AG25+AH25</f>
        <v>790</v>
      </c>
      <c r="AH26" s="87"/>
      <c r="AI26" s="88">
        <f>AI25+AJ25</f>
        <v>268</v>
      </c>
      <c r="AJ26" s="87"/>
    </row>
    <row r="27" spans="1:36" x14ac:dyDescent="0.3">
      <c r="C27" s="88" t="s">
        <v>42</v>
      </c>
      <c r="D27" s="87"/>
      <c r="E27" s="88" t="s">
        <v>43</v>
      </c>
      <c r="F27" s="87"/>
      <c r="G27" s="17"/>
      <c r="H27" s="88" t="s">
        <v>42</v>
      </c>
      <c r="I27" s="87"/>
      <c r="J27" s="88" t="s">
        <v>43</v>
      </c>
      <c r="K27" s="87"/>
      <c r="L27" s="17"/>
      <c r="M27" s="88" t="s">
        <v>42</v>
      </c>
      <c r="N27" s="87"/>
      <c r="O27" s="88" t="s">
        <v>43</v>
      </c>
      <c r="P27" s="87"/>
      <c r="Q27" s="17"/>
      <c r="R27" s="88" t="s">
        <v>42</v>
      </c>
      <c r="S27" s="87"/>
      <c r="T27" s="88" t="s">
        <v>43</v>
      </c>
      <c r="U27" s="87"/>
      <c r="V27" s="17"/>
      <c r="W27" s="88" t="s">
        <v>42</v>
      </c>
      <c r="X27" s="87"/>
      <c r="Y27" s="88" t="s">
        <v>43</v>
      </c>
      <c r="Z27" s="87"/>
      <c r="AA27" s="17"/>
      <c r="AB27" s="88" t="s">
        <v>42</v>
      </c>
      <c r="AC27" s="87"/>
      <c r="AD27" s="88" t="s">
        <v>43</v>
      </c>
      <c r="AE27" s="87"/>
      <c r="AF27" s="17"/>
      <c r="AG27" s="88" t="s">
        <v>42</v>
      </c>
      <c r="AH27" s="87"/>
      <c r="AI27" s="88" t="s">
        <v>43</v>
      </c>
      <c r="AJ27" s="87"/>
    </row>
  </sheetData>
  <mergeCells count="50">
    <mergeCell ref="AB3:AE3"/>
    <mergeCell ref="R3:U3"/>
    <mergeCell ref="C2:F2"/>
    <mergeCell ref="C3:F3"/>
    <mergeCell ref="C5:D5"/>
    <mergeCell ref="E5:F5"/>
    <mergeCell ref="H5:I5"/>
    <mergeCell ref="J5:K5"/>
    <mergeCell ref="M5:N5"/>
    <mergeCell ref="O5:P5"/>
    <mergeCell ref="AD5:AE5"/>
    <mergeCell ref="H3:K3"/>
    <mergeCell ref="W3:Z3"/>
    <mergeCell ref="R5:S5"/>
    <mergeCell ref="T5:U5"/>
    <mergeCell ref="W5:X5"/>
    <mergeCell ref="M3:P3"/>
    <mergeCell ref="C27:D27"/>
    <mergeCell ref="E27:F27"/>
    <mergeCell ref="H27:I27"/>
    <mergeCell ref="J27:K27"/>
    <mergeCell ref="M27:N27"/>
    <mergeCell ref="C26:D26"/>
    <mergeCell ref="E26:F26"/>
    <mergeCell ref="H26:I26"/>
    <mergeCell ref="J26:K26"/>
    <mergeCell ref="M26:N26"/>
    <mergeCell ref="AB27:AC27"/>
    <mergeCell ref="AD27:AE27"/>
    <mergeCell ref="AB5:AC5"/>
    <mergeCell ref="O27:P27"/>
    <mergeCell ref="R27:S27"/>
    <mergeCell ref="T27:U27"/>
    <mergeCell ref="W27:X27"/>
    <mergeCell ref="Y27:Z27"/>
    <mergeCell ref="AB26:AC26"/>
    <mergeCell ref="AD26:AE26"/>
    <mergeCell ref="R26:S26"/>
    <mergeCell ref="T26:U26"/>
    <mergeCell ref="W26:X26"/>
    <mergeCell ref="Y26:Z26"/>
    <mergeCell ref="O26:P26"/>
    <mergeCell ref="Y5:Z5"/>
    <mergeCell ref="AG27:AH27"/>
    <mergeCell ref="AI27:AJ27"/>
    <mergeCell ref="AG3:AJ3"/>
    <mergeCell ref="AG5:AH5"/>
    <mergeCell ref="AI5:AJ5"/>
    <mergeCell ref="AG26:AH26"/>
    <mergeCell ref="AI26:AJ26"/>
  </mergeCells>
  <printOptions horizontalCentered="1" verticalCentered="1"/>
  <pageMargins left="0" right="0" top="0" bottom="0" header="0" footer="0"/>
  <pageSetup scale="5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26"/>
  <sheetViews>
    <sheetView workbookViewId="0">
      <pane ySplit="4" topLeftCell="A5" activePane="bottomLeft" state="frozenSplit"/>
      <selection pane="bottomLeft" activeCell="D5" sqref="D5"/>
    </sheetView>
  </sheetViews>
  <sheetFormatPr defaultRowHeight="20.25" x14ac:dyDescent="0.3"/>
  <cols>
    <col min="1" max="1" width="13.28515625" style="1" customWidth="1"/>
    <col min="2" max="2" width="30.5703125" style="1" customWidth="1"/>
    <col min="3" max="3" width="7.140625" style="1" customWidth="1"/>
    <col min="4" max="4" width="6.7109375" style="1" customWidth="1"/>
    <col min="5" max="5" width="8.85546875" style="1" customWidth="1"/>
    <col min="6" max="6" width="6.28515625" style="1" customWidth="1"/>
    <col min="7" max="7" width="30.5703125" style="1" customWidth="1"/>
    <col min="8" max="10" width="8.85546875" style="1" customWidth="1"/>
  </cols>
  <sheetData>
    <row r="1" spans="1:18" ht="20.25" customHeight="1" x14ac:dyDescent="0.3">
      <c r="A1" s="94" t="s">
        <v>60</v>
      </c>
      <c r="B1" s="94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23.25" customHeight="1" x14ac:dyDescent="0.3"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20.75" customHeight="1" x14ac:dyDescent="0.35">
      <c r="A3" s="25"/>
      <c r="B3" s="5"/>
      <c r="C3" s="74" t="s">
        <v>72</v>
      </c>
      <c r="D3" s="85"/>
      <c r="E3" s="63" t="s">
        <v>73</v>
      </c>
      <c r="F3" s="64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23.25" customHeight="1" x14ac:dyDescent="0.3">
      <c r="A4" s="2"/>
      <c r="B4" s="7"/>
      <c r="C4" s="18" t="s">
        <v>38</v>
      </c>
      <c r="D4" s="19" t="s">
        <v>39</v>
      </c>
      <c r="E4" s="18" t="s">
        <v>38</v>
      </c>
      <c r="F4" s="19" t="s">
        <v>39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23.25" customHeight="1" x14ac:dyDescent="0.3">
      <c r="A5" s="2" t="s">
        <v>35</v>
      </c>
      <c r="B5" s="7"/>
      <c r="C5" s="47">
        <v>83</v>
      </c>
      <c r="D5" s="49">
        <v>255</v>
      </c>
      <c r="E5" s="47">
        <v>1</v>
      </c>
      <c r="F5" s="49">
        <v>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23.25" customHeight="1" x14ac:dyDescent="0.3">
      <c r="A6" s="2" t="s">
        <v>36</v>
      </c>
      <c r="B6" s="7"/>
      <c r="C6" s="47">
        <v>52</v>
      </c>
      <c r="D6" s="49">
        <v>178</v>
      </c>
      <c r="E6" s="47">
        <v>1</v>
      </c>
      <c r="F6" s="49">
        <v>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23.25" customHeight="1" x14ac:dyDescent="0.3">
      <c r="A7" s="2" t="s">
        <v>0</v>
      </c>
      <c r="B7" s="7"/>
      <c r="C7" s="47">
        <v>6</v>
      </c>
      <c r="D7" s="49">
        <v>3</v>
      </c>
      <c r="E7" s="47"/>
      <c r="F7" s="4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23.25" customHeight="1" x14ac:dyDescent="0.3">
      <c r="A8" s="2" t="s">
        <v>1</v>
      </c>
      <c r="B8" s="7"/>
      <c r="C8" s="47">
        <v>0</v>
      </c>
      <c r="D8" s="49">
        <v>17</v>
      </c>
      <c r="E8" s="47"/>
      <c r="F8" s="4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23.25" customHeight="1" x14ac:dyDescent="0.3">
      <c r="A9" s="2" t="s">
        <v>2</v>
      </c>
      <c r="B9" s="7"/>
      <c r="C9" s="47">
        <v>2</v>
      </c>
      <c r="D9" s="49">
        <v>19</v>
      </c>
      <c r="E9" s="47"/>
      <c r="F9" s="4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23.25" customHeight="1" x14ac:dyDescent="0.3">
      <c r="A10" s="2" t="s">
        <v>3</v>
      </c>
      <c r="B10" s="7"/>
      <c r="C10" s="47">
        <v>6</v>
      </c>
      <c r="D10" s="49">
        <v>43</v>
      </c>
      <c r="E10" s="47"/>
      <c r="F10" s="49">
        <v>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ht="23.25" customHeight="1" x14ac:dyDescent="0.3">
      <c r="A11" s="2" t="s">
        <v>4</v>
      </c>
      <c r="B11" s="7"/>
      <c r="C11" s="47">
        <v>9</v>
      </c>
      <c r="D11" s="49">
        <v>40</v>
      </c>
      <c r="E11" s="47"/>
      <c r="F11" s="4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23.25" customHeight="1" x14ac:dyDescent="0.3">
      <c r="A12" s="2" t="s">
        <v>5</v>
      </c>
      <c r="B12" s="7"/>
      <c r="C12" s="47">
        <v>10</v>
      </c>
      <c r="D12" s="49">
        <v>35</v>
      </c>
      <c r="E12" s="47"/>
      <c r="F12" s="4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ht="23.25" customHeight="1" x14ac:dyDescent="0.3">
      <c r="A13" s="2" t="s">
        <v>6</v>
      </c>
      <c r="B13" s="7"/>
      <c r="C13" s="47">
        <v>5</v>
      </c>
      <c r="D13" s="49">
        <v>49</v>
      </c>
      <c r="E13" s="47"/>
      <c r="F13" s="4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ht="23.25" customHeight="1" x14ac:dyDescent="0.3">
      <c r="A14" s="2" t="s">
        <v>7</v>
      </c>
      <c r="B14" s="7"/>
      <c r="C14" s="47">
        <v>0</v>
      </c>
      <c r="D14" s="49">
        <v>31</v>
      </c>
      <c r="E14" s="47"/>
      <c r="F14" s="4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ht="23.25" customHeight="1" x14ac:dyDescent="0.3">
      <c r="A15" s="2" t="s">
        <v>14</v>
      </c>
      <c r="B15" s="7"/>
      <c r="C15" s="47">
        <v>11</v>
      </c>
      <c r="D15" s="49">
        <v>15</v>
      </c>
      <c r="E15" s="47"/>
      <c r="F15" s="4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ht="23.25" customHeight="1" x14ac:dyDescent="0.3">
      <c r="A16" s="2" t="s">
        <v>8</v>
      </c>
      <c r="B16" s="7"/>
      <c r="C16" s="47">
        <v>11</v>
      </c>
      <c r="D16" s="49">
        <v>28</v>
      </c>
      <c r="E16" s="47"/>
      <c r="F16" s="4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23.25" customHeight="1" x14ac:dyDescent="0.3">
      <c r="A17" s="2" t="s">
        <v>9</v>
      </c>
      <c r="B17" s="7"/>
      <c r="C17" s="47">
        <v>0</v>
      </c>
      <c r="D17" s="49">
        <v>119</v>
      </c>
      <c r="E17" s="47"/>
      <c r="F17" s="4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23.25" customHeight="1" x14ac:dyDescent="0.3">
      <c r="A18" s="2" t="s">
        <v>10</v>
      </c>
      <c r="B18" s="7"/>
      <c r="C18" s="47">
        <v>37</v>
      </c>
      <c r="D18" s="49">
        <v>39</v>
      </c>
      <c r="E18" s="47"/>
      <c r="F18" s="4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ht="23.25" customHeight="1" x14ac:dyDescent="0.3">
      <c r="A19" s="2" t="s">
        <v>11</v>
      </c>
      <c r="B19" s="7"/>
      <c r="C19" s="47">
        <v>9</v>
      </c>
      <c r="D19" s="49">
        <v>34</v>
      </c>
      <c r="E19" s="47"/>
      <c r="F19" s="4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23.25" customHeight="1" x14ac:dyDescent="0.3">
      <c r="A20" s="2" t="s">
        <v>12</v>
      </c>
      <c r="B20" s="7"/>
      <c r="C20" s="47">
        <v>0</v>
      </c>
      <c r="D20" s="49">
        <v>16</v>
      </c>
      <c r="E20" s="47"/>
      <c r="F20" s="4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ht="23.25" customHeight="1" x14ac:dyDescent="0.3">
      <c r="A21" s="2" t="s">
        <v>13</v>
      </c>
      <c r="B21" s="7"/>
      <c r="C21" s="47">
        <v>11</v>
      </c>
      <c r="D21" s="49">
        <v>44</v>
      </c>
      <c r="E21" s="47"/>
      <c r="F21" s="4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5.0999999999999996" customHeight="1" x14ac:dyDescent="0.3">
      <c r="A22" s="6"/>
      <c r="B22" s="8"/>
      <c r="C22" s="20"/>
      <c r="D22" s="21"/>
      <c r="E22" s="20"/>
      <c r="F22" s="21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ht="20.25" customHeight="1" x14ac:dyDescent="0.3">
      <c r="A23" s="2" t="s">
        <v>40</v>
      </c>
      <c r="B23" s="7"/>
      <c r="C23" s="18">
        <f t="shared" ref="C23:D23" si="0">SUM(C5:C21)</f>
        <v>252</v>
      </c>
      <c r="D23" s="19">
        <f t="shared" si="0"/>
        <v>965</v>
      </c>
      <c r="E23" s="18">
        <f t="shared" ref="E23:F23" si="1">SUM(E5:E21)</f>
        <v>2</v>
      </c>
      <c r="F23" s="19">
        <f t="shared" si="1"/>
        <v>4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23.25" x14ac:dyDescent="0.3">
      <c r="A24" s="24" t="s">
        <v>16</v>
      </c>
      <c r="B24" s="7"/>
      <c r="C24" s="88">
        <f>C23+D23</f>
        <v>1217</v>
      </c>
      <c r="D24" s="87"/>
      <c r="E24" s="88">
        <f>E23+F23</f>
        <v>6</v>
      </c>
      <c r="F24" s="87"/>
    </row>
    <row r="25" spans="1:18" x14ac:dyDescent="0.3">
      <c r="C25" s="10"/>
      <c r="D25" s="10"/>
    </row>
    <row r="26" spans="1:18" x14ac:dyDescent="0.3">
      <c r="C26" s="100"/>
      <c r="D26" s="100"/>
    </row>
  </sheetData>
  <mergeCells count="5">
    <mergeCell ref="E24:F24"/>
    <mergeCell ref="A1:B1"/>
    <mergeCell ref="C3:D3"/>
    <mergeCell ref="C24:D24"/>
    <mergeCell ref="C26:D26"/>
  </mergeCells>
  <pageMargins left="0.25" right="0.25" top="0.75" bottom="0.75" header="0.3" footer="0.3"/>
  <pageSetup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0"/>
  <sheetViews>
    <sheetView zoomScaleNormal="100" workbookViewId="0">
      <selection activeCell="D6" sqref="D6"/>
    </sheetView>
  </sheetViews>
  <sheetFormatPr defaultColWidth="8.85546875" defaultRowHeight="20.25" x14ac:dyDescent="0.3"/>
  <cols>
    <col min="1" max="1" width="24.5703125" style="1" customWidth="1"/>
    <col min="2" max="3" width="8.85546875" style="1" customWidth="1"/>
    <col min="4" max="4" width="8.28515625" style="1" customWidth="1"/>
    <col min="5" max="5" width="8.85546875" style="1" customWidth="1"/>
    <col min="6" max="6" width="8.7109375" style="1" customWidth="1"/>
    <col min="7" max="16384" width="8.85546875" style="1"/>
  </cols>
  <sheetData>
    <row r="1" spans="1:7" x14ac:dyDescent="0.3">
      <c r="A1" s="94" t="s">
        <v>70</v>
      </c>
      <c r="B1" s="94"/>
      <c r="C1" s="94"/>
      <c r="D1" s="94"/>
      <c r="E1" s="94"/>
      <c r="F1" s="94"/>
      <c r="G1" s="94"/>
    </row>
    <row r="2" spans="1:7" ht="21" customHeight="1" x14ac:dyDescent="0.3">
      <c r="C2" s="92"/>
      <c r="D2" s="92"/>
    </row>
    <row r="3" spans="1:7" ht="21" customHeight="1" x14ac:dyDescent="0.3">
      <c r="A3" s="12"/>
      <c r="B3" s="12"/>
      <c r="C3" s="12"/>
      <c r="D3" s="12"/>
    </row>
    <row r="4" spans="1:7" s="4" customFormat="1" ht="196.5" customHeight="1" x14ac:dyDescent="0.35">
      <c r="A4" s="25"/>
      <c r="B4" s="5"/>
      <c r="C4" s="74" t="s">
        <v>71</v>
      </c>
      <c r="D4" s="85"/>
    </row>
    <row r="5" spans="1:7" ht="25.15" customHeight="1" x14ac:dyDescent="0.3">
      <c r="A5" s="2"/>
      <c r="B5" s="7"/>
      <c r="C5" s="18" t="s">
        <v>38</v>
      </c>
      <c r="D5" s="19" t="s">
        <v>39</v>
      </c>
    </row>
    <row r="6" spans="1:7" ht="25.15" customHeight="1" x14ac:dyDescent="0.3">
      <c r="A6" s="2" t="s">
        <v>35</v>
      </c>
      <c r="B6" s="7"/>
      <c r="C6" s="47">
        <v>77</v>
      </c>
      <c r="D6" s="49">
        <v>194</v>
      </c>
    </row>
    <row r="7" spans="1:7" ht="25.15" customHeight="1" x14ac:dyDescent="0.3">
      <c r="A7" s="2" t="s">
        <v>36</v>
      </c>
      <c r="B7" s="7"/>
      <c r="C7" s="47">
        <v>51</v>
      </c>
      <c r="D7" s="49">
        <v>144</v>
      </c>
    </row>
    <row r="8" spans="1:7" ht="4.9000000000000004" customHeight="1" x14ac:dyDescent="0.3">
      <c r="A8" s="6"/>
      <c r="B8" s="8"/>
      <c r="C8" s="20"/>
      <c r="D8" s="21"/>
    </row>
    <row r="9" spans="1:7" s="3" customFormat="1" ht="25.15" customHeight="1" x14ac:dyDescent="0.2">
      <c r="A9" s="2" t="s">
        <v>40</v>
      </c>
      <c r="B9" s="7"/>
      <c r="C9" s="18">
        <f>SUM(C6:C7)</f>
        <v>128</v>
      </c>
      <c r="D9" s="19">
        <f>SUM(D6:D7)</f>
        <v>338</v>
      </c>
    </row>
    <row r="10" spans="1:7" ht="23.25" x14ac:dyDescent="0.3">
      <c r="A10" s="24" t="s">
        <v>16</v>
      </c>
      <c r="B10" s="7"/>
      <c r="C10" s="88">
        <f>C9+D9</f>
        <v>466</v>
      </c>
      <c r="D10" s="87"/>
    </row>
  </sheetData>
  <mergeCells count="4">
    <mergeCell ref="C4:D4"/>
    <mergeCell ref="C10:D10"/>
    <mergeCell ref="C2:D2"/>
    <mergeCell ref="A1:G1"/>
  </mergeCells>
  <printOptions horizontalCentered="1"/>
  <pageMargins left="0" right="0" top="1" bottom="0" header="0" footer="0"/>
  <pageSetup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28"/>
  <sheetViews>
    <sheetView tabSelected="1" workbookViewId="0">
      <pane ySplit="6" topLeftCell="A7" activePane="bottomLeft" state="frozenSplit"/>
      <selection activeCell="A5" sqref="A5:XFD5"/>
      <selection pane="bottomLeft" activeCell="M24" sqref="M24"/>
    </sheetView>
  </sheetViews>
  <sheetFormatPr defaultColWidth="8.85546875" defaultRowHeight="20.25" x14ac:dyDescent="0.3"/>
  <cols>
    <col min="1" max="1" width="24.5703125" style="1" customWidth="1"/>
    <col min="2" max="2" width="8.85546875" style="1"/>
    <col min="3" max="8" width="5.28515625" style="1" customWidth="1"/>
    <col min="9" max="9" width="8.85546875" style="1"/>
    <col min="10" max="15" width="5.28515625" style="1" customWidth="1"/>
    <col min="16" max="16" width="8.85546875" style="1"/>
    <col min="17" max="22" width="5.28515625" style="1" customWidth="1"/>
    <col min="23" max="16384" width="8.85546875" style="1"/>
  </cols>
  <sheetData>
    <row r="1" spans="1:22" x14ac:dyDescent="0.3">
      <c r="A1" s="9" t="s">
        <v>61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U1" s="9"/>
      <c r="V1" s="9"/>
    </row>
    <row r="2" spans="1:22" x14ac:dyDescent="0.3">
      <c r="P2" s="78"/>
      <c r="Q2" s="78"/>
      <c r="R2" s="78"/>
      <c r="S2" s="78"/>
      <c r="T2" s="78"/>
    </row>
    <row r="3" spans="1:22" x14ac:dyDescent="0.3">
      <c r="C3" s="83" t="s">
        <v>2</v>
      </c>
      <c r="D3" s="83"/>
      <c r="E3" s="83"/>
      <c r="F3" s="83"/>
      <c r="G3" s="83"/>
      <c r="H3" s="83"/>
      <c r="K3" s="78" t="s">
        <v>10</v>
      </c>
      <c r="L3" s="78"/>
      <c r="M3" s="78"/>
      <c r="N3" s="78"/>
      <c r="Q3" s="78" t="s">
        <v>13</v>
      </c>
      <c r="R3" s="78"/>
      <c r="S3" s="78"/>
      <c r="T3" s="78"/>
      <c r="U3" s="78"/>
      <c r="V3" s="78"/>
    </row>
    <row r="4" spans="1:22" s="12" customFormat="1" x14ac:dyDescent="0.3"/>
    <row r="5" spans="1:22" s="4" customFormat="1" ht="156.75" customHeight="1" x14ac:dyDescent="0.35">
      <c r="B5" s="5"/>
      <c r="C5" s="74"/>
      <c r="D5" s="75"/>
      <c r="E5" s="74"/>
      <c r="F5" s="85"/>
      <c r="G5" s="75"/>
      <c r="H5" s="85"/>
      <c r="I5" s="22"/>
      <c r="J5" s="74" t="s">
        <v>91</v>
      </c>
      <c r="K5" s="75"/>
      <c r="L5" s="74" t="s">
        <v>92</v>
      </c>
      <c r="M5" s="75"/>
      <c r="N5" s="74"/>
      <c r="O5" s="85"/>
      <c r="P5" s="11"/>
      <c r="Q5" s="74" t="s">
        <v>88</v>
      </c>
      <c r="R5" s="75"/>
      <c r="S5" s="74"/>
      <c r="T5" s="85"/>
      <c r="U5" s="74"/>
      <c r="V5" s="85"/>
    </row>
    <row r="6" spans="1:22" ht="27.4" customHeight="1" x14ac:dyDescent="0.3">
      <c r="A6" s="2"/>
      <c r="B6" s="7"/>
      <c r="C6" s="18" t="s">
        <v>38</v>
      </c>
      <c r="D6" s="14" t="s">
        <v>39</v>
      </c>
      <c r="E6" s="18" t="s">
        <v>38</v>
      </c>
      <c r="F6" s="14" t="s">
        <v>39</v>
      </c>
      <c r="G6" s="18" t="s">
        <v>38</v>
      </c>
      <c r="H6" s="19" t="s">
        <v>39</v>
      </c>
      <c r="I6" s="17"/>
      <c r="J6" s="18" t="s">
        <v>38</v>
      </c>
      <c r="K6" s="14" t="s">
        <v>39</v>
      </c>
      <c r="L6" s="18" t="s">
        <v>38</v>
      </c>
      <c r="M6" s="14" t="s">
        <v>39</v>
      </c>
      <c r="N6" s="18" t="s">
        <v>38</v>
      </c>
      <c r="O6" s="19" t="s">
        <v>39</v>
      </c>
      <c r="P6" s="17"/>
      <c r="Q6" s="18" t="s">
        <v>38</v>
      </c>
      <c r="R6" s="14" t="s">
        <v>39</v>
      </c>
      <c r="S6" s="18" t="s">
        <v>38</v>
      </c>
      <c r="T6" s="19" t="s">
        <v>39</v>
      </c>
      <c r="U6" s="18" t="s">
        <v>38</v>
      </c>
      <c r="V6" s="19" t="s">
        <v>39</v>
      </c>
    </row>
    <row r="7" spans="1:22" ht="27.4" customHeight="1" x14ac:dyDescent="0.3">
      <c r="A7" s="2" t="s">
        <v>2</v>
      </c>
      <c r="B7" s="7"/>
      <c r="C7" s="18"/>
      <c r="D7" s="14"/>
      <c r="E7" s="18"/>
      <c r="F7" s="19"/>
      <c r="G7" s="16"/>
      <c r="H7" s="19"/>
      <c r="I7" s="17"/>
      <c r="J7" s="39"/>
      <c r="K7" s="40"/>
      <c r="L7" s="39"/>
      <c r="M7" s="40"/>
      <c r="N7" s="39"/>
      <c r="O7" s="41"/>
      <c r="P7" s="23"/>
      <c r="Q7" s="35"/>
      <c r="R7" s="36"/>
      <c r="S7" s="35"/>
      <c r="T7" s="37"/>
      <c r="U7" s="35"/>
      <c r="V7" s="37"/>
    </row>
    <row r="8" spans="1:22" ht="27.4" customHeight="1" x14ac:dyDescent="0.3">
      <c r="A8" s="2" t="s">
        <v>10</v>
      </c>
      <c r="B8" s="7"/>
      <c r="C8" s="35"/>
      <c r="D8" s="36"/>
      <c r="E8" s="35"/>
      <c r="F8" s="37"/>
      <c r="G8" s="38"/>
      <c r="H8" s="37"/>
      <c r="I8" s="17"/>
      <c r="J8" s="18"/>
      <c r="K8" s="14">
        <v>2</v>
      </c>
      <c r="L8" s="18"/>
      <c r="M8" s="14">
        <v>2</v>
      </c>
      <c r="N8" s="18"/>
      <c r="O8" s="19"/>
      <c r="P8" s="23"/>
      <c r="Q8" s="35"/>
      <c r="R8" s="36"/>
      <c r="S8" s="35"/>
      <c r="T8" s="37"/>
      <c r="U8" s="35"/>
      <c r="V8" s="37"/>
    </row>
    <row r="9" spans="1:22" ht="27.4" customHeight="1" x14ac:dyDescent="0.3">
      <c r="A9" s="2" t="s">
        <v>13</v>
      </c>
      <c r="B9" s="7"/>
      <c r="C9" s="35"/>
      <c r="D9" s="36"/>
      <c r="E9" s="35"/>
      <c r="F9" s="37"/>
      <c r="G9" s="38"/>
      <c r="H9" s="37"/>
      <c r="I9" s="17"/>
      <c r="J9" s="39"/>
      <c r="K9" s="40"/>
      <c r="L9" s="39"/>
      <c r="M9" s="40"/>
      <c r="N9" s="39"/>
      <c r="O9" s="41"/>
      <c r="P9" s="23"/>
      <c r="Q9" s="18"/>
      <c r="R9" s="14">
        <v>2</v>
      </c>
      <c r="S9" s="18"/>
      <c r="T9" s="19"/>
      <c r="U9" s="18"/>
      <c r="V9" s="19"/>
    </row>
    <row r="10" spans="1:22" ht="4.9000000000000004" customHeight="1" x14ac:dyDescent="0.3">
      <c r="A10" s="6"/>
      <c r="B10" s="8"/>
      <c r="C10" s="20"/>
      <c r="D10" s="15"/>
      <c r="E10" s="20"/>
      <c r="F10" s="21"/>
      <c r="G10" s="17"/>
      <c r="H10" s="21"/>
      <c r="I10" s="17"/>
      <c r="J10" s="20"/>
      <c r="K10" s="15"/>
      <c r="L10" s="20"/>
      <c r="M10" s="15"/>
      <c r="N10" s="20"/>
      <c r="O10" s="21"/>
      <c r="P10" s="23"/>
      <c r="Q10" s="20"/>
      <c r="R10" s="15"/>
      <c r="S10" s="20"/>
      <c r="T10" s="21"/>
      <c r="U10" s="20"/>
      <c r="V10" s="21"/>
    </row>
    <row r="11" spans="1:22" s="3" customFormat="1" ht="27.4" customHeight="1" x14ac:dyDescent="0.2">
      <c r="A11" s="2" t="s">
        <v>40</v>
      </c>
      <c r="B11" s="7"/>
      <c r="C11" s="18">
        <f t="shared" ref="C11:H11" si="0">SUM(C7:C9)</f>
        <v>0</v>
      </c>
      <c r="D11" s="19">
        <f t="shared" si="0"/>
        <v>0</v>
      </c>
      <c r="E11" s="18">
        <f t="shared" si="0"/>
        <v>0</v>
      </c>
      <c r="F11" s="19">
        <f t="shared" si="0"/>
        <v>0</v>
      </c>
      <c r="G11" s="16">
        <f t="shared" si="0"/>
        <v>0</v>
      </c>
      <c r="H11" s="19">
        <f t="shared" si="0"/>
        <v>0</v>
      </c>
      <c r="I11" s="17"/>
      <c r="J11" s="18">
        <f t="shared" ref="J11:O11" si="1">SUM(J7:J9)</f>
        <v>0</v>
      </c>
      <c r="K11" s="14">
        <f t="shared" si="1"/>
        <v>2</v>
      </c>
      <c r="L11" s="18">
        <f t="shared" si="1"/>
        <v>0</v>
      </c>
      <c r="M11" s="14">
        <f t="shared" si="1"/>
        <v>2</v>
      </c>
      <c r="N11" s="18">
        <f t="shared" si="1"/>
        <v>0</v>
      </c>
      <c r="O11" s="19">
        <f t="shared" si="1"/>
        <v>0</v>
      </c>
      <c r="P11" s="23"/>
      <c r="Q11" s="18">
        <f t="shared" ref="Q11:V11" si="2">SUM(Q7:Q9)</f>
        <v>0</v>
      </c>
      <c r="R11" s="14">
        <f t="shared" si="2"/>
        <v>2</v>
      </c>
      <c r="S11" s="18">
        <f t="shared" si="2"/>
        <v>0</v>
      </c>
      <c r="T11" s="19">
        <f t="shared" si="2"/>
        <v>0</v>
      </c>
      <c r="U11" s="18">
        <f t="shared" si="2"/>
        <v>0</v>
      </c>
      <c r="V11" s="19">
        <f t="shared" si="2"/>
        <v>0</v>
      </c>
    </row>
    <row r="12" spans="1:22" s="3" customFormat="1" ht="27.4" customHeight="1" x14ac:dyDescent="0.2">
      <c r="A12" s="24" t="s">
        <v>16</v>
      </c>
      <c r="B12" s="7"/>
      <c r="C12" s="88">
        <f>C11+D11</f>
        <v>0</v>
      </c>
      <c r="D12" s="87"/>
      <c r="E12" s="88">
        <f>E11+F11</f>
        <v>0</v>
      </c>
      <c r="F12" s="87"/>
      <c r="G12" s="88">
        <f>G11+H11</f>
        <v>0</v>
      </c>
      <c r="H12" s="87"/>
      <c r="I12" s="17"/>
      <c r="J12" s="88">
        <f>J11+K11</f>
        <v>2</v>
      </c>
      <c r="K12" s="87"/>
      <c r="L12" s="88">
        <f>L11+M11</f>
        <v>2</v>
      </c>
      <c r="M12" s="87"/>
      <c r="N12" s="88">
        <f>N11+O11</f>
        <v>0</v>
      </c>
      <c r="O12" s="87"/>
      <c r="P12" s="23"/>
      <c r="Q12" s="88">
        <f>Q11+R11</f>
        <v>2</v>
      </c>
      <c r="R12" s="87"/>
      <c r="S12" s="88">
        <f>S11+T11</f>
        <v>0</v>
      </c>
      <c r="T12" s="87"/>
      <c r="U12" s="88">
        <f>U11+V11</f>
        <v>0</v>
      </c>
      <c r="V12" s="87"/>
    </row>
    <row r="17" spans="1:22" x14ac:dyDescent="0.3">
      <c r="A17" s="9" t="s">
        <v>89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U17" s="9"/>
      <c r="V17" s="9"/>
    </row>
    <row r="18" spans="1:22" x14ac:dyDescent="0.3">
      <c r="P18" s="78"/>
      <c r="Q18" s="78"/>
      <c r="R18" s="78"/>
      <c r="S18" s="78"/>
      <c r="T18" s="78"/>
    </row>
    <row r="19" spans="1:22" ht="21" thickBot="1" x14ac:dyDescent="0.35">
      <c r="C19" s="83" t="s">
        <v>2</v>
      </c>
      <c r="D19" s="83"/>
      <c r="E19" s="83"/>
      <c r="F19" s="83"/>
      <c r="G19" s="83"/>
      <c r="H19" s="83"/>
      <c r="K19" s="78" t="s">
        <v>10</v>
      </c>
      <c r="L19" s="78"/>
      <c r="M19" s="78"/>
      <c r="N19" s="78"/>
      <c r="Q19" s="78" t="s">
        <v>13</v>
      </c>
      <c r="R19" s="78"/>
      <c r="S19" s="78"/>
      <c r="T19" s="78"/>
      <c r="U19" s="78"/>
      <c r="V19" s="78"/>
    </row>
    <row r="20" spans="1:22" ht="156" customHeight="1" thickBot="1" x14ac:dyDescent="0.35">
      <c r="A20" s="12"/>
      <c r="B20" s="12"/>
      <c r="C20" s="101"/>
      <c r="D20" s="102"/>
      <c r="E20" s="103"/>
      <c r="F20" s="104"/>
      <c r="G20" s="105"/>
      <c r="H20" s="104"/>
      <c r="I20" s="12"/>
      <c r="J20" s="74" t="s">
        <v>93</v>
      </c>
      <c r="K20" s="75"/>
      <c r="L20" s="74" t="s">
        <v>92</v>
      </c>
      <c r="M20" s="75"/>
      <c r="N20" s="105"/>
      <c r="O20" s="104"/>
      <c r="P20" s="12"/>
      <c r="Q20" s="74" t="s">
        <v>90</v>
      </c>
      <c r="R20" s="75"/>
      <c r="S20" s="103"/>
      <c r="T20" s="104"/>
      <c r="U20" s="105"/>
      <c r="V20" s="104"/>
    </row>
    <row r="21" spans="1:22" ht="0.75" customHeight="1" x14ac:dyDescent="0.35">
      <c r="A21" s="4"/>
      <c r="B21" s="5"/>
      <c r="C21" s="74"/>
      <c r="D21" s="75"/>
      <c r="E21" s="74"/>
      <c r="F21" s="85"/>
      <c r="G21" s="75"/>
      <c r="H21" s="85"/>
      <c r="I21" s="22"/>
      <c r="J21" s="74"/>
      <c r="K21" s="75"/>
      <c r="L21" s="74"/>
      <c r="M21" s="75"/>
      <c r="N21" s="74"/>
      <c r="O21" s="85"/>
      <c r="P21" s="11"/>
      <c r="Q21" s="74"/>
      <c r="R21" s="75"/>
      <c r="S21" s="74"/>
      <c r="T21" s="85"/>
      <c r="U21" s="74"/>
      <c r="V21" s="85"/>
    </row>
    <row r="22" spans="1:22" ht="23.25" x14ac:dyDescent="0.3">
      <c r="A22" s="2"/>
      <c r="B22" s="7"/>
      <c r="C22" s="18" t="s">
        <v>38</v>
      </c>
      <c r="D22" s="14" t="s">
        <v>39</v>
      </c>
      <c r="E22" s="18" t="s">
        <v>38</v>
      </c>
      <c r="F22" s="14" t="s">
        <v>39</v>
      </c>
      <c r="G22" s="18" t="s">
        <v>38</v>
      </c>
      <c r="H22" s="19" t="s">
        <v>39</v>
      </c>
      <c r="I22" s="17"/>
      <c r="J22" s="18" t="s">
        <v>38</v>
      </c>
      <c r="K22" s="14" t="s">
        <v>39</v>
      </c>
      <c r="L22" s="18" t="s">
        <v>38</v>
      </c>
      <c r="M22" s="14" t="s">
        <v>39</v>
      </c>
      <c r="N22" s="18" t="s">
        <v>38</v>
      </c>
      <c r="O22" s="19" t="s">
        <v>39</v>
      </c>
      <c r="P22" s="17"/>
      <c r="Q22" s="18" t="s">
        <v>38</v>
      </c>
      <c r="R22" s="14" t="s">
        <v>39</v>
      </c>
      <c r="S22" s="18" t="s">
        <v>38</v>
      </c>
      <c r="T22" s="19" t="s">
        <v>39</v>
      </c>
      <c r="U22" s="18" t="s">
        <v>38</v>
      </c>
      <c r="V22" s="19" t="s">
        <v>39</v>
      </c>
    </row>
    <row r="23" spans="1:22" ht="23.25" x14ac:dyDescent="0.3">
      <c r="A23" s="2" t="s">
        <v>2</v>
      </c>
      <c r="B23" s="7"/>
      <c r="C23" s="18"/>
      <c r="D23" s="14"/>
      <c r="E23" s="18"/>
      <c r="F23" s="19"/>
      <c r="G23" s="16"/>
      <c r="H23" s="19"/>
      <c r="I23" s="17"/>
      <c r="J23" s="39"/>
      <c r="K23" s="40"/>
      <c r="L23" s="39"/>
      <c r="M23" s="40"/>
      <c r="N23" s="39"/>
      <c r="O23" s="41"/>
      <c r="P23" s="23"/>
      <c r="Q23" s="35"/>
      <c r="R23" s="36"/>
      <c r="S23" s="35"/>
      <c r="T23" s="37"/>
      <c r="U23" s="35"/>
      <c r="V23" s="37"/>
    </row>
    <row r="24" spans="1:22" ht="23.25" x14ac:dyDescent="0.3">
      <c r="A24" s="2" t="s">
        <v>10</v>
      </c>
      <c r="B24" s="7"/>
      <c r="C24" s="35"/>
      <c r="D24" s="36"/>
      <c r="E24" s="35"/>
      <c r="F24" s="37"/>
      <c r="G24" s="38"/>
      <c r="H24" s="37"/>
      <c r="I24" s="17"/>
      <c r="J24" s="18"/>
      <c r="K24" s="14">
        <v>2</v>
      </c>
      <c r="L24" s="18"/>
      <c r="M24" s="14">
        <v>2</v>
      </c>
      <c r="N24" s="18"/>
      <c r="O24" s="19"/>
      <c r="P24" s="23"/>
      <c r="Q24" s="35"/>
      <c r="R24" s="36"/>
      <c r="S24" s="35"/>
      <c r="T24" s="37"/>
      <c r="U24" s="35"/>
      <c r="V24" s="37"/>
    </row>
    <row r="25" spans="1:22" ht="23.25" x14ac:dyDescent="0.3">
      <c r="A25" s="2" t="s">
        <v>13</v>
      </c>
      <c r="B25" s="7"/>
      <c r="C25" s="35"/>
      <c r="D25" s="36"/>
      <c r="E25" s="35"/>
      <c r="F25" s="37"/>
      <c r="G25" s="38"/>
      <c r="H25" s="37"/>
      <c r="I25" s="17"/>
      <c r="J25" s="39"/>
      <c r="K25" s="40"/>
      <c r="L25" s="39"/>
      <c r="M25" s="40"/>
      <c r="N25" s="39"/>
      <c r="O25" s="41"/>
      <c r="P25" s="23"/>
      <c r="Q25" s="18"/>
      <c r="R25" s="14">
        <v>2</v>
      </c>
      <c r="S25" s="18"/>
      <c r="T25" s="19"/>
      <c r="U25" s="18"/>
      <c r="V25" s="19"/>
    </row>
    <row r="26" spans="1:22" x14ac:dyDescent="0.3">
      <c r="A26" s="6"/>
      <c r="B26" s="8"/>
      <c r="C26" s="20"/>
      <c r="D26" s="15"/>
      <c r="E26" s="20"/>
      <c r="F26" s="21"/>
      <c r="G26" s="17"/>
      <c r="H26" s="21"/>
      <c r="I26" s="17"/>
      <c r="J26" s="20"/>
      <c r="K26" s="15"/>
      <c r="L26" s="20"/>
      <c r="M26" s="15"/>
      <c r="N26" s="20"/>
      <c r="O26" s="21"/>
      <c r="P26" s="23"/>
      <c r="Q26" s="20"/>
      <c r="R26" s="15"/>
      <c r="S26" s="20"/>
      <c r="T26" s="21"/>
      <c r="U26" s="20"/>
      <c r="V26" s="21"/>
    </row>
    <row r="27" spans="1:22" ht="23.25" x14ac:dyDescent="0.3">
      <c r="A27" s="2" t="s">
        <v>40</v>
      </c>
      <c r="B27" s="7"/>
      <c r="C27" s="18">
        <f t="shared" ref="C27:H27" si="3">SUM(C23:C25)</f>
        <v>0</v>
      </c>
      <c r="D27" s="19">
        <f t="shared" si="3"/>
        <v>0</v>
      </c>
      <c r="E27" s="18">
        <f t="shared" si="3"/>
        <v>0</v>
      </c>
      <c r="F27" s="19">
        <f t="shared" si="3"/>
        <v>0</v>
      </c>
      <c r="G27" s="16">
        <f t="shared" si="3"/>
        <v>0</v>
      </c>
      <c r="H27" s="19">
        <f t="shared" si="3"/>
        <v>0</v>
      </c>
      <c r="I27" s="17"/>
      <c r="J27" s="18">
        <f t="shared" ref="J27:O27" si="4">SUM(J23:J25)</f>
        <v>0</v>
      </c>
      <c r="K27" s="14">
        <f t="shared" si="4"/>
        <v>2</v>
      </c>
      <c r="L27" s="18">
        <f t="shared" si="4"/>
        <v>0</v>
      </c>
      <c r="M27" s="14">
        <f t="shared" si="4"/>
        <v>2</v>
      </c>
      <c r="N27" s="18">
        <f t="shared" si="4"/>
        <v>0</v>
      </c>
      <c r="O27" s="19">
        <f t="shared" si="4"/>
        <v>0</v>
      </c>
      <c r="P27" s="23"/>
      <c r="Q27" s="18">
        <f t="shared" ref="Q27:V27" si="5">SUM(Q23:Q25)</f>
        <v>0</v>
      </c>
      <c r="R27" s="14">
        <f t="shared" si="5"/>
        <v>2</v>
      </c>
      <c r="S27" s="18">
        <f t="shared" si="5"/>
        <v>0</v>
      </c>
      <c r="T27" s="19">
        <f t="shared" si="5"/>
        <v>0</v>
      </c>
      <c r="U27" s="18">
        <f t="shared" si="5"/>
        <v>0</v>
      </c>
      <c r="V27" s="19">
        <f t="shared" si="5"/>
        <v>0</v>
      </c>
    </row>
    <row r="28" spans="1:22" ht="23.25" x14ac:dyDescent="0.3">
      <c r="A28" s="24" t="s">
        <v>16</v>
      </c>
      <c r="B28" s="7"/>
      <c r="C28" s="88">
        <f>C27+D27</f>
        <v>0</v>
      </c>
      <c r="D28" s="87"/>
      <c r="E28" s="88">
        <f>E27+F27</f>
        <v>0</v>
      </c>
      <c r="F28" s="87"/>
      <c r="G28" s="88">
        <f>G27+H27</f>
        <v>0</v>
      </c>
      <c r="H28" s="87"/>
      <c r="I28" s="17"/>
      <c r="J28" s="88">
        <f>J27+K27</f>
        <v>2</v>
      </c>
      <c r="K28" s="87"/>
      <c r="L28" s="88">
        <f>L27+M27</f>
        <v>2</v>
      </c>
      <c r="M28" s="87"/>
      <c r="N28" s="88">
        <f>N27+O27</f>
        <v>0</v>
      </c>
      <c r="O28" s="87"/>
      <c r="P28" s="23"/>
      <c r="Q28" s="88">
        <f>Q27+R27</f>
        <v>2</v>
      </c>
      <c r="R28" s="87"/>
      <c r="S28" s="88">
        <f>S27+T27</f>
        <v>0</v>
      </c>
      <c r="T28" s="87"/>
      <c r="U28" s="88">
        <f>U27+V27</f>
        <v>0</v>
      </c>
      <c r="V28" s="87"/>
    </row>
  </sheetData>
  <mergeCells count="47">
    <mergeCell ref="N28:O28"/>
    <mergeCell ref="Q28:R28"/>
    <mergeCell ref="S28:T28"/>
    <mergeCell ref="U28:V28"/>
    <mergeCell ref="J20:K20"/>
    <mergeCell ref="L20:M20"/>
    <mergeCell ref="Q20:R20"/>
    <mergeCell ref="C28:D28"/>
    <mergeCell ref="E28:F28"/>
    <mergeCell ref="G28:H28"/>
    <mergeCell ref="J28:K28"/>
    <mergeCell ref="L28:M28"/>
    <mergeCell ref="P18:T18"/>
    <mergeCell ref="C19:H19"/>
    <mergeCell ref="K19:N19"/>
    <mergeCell ref="Q19:V19"/>
    <mergeCell ref="C21:D21"/>
    <mergeCell ref="E21:F21"/>
    <mergeCell ref="G21:H21"/>
    <mergeCell ref="J21:K21"/>
    <mergeCell ref="L21:M21"/>
    <mergeCell ref="N21:O21"/>
    <mergeCell ref="Q21:R21"/>
    <mergeCell ref="S21:T21"/>
    <mergeCell ref="U21:V21"/>
    <mergeCell ref="P2:T2"/>
    <mergeCell ref="U12:V12"/>
    <mergeCell ref="C12:D12"/>
    <mergeCell ref="E12:F12"/>
    <mergeCell ref="G12:H12"/>
    <mergeCell ref="J12:K12"/>
    <mergeCell ref="C3:H3"/>
    <mergeCell ref="K3:N3"/>
    <mergeCell ref="C5:D5"/>
    <mergeCell ref="E5:F5"/>
    <mergeCell ref="G5:H5"/>
    <mergeCell ref="J5:K5"/>
    <mergeCell ref="L5:M5"/>
    <mergeCell ref="N5:O5"/>
    <mergeCell ref="L12:M12"/>
    <mergeCell ref="N12:O12"/>
    <mergeCell ref="Q12:R12"/>
    <mergeCell ref="S12:T12"/>
    <mergeCell ref="Q3:V3"/>
    <mergeCell ref="U5:V5"/>
    <mergeCell ref="Q5:R5"/>
    <mergeCell ref="S5:T5"/>
  </mergeCells>
  <printOptions horizontalCentered="1" verticalCentered="1"/>
  <pageMargins left="0" right="0" top="0" bottom="0" header="0" footer="0"/>
  <pageSetup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National</vt:lpstr>
      <vt:lpstr>State</vt:lpstr>
      <vt:lpstr>Judge</vt:lpstr>
      <vt:lpstr>County</vt:lpstr>
      <vt:lpstr>Court Judges</vt:lpstr>
      <vt:lpstr>Hospital</vt:lpstr>
      <vt:lpstr>Hoxie</vt:lpstr>
      <vt:lpstr>Township</vt:lpstr>
    </vt:vector>
  </TitlesOfParts>
  <Company>Sheridan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Heather Bracht</cp:lastModifiedBy>
  <cp:lastPrinted>2024-11-12T17:34:48Z</cp:lastPrinted>
  <dcterms:created xsi:type="dcterms:W3CDTF">2000-04-04T15:55:31Z</dcterms:created>
  <dcterms:modified xsi:type="dcterms:W3CDTF">2024-11-12T17:57:44Z</dcterms:modified>
</cp:coreProperties>
</file>