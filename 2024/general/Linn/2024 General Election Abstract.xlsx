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wichitaedu-my.sharepoint.com/personal/m693d933_wichita_edu/Documents/ks_2024_general/official_results/Linn/"/>
    </mc:Choice>
  </mc:AlternateContent>
  <xr:revisionPtr revIDLastSave="2" documentId="13_ncr:1_{55D6B010-2431-4A56-9A00-359D401FE473}" xr6:coauthVersionLast="47" xr6:coauthVersionMax="47" xr10:uidLastSave="{FB699E39-FB35-48A8-A0B7-EE230E69A715}"/>
  <bookViews>
    <workbookView xWindow="-28920" yWindow="-120" windowWidth="29040" windowHeight="15720" xr2:uid="{00000000-000D-0000-FFFF-FFFF00000000}"/>
  </bookViews>
  <sheets>
    <sheet name="Republic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X54" i="1" l="1"/>
  <c r="BX47" i="1"/>
  <c r="BX105" i="1"/>
  <c r="BX183" i="1"/>
  <c r="BX184" i="1"/>
  <c r="BX185" i="1"/>
  <c r="BX188" i="1"/>
  <c r="BX179" i="1"/>
  <c r="BX134" i="1"/>
  <c r="BX135" i="1"/>
  <c r="BX136" i="1"/>
  <c r="BX85" i="1"/>
  <c r="BX258" i="1"/>
  <c r="BX146" i="1"/>
  <c r="BX147" i="1"/>
  <c r="BX148" i="1"/>
  <c r="BX149" i="1"/>
  <c r="BX150" i="1"/>
  <c r="BX151" i="1"/>
  <c r="BX152" i="1"/>
  <c r="BX153" i="1"/>
  <c r="BX154" i="1"/>
  <c r="BX155" i="1"/>
  <c r="BX156" i="1"/>
  <c r="BX157" i="1"/>
  <c r="BX158" i="1"/>
  <c r="BX159" i="1"/>
  <c r="BX160" i="1"/>
  <c r="BX161" i="1"/>
  <c r="BX162" i="1"/>
  <c r="BX163" i="1"/>
  <c r="BX164" i="1"/>
  <c r="BX165" i="1"/>
  <c r="BX166" i="1"/>
  <c r="BX116" i="1"/>
  <c r="BX117" i="1"/>
  <c r="BX128" i="1"/>
  <c r="BX129" i="1"/>
  <c r="BX130" i="1"/>
  <c r="BX108" i="1"/>
  <c r="BX100" i="1"/>
  <c r="BX99" i="1"/>
  <c r="BX95" i="1"/>
  <c r="BX96" i="1"/>
  <c r="BX97" i="1"/>
  <c r="BX98" i="1"/>
  <c r="BX45" i="1"/>
  <c r="BX46" i="1"/>
  <c r="BX78" i="1"/>
  <c r="BX111" i="1"/>
  <c r="BX41" i="1"/>
  <c r="BX42" i="1"/>
  <c r="BX43" i="1"/>
  <c r="BX44" i="1"/>
  <c r="BX49" i="1"/>
  <c r="BX50" i="1"/>
  <c r="BX51" i="1"/>
  <c r="BX52" i="1"/>
  <c r="BX53" i="1"/>
  <c r="BX256" i="1"/>
  <c r="BX93" i="1"/>
  <c r="BX103" i="1"/>
  <c r="BX104" i="1"/>
  <c r="BX89" i="1"/>
  <c r="BX90" i="1"/>
  <c r="BX91" i="1"/>
  <c r="BX92" i="1"/>
  <c r="BX94" i="1"/>
  <c r="BX121" i="1"/>
  <c r="BX81" i="1"/>
  <c r="BX82" i="1"/>
  <c r="BX83" i="1"/>
  <c r="BX84" i="1"/>
  <c r="BX75" i="1"/>
  <c r="BX76" i="1"/>
  <c r="BX77" i="1"/>
  <c r="BX127" i="1"/>
  <c r="BX132" i="1"/>
  <c r="BX133" i="1"/>
  <c r="BX230" i="1"/>
  <c r="BX231" i="1"/>
  <c r="BX232" i="1"/>
  <c r="BX233" i="1"/>
  <c r="BX234" i="1"/>
  <c r="BX235" i="1"/>
  <c r="BX236" i="1"/>
  <c r="BX237" i="1"/>
  <c r="BX238" i="1"/>
  <c r="BX239" i="1"/>
  <c r="BX240" i="1"/>
  <c r="BX241" i="1"/>
  <c r="BX220" i="1"/>
  <c r="BX221" i="1"/>
  <c r="BX222" i="1"/>
  <c r="BX223" i="1"/>
  <c r="BX224" i="1"/>
  <c r="BX225" i="1"/>
  <c r="BX226" i="1"/>
  <c r="BX227" i="1"/>
  <c r="BX301" i="1" l="1"/>
  <c r="BX300" i="1"/>
  <c r="BX298" i="1"/>
  <c r="BX297" i="1"/>
  <c r="BX295" i="1"/>
  <c r="BX294" i="1"/>
  <c r="BX292" i="1"/>
  <c r="BX291" i="1"/>
  <c r="BX289" i="1"/>
  <c r="BX288" i="1"/>
  <c r="BX283" i="1"/>
  <c r="BX282" i="1"/>
  <c r="BX280" i="1"/>
  <c r="BX279" i="1"/>
  <c r="BX277" i="1"/>
  <c r="BX276" i="1"/>
  <c r="BX274" i="1"/>
  <c r="BX273" i="1"/>
  <c r="BX271" i="1"/>
  <c r="BX270" i="1"/>
  <c r="BX268" i="1"/>
  <c r="BX267" i="1"/>
  <c r="BX265" i="1"/>
  <c r="BX264" i="1"/>
  <c r="BX11" i="1"/>
  <c r="BX12" i="1"/>
  <c r="BX13" i="1"/>
  <c r="BX15" i="1"/>
  <c r="BX16" i="1"/>
  <c r="BX18" i="1"/>
  <c r="BX20" i="1"/>
  <c r="BX22" i="1"/>
  <c r="BX23" i="1"/>
  <c r="BX24" i="1"/>
  <c r="BX26" i="1"/>
  <c r="BX27" i="1"/>
  <c r="BX29" i="1"/>
  <c r="BX31" i="1"/>
  <c r="BX33" i="1"/>
  <c r="BX35" i="1"/>
  <c r="BX37" i="1"/>
  <c r="BX40" i="1"/>
  <c r="BX57" i="1"/>
  <c r="BX59" i="1"/>
  <c r="BX60" i="1"/>
  <c r="BX257" i="1"/>
  <c r="BX178" i="1"/>
  <c r="BX261" i="1"/>
  <c r="BX255" i="1"/>
  <c r="BX245" i="1"/>
  <c r="BX246" i="1"/>
  <c r="BX247" i="1"/>
  <c r="BX190" i="1"/>
  <c r="BX191" i="1"/>
  <c r="BX192" i="1"/>
  <c r="BX193" i="1"/>
  <c r="BX194" i="1"/>
  <c r="BX195" i="1"/>
  <c r="BX196" i="1"/>
  <c r="BX187" i="1"/>
  <c r="BX173" i="1"/>
  <c r="BX174" i="1"/>
  <c r="BX175" i="1"/>
  <c r="BX176" i="1"/>
  <c r="BX177" i="1"/>
  <c r="BX123" i="1"/>
  <c r="BX6" i="1"/>
  <c r="BX7" i="1"/>
  <c r="BX8" i="1"/>
  <c r="BX186" i="1" l="1"/>
  <c r="BX251" i="1" l="1"/>
  <c r="BX250" i="1"/>
  <c r="BX219" i="1"/>
  <c r="BX182" i="1"/>
  <c r="BX181" i="1"/>
  <c r="BX170" i="1"/>
  <c r="BX169" i="1"/>
  <c r="BX168" i="1"/>
  <c r="BX167" i="1"/>
  <c r="BX145" i="1"/>
  <c r="BX118" i="1"/>
  <c r="BX115" i="1"/>
  <c r="BX120" i="1" l="1"/>
  <c r="BX249" i="1" l="1"/>
  <c r="BX229" i="1"/>
  <c r="BX172" i="1"/>
  <c r="BX126" i="1"/>
  <c r="BX122" i="1"/>
  <c r="BX110" i="1"/>
  <c r="BX102" i="1"/>
  <c r="BX88" i="1"/>
  <c r="BX80" i="1"/>
  <c r="BX9" i="1" l="1"/>
  <c r="BX5" i="1"/>
  <c r="BX260" i="1"/>
  <c r="BX254" i="1"/>
  <c r="BX244" i="1"/>
  <c r="BX218" i="1"/>
  <c r="BX189" i="1"/>
  <c r="BX180" i="1"/>
  <c r="BX144" i="1"/>
  <c r="BX114" i="1"/>
  <c r="BX107" i="1"/>
  <c r="BX74" i="1"/>
</calcChain>
</file>

<file path=xl/sharedStrings.xml><?xml version="1.0" encoding="utf-8"?>
<sst xmlns="http://schemas.openxmlformats.org/spreadsheetml/2006/main" count="707" uniqueCount="216">
  <si>
    <t>Name of Office</t>
  </si>
  <si>
    <t>Names of Candidates</t>
  </si>
  <si>
    <t>Blue Mound Township</t>
  </si>
  <si>
    <t>Advance</t>
  </si>
  <si>
    <t>Hand Count</t>
  </si>
  <si>
    <t>Provisional</t>
  </si>
  <si>
    <t>Centerville Township</t>
  </si>
  <si>
    <t>Liberty Township</t>
  </si>
  <si>
    <t>Lincoln North Township</t>
  </si>
  <si>
    <t>Lincoln South Township</t>
  </si>
  <si>
    <t>Mound City Township</t>
  </si>
  <si>
    <t>Paris Township</t>
  </si>
  <si>
    <t>Potosi North Township</t>
  </si>
  <si>
    <t>Potosi South Township</t>
  </si>
  <si>
    <t>Scott Township</t>
  </si>
  <si>
    <t>Sheridan Township</t>
  </si>
  <si>
    <t>Stanton Township</t>
  </si>
  <si>
    <t>Valley Township</t>
  </si>
  <si>
    <t>Ad vance</t>
  </si>
  <si>
    <t>Totals</t>
  </si>
  <si>
    <t>Memoranda</t>
  </si>
  <si>
    <t>Caryn Tyson</t>
  </si>
  <si>
    <t>Lincoln Township</t>
  </si>
  <si>
    <t>Potosi Township</t>
  </si>
  <si>
    <t xml:space="preserve">
Attest: _____________________________________________          _______________________________________________________
                                                County Clerk                                                                               Canvasser
___________________________________________________           _______________________________________________________
                     Canvasser                                                                                                                Canvasser</t>
  </si>
  <si>
    <t xml:space="preserve">
ATTEST: ________________________________________________________________________________                                                                         ___________________________________________________________
                                                                 County Clerk                                                                                                                                                                                                                                                                 Canvasser
                                                                                                                               ______________________________________________________________           ___________________________________________________________
                                                                                                                                                                                                          Canvasser                                                                                                                              Canvasser</t>
  </si>
  <si>
    <t>State Senate District 12</t>
  </si>
  <si>
    <t>US Representative District 2</t>
  </si>
  <si>
    <t>State Representative District 4</t>
  </si>
  <si>
    <t>County Commissioner Distrcit 2</t>
  </si>
  <si>
    <t>County Commissioner Distrcit 3</t>
  </si>
  <si>
    <t>County Clerk</t>
  </si>
  <si>
    <t>David L. Lamb</t>
  </si>
  <si>
    <t>County Treasurer</t>
  </si>
  <si>
    <t>County Register of Deeds</t>
  </si>
  <si>
    <t>Kristy S. Schmitz</t>
  </si>
  <si>
    <t>County Attorney</t>
  </si>
  <si>
    <t>County Sheriff</t>
  </si>
  <si>
    <t>Township Trustee</t>
  </si>
  <si>
    <t>Township Treasurer</t>
  </si>
  <si>
    <t>Brenda Beth</t>
  </si>
  <si>
    <t>Brenda Conner</t>
  </si>
  <si>
    <t>Cheri Dunlop</t>
  </si>
  <si>
    <t>Barbara J. Hines</t>
  </si>
  <si>
    <t>Carol Wood</t>
  </si>
  <si>
    <t>Steve Ellis</t>
  </si>
  <si>
    <t>Jean Peterson</t>
  </si>
  <si>
    <t>Adv Rcvd After Election Day</t>
  </si>
  <si>
    <t>Hand Count Provisional</t>
  </si>
  <si>
    <t>Lincoln North - Linn Valley</t>
  </si>
  <si>
    <t>Derek Schmidt</t>
  </si>
  <si>
    <t>Rick James</t>
  </si>
  <si>
    <t>Fred Gardner</t>
  </si>
  <si>
    <t>Alison Hamilton</t>
  </si>
  <si>
    <t>Jim Johnson</t>
  </si>
  <si>
    <t>Joannie A. Reed</t>
  </si>
  <si>
    <t>Justin B. Meeks</t>
  </si>
  <si>
    <t>James Akes</t>
  </si>
  <si>
    <t>Nancy Boyda</t>
  </si>
  <si>
    <t>State Representative District 9</t>
  </si>
  <si>
    <t>Polly Ann Yates</t>
  </si>
  <si>
    <t>Karen S. Whitcomb</t>
  </si>
  <si>
    <t>Mike Van Vlack</t>
  </si>
  <si>
    <t>Gary E. Schmitz</t>
  </si>
  <si>
    <t>Carmen Self</t>
  </si>
  <si>
    <t>Tel-Lea L. Cox</t>
  </si>
  <si>
    <t>Advance after Elec Day</t>
  </si>
  <si>
    <t>Reina Kratzberg-WI</t>
  </si>
  <si>
    <t>Rod Earnest-WI</t>
  </si>
  <si>
    <t>Doug Maschino-WI</t>
  </si>
  <si>
    <t>Sarah Bloomfield-WI</t>
  </si>
  <si>
    <t>Karen Springer-WI</t>
  </si>
  <si>
    <t>Keith Bloomfield-WI</t>
  </si>
  <si>
    <t>Brian Bloomfield-WI</t>
  </si>
  <si>
    <t>James Weers-WI</t>
  </si>
  <si>
    <t>Mark Overton-WI</t>
  </si>
  <si>
    <t>Richard Long-WI</t>
  </si>
  <si>
    <t>Paul Hamilton-WI</t>
  </si>
  <si>
    <t>Abstract of votes cast at the General Election November 5, 2024</t>
  </si>
  <si>
    <t>STATE OF KANSAS, LINN COUNTY, ss.
     We, the Undersigned, Members of the Board of County Commissioners in and for said county, and ex-officio Board of Canvassers for Linn County, do hereby certify that the foregoing Abstract of Votes Cast at the Primary Election held in the several voting Precincts in Linn County on the above date, is correct, as shown by the returns of said election on file in the County Clerk's office, and canvassed by us this 18th day of November, A.D., 2024.</t>
  </si>
  <si>
    <t>Presidential Electors</t>
  </si>
  <si>
    <t>Oliver and Ter Maat</t>
  </si>
  <si>
    <t>Trump and Vance</t>
  </si>
  <si>
    <t>Harris &amp; Walz</t>
  </si>
  <si>
    <t>Kennedy Jr. and Shanahan</t>
  </si>
  <si>
    <t>John Hauer</t>
  </si>
  <si>
    <t>Cullene Lang</t>
  </si>
  <si>
    <t>Vicki Leonard-WI</t>
  </si>
  <si>
    <t>District Court Judge</t>
  </si>
  <si>
    <t>Court of Appeals Judge</t>
  </si>
  <si>
    <t>Yes</t>
  </si>
  <si>
    <t>No</t>
  </si>
  <si>
    <t>David E. Bruns-Position 6</t>
  </si>
  <si>
    <t>G. Gorden Atcheson-Position 8</t>
  </si>
  <si>
    <t>Karen Arnold-Burger-Position 9</t>
  </si>
  <si>
    <t>Rachel L. Pickering-Position 10</t>
  </si>
  <si>
    <t>Angela D. Coble-Position 12</t>
  </si>
  <si>
    <t>Kathryn Gardner-Position 14</t>
  </si>
  <si>
    <t>Sarah E. Warner-Position 4</t>
  </si>
  <si>
    <t>Andrea E. Purvis, Dist. 6, Div. 2</t>
  </si>
  <si>
    <t>Mark A. Ward, Dist. 6, Div. 3</t>
  </si>
  <si>
    <t>Sarah E. Stewart, Dist. 6, Div. 4</t>
  </si>
  <si>
    <t>Richard M. Fisher, Jr., Dist. 6, Div. 5</t>
  </si>
  <si>
    <t xml:space="preserve">                           Dist. 6, Div. 6</t>
  </si>
  <si>
    <t>Elizabeth H. Sweeney-Reeder,</t>
  </si>
  <si>
    <t>Advance after Elec. Day</t>
  </si>
  <si>
    <t>Mendi Cyr</t>
  </si>
  <si>
    <t>Advance after Election Day</t>
  </si>
  <si>
    <t>Advacen after Election Day</t>
  </si>
  <si>
    <t xml:space="preserve">Ann V. Garrett </t>
  </si>
  <si>
    <t>Wayne A. Cox</t>
  </si>
  <si>
    <t>Quinton Parsons-WI</t>
  </si>
  <si>
    <t>Kevin Rohr-WI</t>
  </si>
  <si>
    <t>Kathy Wood-WI</t>
  </si>
  <si>
    <t>Samantha Lowe-WI</t>
  </si>
  <si>
    <t>Mellisa Robbins-WI</t>
  </si>
  <si>
    <t>Brandi Bloomfield-WI</t>
  </si>
  <si>
    <t>Rosemary Wakefield-WI</t>
  </si>
  <si>
    <t>Stein &amp; Rudolph -WI</t>
  </si>
  <si>
    <t>Shannon R. Heath-WI</t>
  </si>
  <si>
    <t>Kyle D. Shafer-WI</t>
  </si>
  <si>
    <t>Charla Holt-WI</t>
  </si>
  <si>
    <t>Jeff Darling-WI</t>
  </si>
  <si>
    <t>Jason Webber-WI</t>
  </si>
  <si>
    <t>Brianna Gillespie-WI</t>
  </si>
  <si>
    <t>Robert Orth-WI</t>
  </si>
  <si>
    <t>Larry Johnson-WI</t>
  </si>
  <si>
    <t>Rick McRae-WI</t>
  </si>
  <si>
    <t>Sue Clearwater-WI</t>
  </si>
  <si>
    <t>Dan Troth-WI</t>
  </si>
  <si>
    <t>Judith Patterson-WI</t>
  </si>
  <si>
    <t>Tommy Capp-WI</t>
  </si>
  <si>
    <t>Devonna Herrin-WI</t>
  </si>
  <si>
    <t>Kirby Murray-WI</t>
  </si>
  <si>
    <t>Steve Marr-WI</t>
  </si>
  <si>
    <t>Brenda Curtis-WI</t>
  </si>
  <si>
    <t>Anndi Bownes-WI</t>
  </si>
  <si>
    <t>Paul Moeller-WI</t>
  </si>
  <si>
    <t>Jayla Harvey-WI</t>
  </si>
  <si>
    <t>Mercedes Hartman-WI</t>
  </si>
  <si>
    <t>Dee Kieffaber-WI</t>
  </si>
  <si>
    <t>Larry Forbach-WI</t>
  </si>
  <si>
    <t>Ruth Antrim-WI</t>
  </si>
  <si>
    <t>Nita Cress-WI</t>
  </si>
  <si>
    <t>Brett Veach-WI</t>
  </si>
  <si>
    <t>Jared Ellis-WI</t>
  </si>
  <si>
    <t>Charlene Sims-WI</t>
  </si>
  <si>
    <t>Daniel Nasalroad-WI</t>
  </si>
  <si>
    <t>Ron Crisler-WI</t>
  </si>
  <si>
    <t>Ann Garrett-WI</t>
  </si>
  <si>
    <t>Gene Simmons-WI</t>
  </si>
  <si>
    <t>Reese Witherspoon-WI</t>
  </si>
  <si>
    <t>Pam Schmitz-WI</t>
  </si>
  <si>
    <t>Mickie Joe Moore-WI</t>
  </si>
  <si>
    <t>Tom Cook-WI</t>
  </si>
  <si>
    <t>Laura Lace-wi</t>
  </si>
  <si>
    <t>Lori Tanner-WI</t>
  </si>
  <si>
    <t>Vickey Lenlong-WI</t>
  </si>
  <si>
    <t>Beverly Nichols-WI</t>
  </si>
  <si>
    <t>Robert Burns-WI</t>
  </si>
  <si>
    <t>Bruce Hobbs-WI</t>
  </si>
  <si>
    <t>Dale Romano-WI</t>
  </si>
  <si>
    <t>Scott-WI</t>
  </si>
  <si>
    <t>Carolyn Kreamer-WI</t>
  </si>
  <si>
    <t>Jim Hendershot-WI</t>
  </si>
  <si>
    <t>Harris-WI</t>
  </si>
  <si>
    <t>Geeg Ray-WI</t>
  </si>
  <si>
    <t>Craig Haley-WI</t>
  </si>
  <si>
    <t>Larry Simmons-WI</t>
  </si>
  <si>
    <t>Laura Umphenour-WI</t>
  </si>
  <si>
    <t>Wayne Harper-WI</t>
  </si>
  <si>
    <t>Matt Nagy-WI</t>
  </si>
  <si>
    <t>Stanley Kinder-WI</t>
  </si>
  <si>
    <t>David O'Bryan-WI</t>
  </si>
  <si>
    <t>Ron R. Howard-WI</t>
  </si>
  <si>
    <t>Don Benotti-WI</t>
  </si>
  <si>
    <t>Laura Myers-WI</t>
  </si>
  <si>
    <t>Amy Ray-WI</t>
  </si>
  <si>
    <t>Ron Ragan-WI</t>
  </si>
  <si>
    <t>Adra Purvis-WI</t>
  </si>
  <si>
    <t>Tom Day-WI</t>
  </si>
  <si>
    <t>Loretta Teagarden-WI</t>
  </si>
  <si>
    <t>Lisa Warner-WI</t>
  </si>
  <si>
    <t>Abbey-WI</t>
  </si>
  <si>
    <t>Wayne Burchett-WI</t>
  </si>
  <si>
    <t>Brad Stainbrook-WI</t>
  </si>
  <si>
    <t>Bardley VanMeter-WI</t>
  </si>
  <si>
    <t>Hollie Breddlove-WI</t>
  </si>
  <si>
    <t>Rick Ratty-WI</t>
  </si>
  <si>
    <t>Tobie VanMeter-WI</t>
  </si>
  <si>
    <t>Shelly Pappan-WI</t>
  </si>
  <si>
    <t>Edward Sexton-WI</t>
  </si>
  <si>
    <t>Sean Swartz-WI</t>
  </si>
  <si>
    <t>Leslie Warner-WI</t>
  </si>
  <si>
    <t>Scott Friend-WI</t>
  </si>
  <si>
    <t>Kurt Schwarz-WI</t>
  </si>
  <si>
    <t>Dewrrick Ross-WI</t>
  </si>
  <si>
    <t>Jackson Thayer-WI</t>
  </si>
  <si>
    <t>Andrew Dokos-WI</t>
  </si>
  <si>
    <t>Les Warner-WI</t>
  </si>
  <si>
    <t>Connie Gore-WI</t>
  </si>
  <si>
    <t>Mandi Michelle-WI</t>
  </si>
  <si>
    <t>Shelly Sexton-WI</t>
  </si>
  <si>
    <t>Carol Hanning-WI</t>
  </si>
  <si>
    <t>Denna Friend-WI</t>
  </si>
  <si>
    <t>Derrick Ross-WI</t>
  </si>
  <si>
    <t>Doris McElreath-WI</t>
  </si>
  <si>
    <t>Unqualified</t>
  </si>
  <si>
    <t>Mark Isenhower-WI</t>
  </si>
  <si>
    <t>Greg Christianson-WI</t>
  </si>
  <si>
    <t>Dakota (Brain) Lowe-WI</t>
  </si>
  <si>
    <t>Janelle Hartman-WI</t>
  </si>
  <si>
    <t>Won Linn County</t>
  </si>
  <si>
    <t>Won</t>
  </si>
  <si>
    <t>Won, but Unqualified</t>
  </si>
  <si>
    <t>Won, but Unqualified?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</si>
</sst>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name val="Arial"/>
      <family val="2"/>
    </font>
    <font>
      <sz val="10"/>
      <name val="Arial"/>
      <family val="2"/>
    </font>
    <font>
      <sz val="14"/>
      <name val="Arial"/>
      <family val="2"/>
    </font>
    <font>
      <i/>
      <sz val="12"/>
      <name val="Arial"/>
      <family val="2"/>
    </font>
    <font>
      <sz val="12"/>
      <name val="Arial"/>
      <family val="2"/>
    </font>
    <font>
      <sz val="10"/>
      <name val="Arial"/>
      <family val="2"/>
    </font>
    <font>
      <b/>
      <sz val="20"/>
      <name val="Arial"/>
      <family val="2"/>
    </font>
    <font>
      <sz val="14"/>
      <color theme="1"/>
      <name val="Arial"/>
      <family val="2"/>
    </font>
  </fonts>
  <fills count="3">
    <fill>
      <patternFill patternType="none"/>
    </fill>
    <fill>
      <patternFill patternType="gray125"/>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6" fillId="0" borderId="0"/>
  </cellStyleXfs>
  <cellXfs count="30">
    <xf numFmtId="0" fontId="0" fillId="0" borderId="0" xfId="0"/>
    <xf numFmtId="0" fontId="1" fillId="0" borderId="0" xfId="0" applyFont="1" applyAlignment="1">
      <alignment horizontal="center"/>
    </xf>
    <xf numFmtId="0" fontId="3" fillId="0" borderId="0" xfId="0" applyFont="1"/>
    <xf numFmtId="0" fontId="3" fillId="0" borderId="1" xfId="0" applyFont="1" applyBorder="1"/>
    <xf numFmtId="0" fontId="3" fillId="0" borderId="2" xfId="0" applyFont="1" applyBorder="1"/>
    <xf numFmtId="0" fontId="3" fillId="0" borderId="1" xfId="0" applyFont="1" applyBorder="1" applyAlignment="1">
      <alignment horizontal="center"/>
    </xf>
    <xf numFmtId="0" fontId="0" fillId="0" borderId="1" xfId="0" applyBorder="1"/>
    <xf numFmtId="0" fontId="3" fillId="0" borderId="3" xfId="0" applyFont="1" applyBorder="1" applyAlignment="1">
      <alignment vertical="top" wrapText="1"/>
    </xf>
    <xf numFmtId="0" fontId="3" fillId="0" borderId="0" xfId="0" applyFont="1" applyAlignment="1">
      <alignment vertical="top" wrapText="1"/>
    </xf>
    <xf numFmtId="0" fontId="3" fillId="0" borderId="0" xfId="0" applyFont="1" applyAlignment="1">
      <alignment vertical="center"/>
    </xf>
    <xf numFmtId="0" fontId="3" fillId="0" borderId="1" xfId="1" applyFont="1" applyBorder="1"/>
    <xf numFmtId="0" fontId="0" fillId="0" borderId="1" xfId="0" applyBorder="1" applyAlignment="1">
      <alignment wrapText="1"/>
    </xf>
    <xf numFmtId="0" fontId="4" fillId="0" borderId="1" xfId="0" applyFont="1" applyBorder="1" applyAlignment="1">
      <alignment horizontal="center" vertical="center" textRotation="90" wrapText="1"/>
    </xf>
    <xf numFmtId="0" fontId="3" fillId="2" borderId="1" xfId="0" applyFont="1" applyFill="1" applyBorder="1"/>
    <xf numFmtId="0" fontId="0" fillId="2" borderId="1" xfId="0" applyFill="1" applyBorder="1"/>
    <xf numFmtId="0" fontId="0" fillId="2" borderId="0" xfId="0" applyFill="1"/>
    <xf numFmtId="0" fontId="5" fillId="0" borderId="4" xfId="0" applyFont="1" applyBorder="1" applyAlignment="1">
      <alignment vertical="center" wrapText="1"/>
    </xf>
    <xf numFmtId="0" fontId="2" fillId="0" borderId="0" xfId="0" applyFont="1"/>
    <xf numFmtId="0" fontId="3" fillId="0" borderId="1" xfId="0" applyFont="1" applyBorder="1" applyProtection="1">
      <protection locked="0"/>
    </xf>
    <xf numFmtId="0" fontId="1" fillId="0" borderId="1" xfId="0" applyFont="1" applyBorder="1" applyAlignment="1">
      <alignment horizontal="center" textRotation="90" wrapText="1"/>
    </xf>
    <xf numFmtId="0" fontId="3" fillId="2" borderId="1" xfId="0" applyFont="1" applyFill="1" applyBorder="1" applyAlignment="1">
      <alignment horizontal="center"/>
    </xf>
    <xf numFmtId="0" fontId="8" fillId="2" borderId="0" xfId="0" applyFont="1" applyFill="1"/>
    <xf numFmtId="0" fontId="5" fillId="0" borderId="1" xfId="0" applyFont="1" applyBorder="1" applyAlignment="1">
      <alignment horizontal="center" vertical="center" wrapText="1"/>
    </xf>
    <xf numFmtId="0" fontId="3" fillId="0" borderId="5" xfId="0" applyFont="1" applyBorder="1" applyAlignment="1">
      <alignment horizontal="left" vertical="top" wrapText="1"/>
    </xf>
    <xf numFmtId="0" fontId="3" fillId="0" borderId="3"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7" fillId="0" borderId="0" xfId="0" applyFont="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FFCCFF"/>
      <color rgb="FFFF66CC"/>
      <color rgb="FFFF99FF"/>
      <color rgb="FF66FF66"/>
      <color rgb="FF9966FF"/>
      <color rgb="FFFFFFCC"/>
      <color rgb="FF99FF33"/>
      <color rgb="FF9999FF"/>
      <color rgb="FFFFFF66"/>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Y310"/>
  <sheetViews>
    <sheetView tabSelected="1" view="pageBreakPreview" topLeftCell="S143" zoomScale="85" zoomScaleNormal="55" zoomScaleSheetLayoutView="85" workbookViewId="0">
      <selection activeCell="S153" sqref="S153"/>
    </sheetView>
  </sheetViews>
  <sheetFormatPr defaultRowHeight="15" x14ac:dyDescent="0.25"/>
  <cols>
    <col min="1" max="2" width="4" customWidth="1"/>
    <col min="3" max="3" width="47" bestFit="1" customWidth="1"/>
    <col min="4" max="4" width="38.42578125" customWidth="1"/>
    <col min="5" max="5" width="7.7109375" customWidth="1"/>
    <col min="6" max="6" width="4.42578125" customWidth="1"/>
    <col min="7" max="7" width="6.28515625" customWidth="1"/>
    <col min="8" max="8" width="4.42578125" customWidth="1"/>
    <col min="9" max="9" width="7.7109375" customWidth="1"/>
    <col min="10" max="10" width="4.42578125" customWidth="1"/>
    <col min="11" max="11" width="5.7109375" customWidth="1"/>
    <col min="12" max="12" width="4.42578125" customWidth="1"/>
    <col min="13" max="13" width="7.7109375" customWidth="1"/>
    <col min="14" max="14" width="6" customWidth="1"/>
    <col min="15" max="15" width="4.42578125" customWidth="1"/>
    <col min="16" max="16" width="5.140625" customWidth="1"/>
    <col min="17" max="17" width="4.42578125" customWidth="1"/>
    <col min="18" max="18" width="7.7109375" customWidth="1"/>
    <col min="19" max="19" width="4.42578125" customWidth="1"/>
    <col min="20" max="20" width="6.140625" hidden="1" customWidth="1"/>
    <col min="21" max="21" width="4.42578125" hidden="1" customWidth="1"/>
    <col min="22" max="22" width="6.85546875" customWidth="1"/>
    <col min="23" max="23" width="4.42578125" customWidth="1"/>
    <col min="24" max="24" width="7.7109375" customWidth="1"/>
    <col min="25" max="25" width="5.42578125" customWidth="1"/>
    <col min="26" max="26" width="6.85546875" hidden="1" customWidth="1"/>
    <col min="27" max="28" width="5.7109375" customWidth="1"/>
    <col min="29" max="29" width="4.42578125" customWidth="1"/>
    <col min="30" max="30" width="9.85546875" customWidth="1"/>
    <col min="31" max="31" width="5.42578125" customWidth="1"/>
    <col min="32" max="32" width="6.140625" hidden="1" customWidth="1"/>
    <col min="33" max="33" width="6" customWidth="1"/>
    <col min="34" max="34" width="6.85546875" customWidth="1"/>
    <col min="35" max="35" width="4.42578125" customWidth="1"/>
    <col min="36" max="36" width="7.7109375" customWidth="1"/>
    <col min="37" max="37" width="6" bestFit="1" customWidth="1"/>
    <col min="38" max="38" width="6.85546875" hidden="1" customWidth="1"/>
    <col min="39" max="39" width="5.7109375" customWidth="1"/>
    <col min="40" max="40" width="4.42578125" customWidth="1"/>
    <col min="41" max="41" width="7.7109375" customWidth="1"/>
    <col min="42" max="42" width="5.5703125" customWidth="1"/>
    <col min="43" max="43" width="4.42578125" customWidth="1"/>
    <col min="44" max="44" width="5.42578125" customWidth="1"/>
    <col min="45" max="45" width="5.5703125" customWidth="1"/>
    <col min="46" max="46" width="7.7109375" customWidth="1"/>
    <col min="47" max="47" width="5.5703125" customWidth="1"/>
    <col min="48" max="48" width="4.42578125" hidden="1" customWidth="1"/>
    <col min="49" max="49" width="6" customWidth="1"/>
    <col min="50" max="50" width="5.5703125" customWidth="1"/>
    <col min="51" max="51" width="7.7109375" customWidth="1"/>
    <col min="52" max="52" width="5.5703125" customWidth="1"/>
    <col min="53" max="53" width="7.28515625" hidden="1" customWidth="1"/>
    <col min="54" max="54" width="6.42578125" customWidth="1"/>
    <col min="55" max="55" width="7" customWidth="1"/>
    <col min="56" max="56" width="5.5703125" customWidth="1"/>
    <col min="57" max="57" width="7.7109375" customWidth="1"/>
    <col min="58" max="58" width="5.5703125" customWidth="1"/>
    <col min="59" max="59" width="6.28515625" hidden="1" customWidth="1"/>
    <col min="60" max="60" width="4.42578125" customWidth="1"/>
    <col min="61" max="61" width="6" customWidth="1"/>
    <col min="62" max="62" width="5.5703125" customWidth="1"/>
    <col min="63" max="63" width="7.7109375" customWidth="1"/>
    <col min="64" max="64" width="5.5703125" customWidth="1"/>
    <col min="65" max="65" width="7" hidden="1" customWidth="1"/>
    <col min="66" max="66" width="4.42578125" hidden="1" customWidth="1"/>
    <col min="67" max="67" width="5.5703125" customWidth="1"/>
    <col min="68" max="68" width="7.7109375" customWidth="1"/>
    <col min="69" max="69" width="5.5703125" customWidth="1"/>
    <col min="70" max="70" width="4.42578125" hidden="1" customWidth="1"/>
    <col min="71" max="71" width="5.5703125" customWidth="1"/>
    <col min="72" max="72" width="7.7109375" style="17" customWidth="1"/>
    <col min="73" max="73" width="5.5703125" style="17" customWidth="1"/>
    <col min="74" max="74" width="4.42578125" hidden="1" customWidth="1"/>
    <col min="75" max="75" width="5.5703125" customWidth="1"/>
    <col min="76" max="76" width="9.7109375" customWidth="1"/>
    <col min="77" max="77" width="27.85546875" customWidth="1"/>
    <col min="78" max="88" width="7.7109375" customWidth="1"/>
    <col min="272" max="273" width="4" customWidth="1"/>
    <col min="274" max="274" width="47" bestFit="1" customWidth="1"/>
    <col min="275" max="275" width="38.42578125" customWidth="1"/>
    <col min="276" max="276" width="7.7109375" customWidth="1"/>
    <col min="277" max="277" width="4.42578125" bestFit="1" customWidth="1"/>
    <col min="278" max="278" width="4.42578125" customWidth="1"/>
    <col min="279" max="279" width="4.42578125" bestFit="1" customWidth="1"/>
    <col min="280" max="280" width="7.7109375" customWidth="1"/>
    <col min="281" max="281" width="4.42578125" bestFit="1" customWidth="1"/>
    <col min="282" max="282" width="4.42578125" customWidth="1"/>
    <col min="283" max="283" width="4.42578125" bestFit="1" customWidth="1"/>
    <col min="284" max="284" width="7.7109375" customWidth="1"/>
    <col min="285" max="285" width="4.42578125" bestFit="1" customWidth="1"/>
    <col min="286" max="286" width="4.42578125" customWidth="1"/>
    <col min="287" max="287" width="4.42578125" bestFit="1" customWidth="1"/>
    <col min="288" max="288" width="7.7109375" customWidth="1"/>
    <col min="289" max="289" width="4.42578125" bestFit="1" customWidth="1"/>
    <col min="290" max="290" width="4.42578125" customWidth="1"/>
    <col min="291" max="291" width="4.42578125" bestFit="1" customWidth="1"/>
    <col min="292" max="292" width="7.7109375" customWidth="1"/>
    <col min="293" max="293" width="4.42578125" bestFit="1" customWidth="1"/>
    <col min="294" max="294" width="4.42578125" customWidth="1"/>
    <col min="295" max="295" width="4.42578125" bestFit="1" customWidth="1"/>
    <col min="296" max="296" width="9.85546875" customWidth="1"/>
    <col min="297" max="297" width="4.42578125" bestFit="1" customWidth="1"/>
    <col min="298" max="298" width="4.42578125" customWidth="1"/>
    <col min="299" max="299" width="4.42578125" bestFit="1" customWidth="1"/>
    <col min="300" max="300" width="7.7109375" customWidth="1"/>
    <col min="301" max="301" width="4.42578125" bestFit="1" customWidth="1"/>
    <col min="302" max="302" width="4.42578125" customWidth="1"/>
    <col min="303" max="303" width="4.42578125" bestFit="1" customWidth="1"/>
    <col min="304" max="304" width="7.7109375" customWidth="1"/>
    <col min="305" max="305" width="5.5703125" customWidth="1"/>
    <col min="306" max="306" width="4.42578125" customWidth="1"/>
    <col min="307" max="307" width="5.5703125" customWidth="1"/>
    <col min="308" max="308" width="7.7109375" customWidth="1"/>
    <col min="309" max="309" width="5.5703125" customWidth="1"/>
    <col min="310" max="310" width="4.42578125" customWidth="1"/>
    <col min="311" max="311" width="5.5703125" customWidth="1"/>
    <col min="312" max="312" width="7.7109375" customWidth="1"/>
    <col min="313" max="313" width="5.5703125" customWidth="1"/>
    <col min="314" max="314" width="4.42578125" customWidth="1"/>
    <col min="315" max="315" width="5.5703125" customWidth="1"/>
    <col min="316" max="316" width="7.7109375" customWidth="1"/>
    <col min="317" max="317" width="5.5703125" customWidth="1"/>
    <col min="318" max="318" width="4.42578125" customWidth="1"/>
    <col min="319" max="319" width="5.5703125" customWidth="1"/>
    <col min="320" max="320" width="7.7109375" customWidth="1"/>
    <col min="321" max="321" width="5.5703125" customWidth="1"/>
    <col min="322" max="322" width="4.42578125" customWidth="1"/>
    <col min="323" max="323" width="5.5703125" customWidth="1"/>
    <col min="324" max="324" width="7.7109375" customWidth="1"/>
    <col min="325" max="325" width="5.5703125" customWidth="1"/>
    <col min="326" max="326" width="4.42578125" customWidth="1"/>
    <col min="327" max="327" width="5.5703125" customWidth="1"/>
    <col min="328" max="328" width="7.7109375" customWidth="1"/>
    <col min="329" max="329" width="5.5703125" customWidth="1"/>
    <col min="330" max="330" width="4.42578125" customWidth="1"/>
    <col min="331" max="331" width="5.5703125" customWidth="1"/>
    <col min="332" max="332" width="9.7109375" customWidth="1"/>
    <col min="333" max="333" width="27.85546875" customWidth="1"/>
    <col min="334" max="344" width="7.7109375" customWidth="1"/>
    <col min="528" max="529" width="4" customWidth="1"/>
    <col min="530" max="530" width="47" bestFit="1" customWidth="1"/>
    <col min="531" max="531" width="38.42578125" customWidth="1"/>
    <col min="532" max="532" width="7.7109375" customWidth="1"/>
    <col min="533" max="533" width="4.42578125" bestFit="1" customWidth="1"/>
    <col min="534" max="534" width="4.42578125" customWidth="1"/>
    <col min="535" max="535" width="4.42578125" bestFit="1" customWidth="1"/>
    <col min="536" max="536" width="7.7109375" customWidth="1"/>
    <col min="537" max="537" width="4.42578125" bestFit="1" customWidth="1"/>
    <col min="538" max="538" width="4.42578125" customWidth="1"/>
    <col min="539" max="539" width="4.42578125" bestFit="1" customWidth="1"/>
    <col min="540" max="540" width="7.7109375" customWidth="1"/>
    <col min="541" max="541" width="4.42578125" bestFit="1" customWidth="1"/>
    <col min="542" max="542" width="4.42578125" customWidth="1"/>
    <col min="543" max="543" width="4.42578125" bestFit="1" customWidth="1"/>
    <col min="544" max="544" width="7.7109375" customWidth="1"/>
    <col min="545" max="545" width="4.42578125" bestFit="1" customWidth="1"/>
    <col min="546" max="546" width="4.42578125" customWidth="1"/>
    <col min="547" max="547" width="4.42578125" bestFit="1" customWidth="1"/>
    <col min="548" max="548" width="7.7109375" customWidth="1"/>
    <col min="549" max="549" width="4.42578125" bestFit="1" customWidth="1"/>
    <col min="550" max="550" width="4.42578125" customWidth="1"/>
    <col min="551" max="551" width="4.42578125" bestFit="1" customWidth="1"/>
    <col min="552" max="552" width="9.85546875" customWidth="1"/>
    <col min="553" max="553" width="4.42578125" bestFit="1" customWidth="1"/>
    <col min="554" max="554" width="4.42578125" customWidth="1"/>
    <col min="555" max="555" width="4.42578125" bestFit="1" customWidth="1"/>
    <col min="556" max="556" width="7.7109375" customWidth="1"/>
    <col min="557" max="557" width="4.42578125" bestFit="1" customWidth="1"/>
    <col min="558" max="558" width="4.42578125" customWidth="1"/>
    <col min="559" max="559" width="4.42578125" bestFit="1" customWidth="1"/>
    <col min="560" max="560" width="7.7109375" customWidth="1"/>
    <col min="561" max="561" width="5.5703125" customWidth="1"/>
    <col min="562" max="562" width="4.42578125" customWidth="1"/>
    <col min="563" max="563" width="5.5703125" customWidth="1"/>
    <col min="564" max="564" width="7.7109375" customWidth="1"/>
    <col min="565" max="565" width="5.5703125" customWidth="1"/>
    <col min="566" max="566" width="4.42578125" customWidth="1"/>
    <col min="567" max="567" width="5.5703125" customWidth="1"/>
    <col min="568" max="568" width="7.7109375" customWidth="1"/>
    <col min="569" max="569" width="5.5703125" customWidth="1"/>
    <col min="570" max="570" width="4.42578125" customWidth="1"/>
    <col min="571" max="571" width="5.5703125" customWidth="1"/>
    <col min="572" max="572" width="7.7109375" customWidth="1"/>
    <col min="573" max="573" width="5.5703125" customWidth="1"/>
    <col min="574" max="574" width="4.42578125" customWidth="1"/>
    <col min="575" max="575" width="5.5703125" customWidth="1"/>
    <col min="576" max="576" width="7.7109375" customWidth="1"/>
    <col min="577" max="577" width="5.5703125" customWidth="1"/>
    <col min="578" max="578" width="4.42578125" customWidth="1"/>
    <col min="579" max="579" width="5.5703125" customWidth="1"/>
    <col min="580" max="580" width="7.7109375" customWidth="1"/>
    <col min="581" max="581" width="5.5703125" customWidth="1"/>
    <col min="582" max="582" width="4.42578125" customWidth="1"/>
    <col min="583" max="583" width="5.5703125" customWidth="1"/>
    <col min="584" max="584" width="7.7109375" customWidth="1"/>
    <col min="585" max="585" width="5.5703125" customWidth="1"/>
    <col min="586" max="586" width="4.42578125" customWidth="1"/>
    <col min="587" max="587" width="5.5703125" customWidth="1"/>
    <col min="588" max="588" width="9.7109375" customWidth="1"/>
    <col min="589" max="589" width="27.85546875" customWidth="1"/>
    <col min="590" max="600" width="7.7109375" customWidth="1"/>
    <col min="784" max="785" width="4" customWidth="1"/>
    <col min="786" max="786" width="47" bestFit="1" customWidth="1"/>
    <col min="787" max="787" width="38.42578125" customWidth="1"/>
    <col min="788" max="788" width="7.7109375" customWidth="1"/>
    <col min="789" max="789" width="4.42578125" bestFit="1" customWidth="1"/>
    <col min="790" max="790" width="4.42578125" customWidth="1"/>
    <col min="791" max="791" width="4.42578125" bestFit="1" customWidth="1"/>
    <col min="792" max="792" width="7.7109375" customWidth="1"/>
    <col min="793" max="793" width="4.42578125" bestFit="1" customWidth="1"/>
    <col min="794" max="794" width="4.42578125" customWidth="1"/>
    <col min="795" max="795" width="4.42578125" bestFit="1" customWidth="1"/>
    <col min="796" max="796" width="7.7109375" customWidth="1"/>
    <col min="797" max="797" width="4.42578125" bestFit="1" customWidth="1"/>
    <col min="798" max="798" width="4.42578125" customWidth="1"/>
    <col min="799" max="799" width="4.42578125" bestFit="1" customWidth="1"/>
    <col min="800" max="800" width="7.7109375" customWidth="1"/>
    <col min="801" max="801" width="4.42578125" bestFit="1" customWidth="1"/>
    <col min="802" max="802" width="4.42578125" customWidth="1"/>
    <col min="803" max="803" width="4.42578125" bestFit="1" customWidth="1"/>
    <col min="804" max="804" width="7.7109375" customWidth="1"/>
    <col min="805" max="805" width="4.42578125" bestFit="1" customWidth="1"/>
    <col min="806" max="806" width="4.42578125" customWidth="1"/>
    <col min="807" max="807" width="4.42578125" bestFit="1" customWidth="1"/>
    <col min="808" max="808" width="9.85546875" customWidth="1"/>
    <col min="809" max="809" width="4.42578125" bestFit="1" customWidth="1"/>
    <col min="810" max="810" width="4.42578125" customWidth="1"/>
    <col min="811" max="811" width="4.42578125" bestFit="1" customWidth="1"/>
    <col min="812" max="812" width="7.7109375" customWidth="1"/>
    <col min="813" max="813" width="4.42578125" bestFit="1" customWidth="1"/>
    <col min="814" max="814" width="4.42578125" customWidth="1"/>
    <col min="815" max="815" width="4.42578125" bestFit="1" customWidth="1"/>
    <col min="816" max="816" width="7.7109375" customWidth="1"/>
    <col min="817" max="817" width="5.5703125" customWidth="1"/>
    <col min="818" max="818" width="4.42578125" customWidth="1"/>
    <col min="819" max="819" width="5.5703125" customWidth="1"/>
    <col min="820" max="820" width="7.7109375" customWidth="1"/>
    <col min="821" max="821" width="5.5703125" customWidth="1"/>
    <col min="822" max="822" width="4.42578125" customWidth="1"/>
    <col min="823" max="823" width="5.5703125" customWidth="1"/>
    <col min="824" max="824" width="7.7109375" customWidth="1"/>
    <col min="825" max="825" width="5.5703125" customWidth="1"/>
    <col min="826" max="826" width="4.42578125" customWidth="1"/>
    <col min="827" max="827" width="5.5703125" customWidth="1"/>
    <col min="828" max="828" width="7.7109375" customWidth="1"/>
    <col min="829" max="829" width="5.5703125" customWidth="1"/>
    <col min="830" max="830" width="4.42578125" customWidth="1"/>
    <col min="831" max="831" width="5.5703125" customWidth="1"/>
    <col min="832" max="832" width="7.7109375" customWidth="1"/>
    <col min="833" max="833" width="5.5703125" customWidth="1"/>
    <col min="834" max="834" width="4.42578125" customWidth="1"/>
    <col min="835" max="835" width="5.5703125" customWidth="1"/>
    <col min="836" max="836" width="7.7109375" customWidth="1"/>
    <col min="837" max="837" width="5.5703125" customWidth="1"/>
    <col min="838" max="838" width="4.42578125" customWidth="1"/>
    <col min="839" max="839" width="5.5703125" customWidth="1"/>
    <col min="840" max="840" width="7.7109375" customWidth="1"/>
    <col min="841" max="841" width="5.5703125" customWidth="1"/>
    <col min="842" max="842" width="4.42578125" customWidth="1"/>
    <col min="843" max="843" width="5.5703125" customWidth="1"/>
    <col min="844" max="844" width="9.7109375" customWidth="1"/>
    <col min="845" max="845" width="27.85546875" customWidth="1"/>
    <col min="846" max="856" width="7.7109375" customWidth="1"/>
    <col min="1040" max="1041" width="4" customWidth="1"/>
    <col min="1042" max="1042" width="47" bestFit="1" customWidth="1"/>
    <col min="1043" max="1043" width="38.42578125" customWidth="1"/>
    <col min="1044" max="1044" width="7.7109375" customWidth="1"/>
    <col min="1045" max="1045" width="4.42578125" bestFit="1" customWidth="1"/>
    <col min="1046" max="1046" width="4.42578125" customWidth="1"/>
    <col min="1047" max="1047" width="4.42578125" bestFit="1" customWidth="1"/>
    <col min="1048" max="1048" width="7.7109375" customWidth="1"/>
    <col min="1049" max="1049" width="4.42578125" bestFit="1" customWidth="1"/>
    <col min="1050" max="1050" width="4.42578125" customWidth="1"/>
    <col min="1051" max="1051" width="4.42578125" bestFit="1" customWidth="1"/>
    <col min="1052" max="1052" width="7.7109375" customWidth="1"/>
    <col min="1053" max="1053" width="4.42578125" bestFit="1" customWidth="1"/>
    <col min="1054" max="1054" width="4.42578125" customWidth="1"/>
    <col min="1055" max="1055" width="4.42578125" bestFit="1" customWidth="1"/>
    <col min="1056" max="1056" width="7.7109375" customWidth="1"/>
    <col min="1057" max="1057" width="4.42578125" bestFit="1" customWidth="1"/>
    <col min="1058" max="1058" width="4.42578125" customWidth="1"/>
    <col min="1059" max="1059" width="4.42578125" bestFit="1" customWidth="1"/>
    <col min="1060" max="1060" width="7.7109375" customWidth="1"/>
    <col min="1061" max="1061" width="4.42578125" bestFit="1" customWidth="1"/>
    <col min="1062" max="1062" width="4.42578125" customWidth="1"/>
    <col min="1063" max="1063" width="4.42578125" bestFit="1" customWidth="1"/>
    <col min="1064" max="1064" width="9.85546875" customWidth="1"/>
    <col min="1065" max="1065" width="4.42578125" bestFit="1" customWidth="1"/>
    <col min="1066" max="1066" width="4.42578125" customWidth="1"/>
    <col min="1067" max="1067" width="4.42578125" bestFit="1" customWidth="1"/>
    <col min="1068" max="1068" width="7.7109375" customWidth="1"/>
    <col min="1069" max="1069" width="4.42578125" bestFit="1" customWidth="1"/>
    <col min="1070" max="1070" width="4.42578125" customWidth="1"/>
    <col min="1071" max="1071" width="4.42578125" bestFit="1" customWidth="1"/>
    <col min="1072" max="1072" width="7.7109375" customWidth="1"/>
    <col min="1073" max="1073" width="5.5703125" customWidth="1"/>
    <col min="1074" max="1074" width="4.42578125" customWidth="1"/>
    <col min="1075" max="1075" width="5.5703125" customWidth="1"/>
    <col min="1076" max="1076" width="7.7109375" customWidth="1"/>
    <col min="1077" max="1077" width="5.5703125" customWidth="1"/>
    <col min="1078" max="1078" width="4.42578125" customWidth="1"/>
    <col min="1079" max="1079" width="5.5703125" customWidth="1"/>
    <col min="1080" max="1080" width="7.7109375" customWidth="1"/>
    <col min="1081" max="1081" width="5.5703125" customWidth="1"/>
    <col min="1082" max="1082" width="4.42578125" customWidth="1"/>
    <col min="1083" max="1083" width="5.5703125" customWidth="1"/>
    <col min="1084" max="1084" width="7.7109375" customWidth="1"/>
    <col min="1085" max="1085" width="5.5703125" customWidth="1"/>
    <col min="1086" max="1086" width="4.42578125" customWidth="1"/>
    <col min="1087" max="1087" width="5.5703125" customWidth="1"/>
    <col min="1088" max="1088" width="7.7109375" customWidth="1"/>
    <col min="1089" max="1089" width="5.5703125" customWidth="1"/>
    <col min="1090" max="1090" width="4.42578125" customWidth="1"/>
    <col min="1091" max="1091" width="5.5703125" customWidth="1"/>
    <col min="1092" max="1092" width="7.7109375" customWidth="1"/>
    <col min="1093" max="1093" width="5.5703125" customWidth="1"/>
    <col min="1094" max="1094" width="4.42578125" customWidth="1"/>
    <col min="1095" max="1095" width="5.5703125" customWidth="1"/>
    <col min="1096" max="1096" width="7.7109375" customWidth="1"/>
    <col min="1097" max="1097" width="5.5703125" customWidth="1"/>
    <col min="1098" max="1098" width="4.42578125" customWidth="1"/>
    <col min="1099" max="1099" width="5.5703125" customWidth="1"/>
    <col min="1100" max="1100" width="9.7109375" customWidth="1"/>
    <col min="1101" max="1101" width="27.85546875" customWidth="1"/>
    <col min="1102" max="1112" width="7.7109375" customWidth="1"/>
    <col min="1296" max="1297" width="4" customWidth="1"/>
    <col min="1298" max="1298" width="47" bestFit="1" customWidth="1"/>
    <col min="1299" max="1299" width="38.42578125" customWidth="1"/>
    <col min="1300" max="1300" width="7.7109375" customWidth="1"/>
    <col min="1301" max="1301" width="4.42578125" bestFit="1" customWidth="1"/>
    <col min="1302" max="1302" width="4.42578125" customWidth="1"/>
    <col min="1303" max="1303" width="4.42578125" bestFit="1" customWidth="1"/>
    <col min="1304" max="1304" width="7.7109375" customWidth="1"/>
    <col min="1305" max="1305" width="4.42578125" bestFit="1" customWidth="1"/>
    <col min="1306" max="1306" width="4.42578125" customWidth="1"/>
    <col min="1307" max="1307" width="4.42578125" bestFit="1" customWidth="1"/>
    <col min="1308" max="1308" width="7.7109375" customWidth="1"/>
    <col min="1309" max="1309" width="4.42578125" bestFit="1" customWidth="1"/>
    <col min="1310" max="1310" width="4.42578125" customWidth="1"/>
    <col min="1311" max="1311" width="4.42578125" bestFit="1" customWidth="1"/>
    <col min="1312" max="1312" width="7.7109375" customWidth="1"/>
    <col min="1313" max="1313" width="4.42578125" bestFit="1" customWidth="1"/>
    <col min="1314" max="1314" width="4.42578125" customWidth="1"/>
    <col min="1315" max="1315" width="4.42578125" bestFit="1" customWidth="1"/>
    <col min="1316" max="1316" width="7.7109375" customWidth="1"/>
    <col min="1317" max="1317" width="4.42578125" bestFit="1" customWidth="1"/>
    <col min="1318" max="1318" width="4.42578125" customWidth="1"/>
    <col min="1319" max="1319" width="4.42578125" bestFit="1" customWidth="1"/>
    <col min="1320" max="1320" width="9.85546875" customWidth="1"/>
    <col min="1321" max="1321" width="4.42578125" bestFit="1" customWidth="1"/>
    <col min="1322" max="1322" width="4.42578125" customWidth="1"/>
    <col min="1323" max="1323" width="4.42578125" bestFit="1" customWidth="1"/>
    <col min="1324" max="1324" width="7.7109375" customWidth="1"/>
    <col min="1325" max="1325" width="4.42578125" bestFit="1" customWidth="1"/>
    <col min="1326" max="1326" width="4.42578125" customWidth="1"/>
    <col min="1327" max="1327" width="4.42578125" bestFit="1" customWidth="1"/>
    <col min="1328" max="1328" width="7.7109375" customWidth="1"/>
    <col min="1329" max="1329" width="5.5703125" customWidth="1"/>
    <col min="1330" max="1330" width="4.42578125" customWidth="1"/>
    <col min="1331" max="1331" width="5.5703125" customWidth="1"/>
    <col min="1332" max="1332" width="7.7109375" customWidth="1"/>
    <col min="1333" max="1333" width="5.5703125" customWidth="1"/>
    <col min="1334" max="1334" width="4.42578125" customWidth="1"/>
    <col min="1335" max="1335" width="5.5703125" customWidth="1"/>
    <col min="1336" max="1336" width="7.7109375" customWidth="1"/>
    <col min="1337" max="1337" width="5.5703125" customWidth="1"/>
    <col min="1338" max="1338" width="4.42578125" customWidth="1"/>
    <col min="1339" max="1339" width="5.5703125" customWidth="1"/>
    <col min="1340" max="1340" width="7.7109375" customWidth="1"/>
    <col min="1341" max="1341" width="5.5703125" customWidth="1"/>
    <col min="1342" max="1342" width="4.42578125" customWidth="1"/>
    <col min="1343" max="1343" width="5.5703125" customWidth="1"/>
    <col min="1344" max="1344" width="7.7109375" customWidth="1"/>
    <col min="1345" max="1345" width="5.5703125" customWidth="1"/>
    <col min="1346" max="1346" width="4.42578125" customWidth="1"/>
    <col min="1347" max="1347" width="5.5703125" customWidth="1"/>
    <col min="1348" max="1348" width="7.7109375" customWidth="1"/>
    <col min="1349" max="1349" width="5.5703125" customWidth="1"/>
    <col min="1350" max="1350" width="4.42578125" customWidth="1"/>
    <col min="1351" max="1351" width="5.5703125" customWidth="1"/>
    <col min="1352" max="1352" width="7.7109375" customWidth="1"/>
    <col min="1353" max="1353" width="5.5703125" customWidth="1"/>
    <col min="1354" max="1354" width="4.42578125" customWidth="1"/>
    <col min="1355" max="1355" width="5.5703125" customWidth="1"/>
    <col min="1356" max="1356" width="9.7109375" customWidth="1"/>
    <col min="1357" max="1357" width="27.85546875" customWidth="1"/>
    <col min="1358" max="1368" width="7.7109375" customWidth="1"/>
    <col min="1552" max="1553" width="4" customWidth="1"/>
    <col min="1554" max="1554" width="47" bestFit="1" customWidth="1"/>
    <col min="1555" max="1555" width="38.42578125" customWidth="1"/>
    <col min="1556" max="1556" width="7.7109375" customWidth="1"/>
    <col min="1557" max="1557" width="4.42578125" bestFit="1" customWidth="1"/>
    <col min="1558" max="1558" width="4.42578125" customWidth="1"/>
    <col min="1559" max="1559" width="4.42578125" bestFit="1" customWidth="1"/>
    <col min="1560" max="1560" width="7.7109375" customWidth="1"/>
    <col min="1561" max="1561" width="4.42578125" bestFit="1" customWidth="1"/>
    <col min="1562" max="1562" width="4.42578125" customWidth="1"/>
    <col min="1563" max="1563" width="4.42578125" bestFit="1" customWidth="1"/>
    <col min="1564" max="1564" width="7.7109375" customWidth="1"/>
    <col min="1565" max="1565" width="4.42578125" bestFit="1" customWidth="1"/>
    <col min="1566" max="1566" width="4.42578125" customWidth="1"/>
    <col min="1567" max="1567" width="4.42578125" bestFit="1" customWidth="1"/>
    <col min="1568" max="1568" width="7.7109375" customWidth="1"/>
    <col min="1569" max="1569" width="4.42578125" bestFit="1" customWidth="1"/>
    <col min="1570" max="1570" width="4.42578125" customWidth="1"/>
    <col min="1571" max="1571" width="4.42578125" bestFit="1" customWidth="1"/>
    <col min="1572" max="1572" width="7.7109375" customWidth="1"/>
    <col min="1573" max="1573" width="4.42578125" bestFit="1" customWidth="1"/>
    <col min="1574" max="1574" width="4.42578125" customWidth="1"/>
    <col min="1575" max="1575" width="4.42578125" bestFit="1" customWidth="1"/>
    <col min="1576" max="1576" width="9.85546875" customWidth="1"/>
    <col min="1577" max="1577" width="4.42578125" bestFit="1" customWidth="1"/>
    <col min="1578" max="1578" width="4.42578125" customWidth="1"/>
    <col min="1579" max="1579" width="4.42578125" bestFit="1" customWidth="1"/>
    <col min="1580" max="1580" width="7.7109375" customWidth="1"/>
    <col min="1581" max="1581" width="4.42578125" bestFit="1" customWidth="1"/>
    <col min="1582" max="1582" width="4.42578125" customWidth="1"/>
    <col min="1583" max="1583" width="4.42578125" bestFit="1" customWidth="1"/>
    <col min="1584" max="1584" width="7.7109375" customWidth="1"/>
    <col min="1585" max="1585" width="5.5703125" customWidth="1"/>
    <col min="1586" max="1586" width="4.42578125" customWidth="1"/>
    <col min="1587" max="1587" width="5.5703125" customWidth="1"/>
    <col min="1588" max="1588" width="7.7109375" customWidth="1"/>
    <col min="1589" max="1589" width="5.5703125" customWidth="1"/>
    <col min="1590" max="1590" width="4.42578125" customWidth="1"/>
    <col min="1591" max="1591" width="5.5703125" customWidth="1"/>
    <col min="1592" max="1592" width="7.7109375" customWidth="1"/>
    <col min="1593" max="1593" width="5.5703125" customWidth="1"/>
    <col min="1594" max="1594" width="4.42578125" customWidth="1"/>
    <col min="1595" max="1595" width="5.5703125" customWidth="1"/>
    <col min="1596" max="1596" width="7.7109375" customWidth="1"/>
    <col min="1597" max="1597" width="5.5703125" customWidth="1"/>
    <col min="1598" max="1598" width="4.42578125" customWidth="1"/>
    <col min="1599" max="1599" width="5.5703125" customWidth="1"/>
    <col min="1600" max="1600" width="7.7109375" customWidth="1"/>
    <col min="1601" max="1601" width="5.5703125" customWidth="1"/>
    <col min="1602" max="1602" width="4.42578125" customWidth="1"/>
    <col min="1603" max="1603" width="5.5703125" customWidth="1"/>
    <col min="1604" max="1604" width="7.7109375" customWidth="1"/>
    <col min="1605" max="1605" width="5.5703125" customWidth="1"/>
    <col min="1606" max="1606" width="4.42578125" customWidth="1"/>
    <col min="1607" max="1607" width="5.5703125" customWidth="1"/>
    <col min="1608" max="1608" width="7.7109375" customWidth="1"/>
    <col min="1609" max="1609" width="5.5703125" customWidth="1"/>
    <col min="1610" max="1610" width="4.42578125" customWidth="1"/>
    <col min="1611" max="1611" width="5.5703125" customWidth="1"/>
    <col min="1612" max="1612" width="9.7109375" customWidth="1"/>
    <col min="1613" max="1613" width="27.85546875" customWidth="1"/>
    <col min="1614" max="1624" width="7.7109375" customWidth="1"/>
    <col min="1808" max="1809" width="4" customWidth="1"/>
    <col min="1810" max="1810" width="47" bestFit="1" customWidth="1"/>
    <col min="1811" max="1811" width="38.42578125" customWidth="1"/>
    <col min="1812" max="1812" width="7.7109375" customWidth="1"/>
    <col min="1813" max="1813" width="4.42578125" bestFit="1" customWidth="1"/>
    <col min="1814" max="1814" width="4.42578125" customWidth="1"/>
    <col min="1815" max="1815" width="4.42578125" bestFit="1" customWidth="1"/>
    <col min="1816" max="1816" width="7.7109375" customWidth="1"/>
    <col min="1817" max="1817" width="4.42578125" bestFit="1" customWidth="1"/>
    <col min="1818" max="1818" width="4.42578125" customWidth="1"/>
    <col min="1819" max="1819" width="4.42578125" bestFit="1" customWidth="1"/>
    <col min="1820" max="1820" width="7.7109375" customWidth="1"/>
    <col min="1821" max="1821" width="4.42578125" bestFit="1" customWidth="1"/>
    <col min="1822" max="1822" width="4.42578125" customWidth="1"/>
    <col min="1823" max="1823" width="4.42578125" bestFit="1" customWidth="1"/>
    <col min="1824" max="1824" width="7.7109375" customWidth="1"/>
    <col min="1825" max="1825" width="4.42578125" bestFit="1" customWidth="1"/>
    <col min="1826" max="1826" width="4.42578125" customWidth="1"/>
    <col min="1827" max="1827" width="4.42578125" bestFit="1" customWidth="1"/>
    <col min="1828" max="1828" width="7.7109375" customWidth="1"/>
    <col min="1829" max="1829" width="4.42578125" bestFit="1" customWidth="1"/>
    <col min="1830" max="1830" width="4.42578125" customWidth="1"/>
    <col min="1831" max="1831" width="4.42578125" bestFit="1" customWidth="1"/>
    <col min="1832" max="1832" width="9.85546875" customWidth="1"/>
    <col min="1833" max="1833" width="4.42578125" bestFit="1" customWidth="1"/>
    <col min="1834" max="1834" width="4.42578125" customWidth="1"/>
    <col min="1835" max="1835" width="4.42578125" bestFit="1" customWidth="1"/>
    <col min="1836" max="1836" width="7.7109375" customWidth="1"/>
    <col min="1837" max="1837" width="4.42578125" bestFit="1" customWidth="1"/>
    <col min="1838" max="1838" width="4.42578125" customWidth="1"/>
    <col min="1839" max="1839" width="4.42578125" bestFit="1" customWidth="1"/>
    <col min="1840" max="1840" width="7.7109375" customWidth="1"/>
    <col min="1841" max="1841" width="5.5703125" customWidth="1"/>
    <col min="1842" max="1842" width="4.42578125" customWidth="1"/>
    <col min="1843" max="1843" width="5.5703125" customWidth="1"/>
    <col min="1844" max="1844" width="7.7109375" customWidth="1"/>
    <col min="1845" max="1845" width="5.5703125" customWidth="1"/>
    <col min="1846" max="1846" width="4.42578125" customWidth="1"/>
    <col min="1847" max="1847" width="5.5703125" customWidth="1"/>
    <col min="1848" max="1848" width="7.7109375" customWidth="1"/>
    <col min="1849" max="1849" width="5.5703125" customWidth="1"/>
    <col min="1850" max="1850" width="4.42578125" customWidth="1"/>
    <col min="1851" max="1851" width="5.5703125" customWidth="1"/>
    <col min="1852" max="1852" width="7.7109375" customWidth="1"/>
    <col min="1853" max="1853" width="5.5703125" customWidth="1"/>
    <col min="1854" max="1854" width="4.42578125" customWidth="1"/>
    <col min="1855" max="1855" width="5.5703125" customWidth="1"/>
    <col min="1856" max="1856" width="7.7109375" customWidth="1"/>
    <col min="1857" max="1857" width="5.5703125" customWidth="1"/>
    <col min="1858" max="1858" width="4.42578125" customWidth="1"/>
    <col min="1859" max="1859" width="5.5703125" customWidth="1"/>
    <col min="1860" max="1860" width="7.7109375" customWidth="1"/>
    <col min="1861" max="1861" width="5.5703125" customWidth="1"/>
    <col min="1862" max="1862" width="4.42578125" customWidth="1"/>
    <col min="1863" max="1863" width="5.5703125" customWidth="1"/>
    <col min="1864" max="1864" width="7.7109375" customWidth="1"/>
    <col min="1865" max="1865" width="5.5703125" customWidth="1"/>
    <col min="1866" max="1866" width="4.42578125" customWidth="1"/>
    <col min="1867" max="1867" width="5.5703125" customWidth="1"/>
    <col min="1868" max="1868" width="9.7109375" customWidth="1"/>
    <col min="1869" max="1869" width="27.85546875" customWidth="1"/>
    <col min="1870" max="1880" width="7.7109375" customWidth="1"/>
    <col min="2064" max="2065" width="4" customWidth="1"/>
    <col min="2066" max="2066" width="47" bestFit="1" customWidth="1"/>
    <col min="2067" max="2067" width="38.42578125" customWidth="1"/>
    <col min="2068" max="2068" width="7.7109375" customWidth="1"/>
    <col min="2069" max="2069" width="4.42578125" bestFit="1" customWidth="1"/>
    <col min="2070" max="2070" width="4.42578125" customWidth="1"/>
    <col min="2071" max="2071" width="4.42578125" bestFit="1" customWidth="1"/>
    <col min="2072" max="2072" width="7.7109375" customWidth="1"/>
    <col min="2073" max="2073" width="4.42578125" bestFit="1" customWidth="1"/>
    <col min="2074" max="2074" width="4.42578125" customWidth="1"/>
    <col min="2075" max="2075" width="4.42578125" bestFit="1" customWidth="1"/>
    <col min="2076" max="2076" width="7.7109375" customWidth="1"/>
    <col min="2077" max="2077" width="4.42578125" bestFit="1" customWidth="1"/>
    <col min="2078" max="2078" width="4.42578125" customWidth="1"/>
    <col min="2079" max="2079" width="4.42578125" bestFit="1" customWidth="1"/>
    <col min="2080" max="2080" width="7.7109375" customWidth="1"/>
    <col min="2081" max="2081" width="4.42578125" bestFit="1" customWidth="1"/>
    <col min="2082" max="2082" width="4.42578125" customWidth="1"/>
    <col min="2083" max="2083" width="4.42578125" bestFit="1" customWidth="1"/>
    <col min="2084" max="2084" width="7.7109375" customWidth="1"/>
    <col min="2085" max="2085" width="4.42578125" bestFit="1" customWidth="1"/>
    <col min="2086" max="2086" width="4.42578125" customWidth="1"/>
    <col min="2087" max="2087" width="4.42578125" bestFit="1" customWidth="1"/>
    <col min="2088" max="2088" width="9.85546875" customWidth="1"/>
    <col min="2089" max="2089" width="4.42578125" bestFit="1" customWidth="1"/>
    <col min="2090" max="2090" width="4.42578125" customWidth="1"/>
    <col min="2091" max="2091" width="4.42578125" bestFit="1" customWidth="1"/>
    <col min="2092" max="2092" width="7.7109375" customWidth="1"/>
    <col min="2093" max="2093" width="4.42578125" bestFit="1" customWidth="1"/>
    <col min="2094" max="2094" width="4.42578125" customWidth="1"/>
    <col min="2095" max="2095" width="4.42578125" bestFit="1" customWidth="1"/>
    <col min="2096" max="2096" width="7.7109375" customWidth="1"/>
    <col min="2097" max="2097" width="5.5703125" customWidth="1"/>
    <col min="2098" max="2098" width="4.42578125" customWidth="1"/>
    <col min="2099" max="2099" width="5.5703125" customWidth="1"/>
    <col min="2100" max="2100" width="7.7109375" customWidth="1"/>
    <col min="2101" max="2101" width="5.5703125" customWidth="1"/>
    <col min="2102" max="2102" width="4.42578125" customWidth="1"/>
    <col min="2103" max="2103" width="5.5703125" customWidth="1"/>
    <col min="2104" max="2104" width="7.7109375" customWidth="1"/>
    <col min="2105" max="2105" width="5.5703125" customWidth="1"/>
    <col min="2106" max="2106" width="4.42578125" customWidth="1"/>
    <col min="2107" max="2107" width="5.5703125" customWidth="1"/>
    <col min="2108" max="2108" width="7.7109375" customWidth="1"/>
    <col min="2109" max="2109" width="5.5703125" customWidth="1"/>
    <col min="2110" max="2110" width="4.42578125" customWidth="1"/>
    <col min="2111" max="2111" width="5.5703125" customWidth="1"/>
    <col min="2112" max="2112" width="7.7109375" customWidth="1"/>
    <col min="2113" max="2113" width="5.5703125" customWidth="1"/>
    <col min="2114" max="2114" width="4.42578125" customWidth="1"/>
    <col min="2115" max="2115" width="5.5703125" customWidth="1"/>
    <col min="2116" max="2116" width="7.7109375" customWidth="1"/>
    <col min="2117" max="2117" width="5.5703125" customWidth="1"/>
    <col min="2118" max="2118" width="4.42578125" customWidth="1"/>
    <col min="2119" max="2119" width="5.5703125" customWidth="1"/>
    <col min="2120" max="2120" width="7.7109375" customWidth="1"/>
    <col min="2121" max="2121" width="5.5703125" customWidth="1"/>
    <col min="2122" max="2122" width="4.42578125" customWidth="1"/>
    <col min="2123" max="2123" width="5.5703125" customWidth="1"/>
    <col min="2124" max="2124" width="9.7109375" customWidth="1"/>
    <col min="2125" max="2125" width="27.85546875" customWidth="1"/>
    <col min="2126" max="2136" width="7.7109375" customWidth="1"/>
    <col min="2320" max="2321" width="4" customWidth="1"/>
    <col min="2322" max="2322" width="47" bestFit="1" customWidth="1"/>
    <col min="2323" max="2323" width="38.42578125" customWidth="1"/>
    <col min="2324" max="2324" width="7.7109375" customWidth="1"/>
    <col min="2325" max="2325" width="4.42578125" bestFit="1" customWidth="1"/>
    <col min="2326" max="2326" width="4.42578125" customWidth="1"/>
    <col min="2327" max="2327" width="4.42578125" bestFit="1" customWidth="1"/>
    <col min="2328" max="2328" width="7.7109375" customWidth="1"/>
    <col min="2329" max="2329" width="4.42578125" bestFit="1" customWidth="1"/>
    <col min="2330" max="2330" width="4.42578125" customWidth="1"/>
    <col min="2331" max="2331" width="4.42578125" bestFit="1" customWidth="1"/>
    <col min="2332" max="2332" width="7.7109375" customWidth="1"/>
    <col min="2333" max="2333" width="4.42578125" bestFit="1" customWidth="1"/>
    <col min="2334" max="2334" width="4.42578125" customWidth="1"/>
    <col min="2335" max="2335" width="4.42578125" bestFit="1" customWidth="1"/>
    <col min="2336" max="2336" width="7.7109375" customWidth="1"/>
    <col min="2337" max="2337" width="4.42578125" bestFit="1" customWidth="1"/>
    <col min="2338" max="2338" width="4.42578125" customWidth="1"/>
    <col min="2339" max="2339" width="4.42578125" bestFit="1" customWidth="1"/>
    <col min="2340" max="2340" width="7.7109375" customWidth="1"/>
    <col min="2341" max="2341" width="4.42578125" bestFit="1" customWidth="1"/>
    <col min="2342" max="2342" width="4.42578125" customWidth="1"/>
    <col min="2343" max="2343" width="4.42578125" bestFit="1" customWidth="1"/>
    <col min="2344" max="2344" width="9.85546875" customWidth="1"/>
    <col min="2345" max="2345" width="4.42578125" bestFit="1" customWidth="1"/>
    <col min="2346" max="2346" width="4.42578125" customWidth="1"/>
    <col min="2347" max="2347" width="4.42578125" bestFit="1" customWidth="1"/>
    <col min="2348" max="2348" width="7.7109375" customWidth="1"/>
    <col min="2349" max="2349" width="4.42578125" bestFit="1" customWidth="1"/>
    <col min="2350" max="2350" width="4.42578125" customWidth="1"/>
    <col min="2351" max="2351" width="4.42578125" bestFit="1" customWidth="1"/>
    <col min="2352" max="2352" width="7.7109375" customWidth="1"/>
    <col min="2353" max="2353" width="5.5703125" customWidth="1"/>
    <col min="2354" max="2354" width="4.42578125" customWidth="1"/>
    <col min="2355" max="2355" width="5.5703125" customWidth="1"/>
    <col min="2356" max="2356" width="7.7109375" customWidth="1"/>
    <col min="2357" max="2357" width="5.5703125" customWidth="1"/>
    <col min="2358" max="2358" width="4.42578125" customWidth="1"/>
    <col min="2359" max="2359" width="5.5703125" customWidth="1"/>
    <col min="2360" max="2360" width="7.7109375" customWidth="1"/>
    <col min="2361" max="2361" width="5.5703125" customWidth="1"/>
    <col min="2362" max="2362" width="4.42578125" customWidth="1"/>
    <col min="2363" max="2363" width="5.5703125" customWidth="1"/>
    <col min="2364" max="2364" width="7.7109375" customWidth="1"/>
    <col min="2365" max="2365" width="5.5703125" customWidth="1"/>
    <col min="2366" max="2366" width="4.42578125" customWidth="1"/>
    <col min="2367" max="2367" width="5.5703125" customWidth="1"/>
    <col min="2368" max="2368" width="7.7109375" customWidth="1"/>
    <col min="2369" max="2369" width="5.5703125" customWidth="1"/>
    <col min="2370" max="2370" width="4.42578125" customWidth="1"/>
    <col min="2371" max="2371" width="5.5703125" customWidth="1"/>
    <col min="2372" max="2372" width="7.7109375" customWidth="1"/>
    <col min="2373" max="2373" width="5.5703125" customWidth="1"/>
    <col min="2374" max="2374" width="4.42578125" customWidth="1"/>
    <col min="2375" max="2375" width="5.5703125" customWidth="1"/>
    <col min="2376" max="2376" width="7.7109375" customWidth="1"/>
    <col min="2377" max="2377" width="5.5703125" customWidth="1"/>
    <col min="2378" max="2378" width="4.42578125" customWidth="1"/>
    <col min="2379" max="2379" width="5.5703125" customWidth="1"/>
    <col min="2380" max="2380" width="9.7109375" customWidth="1"/>
    <col min="2381" max="2381" width="27.85546875" customWidth="1"/>
    <col min="2382" max="2392" width="7.7109375" customWidth="1"/>
    <col min="2576" max="2577" width="4" customWidth="1"/>
    <col min="2578" max="2578" width="47" bestFit="1" customWidth="1"/>
    <col min="2579" max="2579" width="38.42578125" customWidth="1"/>
    <col min="2580" max="2580" width="7.7109375" customWidth="1"/>
    <col min="2581" max="2581" width="4.42578125" bestFit="1" customWidth="1"/>
    <col min="2582" max="2582" width="4.42578125" customWidth="1"/>
    <col min="2583" max="2583" width="4.42578125" bestFit="1" customWidth="1"/>
    <col min="2584" max="2584" width="7.7109375" customWidth="1"/>
    <col min="2585" max="2585" width="4.42578125" bestFit="1" customWidth="1"/>
    <col min="2586" max="2586" width="4.42578125" customWidth="1"/>
    <col min="2587" max="2587" width="4.42578125" bestFit="1" customWidth="1"/>
    <col min="2588" max="2588" width="7.7109375" customWidth="1"/>
    <col min="2589" max="2589" width="4.42578125" bestFit="1" customWidth="1"/>
    <col min="2590" max="2590" width="4.42578125" customWidth="1"/>
    <col min="2591" max="2591" width="4.42578125" bestFit="1" customWidth="1"/>
    <col min="2592" max="2592" width="7.7109375" customWidth="1"/>
    <col min="2593" max="2593" width="4.42578125" bestFit="1" customWidth="1"/>
    <col min="2594" max="2594" width="4.42578125" customWidth="1"/>
    <col min="2595" max="2595" width="4.42578125" bestFit="1" customWidth="1"/>
    <col min="2596" max="2596" width="7.7109375" customWidth="1"/>
    <col min="2597" max="2597" width="4.42578125" bestFit="1" customWidth="1"/>
    <col min="2598" max="2598" width="4.42578125" customWidth="1"/>
    <col min="2599" max="2599" width="4.42578125" bestFit="1" customWidth="1"/>
    <col min="2600" max="2600" width="9.85546875" customWidth="1"/>
    <col min="2601" max="2601" width="4.42578125" bestFit="1" customWidth="1"/>
    <col min="2602" max="2602" width="4.42578125" customWidth="1"/>
    <col min="2603" max="2603" width="4.42578125" bestFit="1" customWidth="1"/>
    <col min="2604" max="2604" width="7.7109375" customWidth="1"/>
    <col min="2605" max="2605" width="4.42578125" bestFit="1" customWidth="1"/>
    <col min="2606" max="2606" width="4.42578125" customWidth="1"/>
    <col min="2607" max="2607" width="4.42578125" bestFit="1" customWidth="1"/>
    <col min="2608" max="2608" width="7.7109375" customWidth="1"/>
    <col min="2609" max="2609" width="5.5703125" customWidth="1"/>
    <col min="2610" max="2610" width="4.42578125" customWidth="1"/>
    <col min="2611" max="2611" width="5.5703125" customWidth="1"/>
    <col min="2612" max="2612" width="7.7109375" customWidth="1"/>
    <col min="2613" max="2613" width="5.5703125" customWidth="1"/>
    <col min="2614" max="2614" width="4.42578125" customWidth="1"/>
    <col min="2615" max="2615" width="5.5703125" customWidth="1"/>
    <col min="2616" max="2616" width="7.7109375" customWidth="1"/>
    <col min="2617" max="2617" width="5.5703125" customWidth="1"/>
    <col min="2618" max="2618" width="4.42578125" customWidth="1"/>
    <col min="2619" max="2619" width="5.5703125" customWidth="1"/>
    <col min="2620" max="2620" width="7.7109375" customWidth="1"/>
    <col min="2621" max="2621" width="5.5703125" customWidth="1"/>
    <col min="2622" max="2622" width="4.42578125" customWidth="1"/>
    <col min="2623" max="2623" width="5.5703125" customWidth="1"/>
    <col min="2624" max="2624" width="7.7109375" customWidth="1"/>
    <col min="2625" max="2625" width="5.5703125" customWidth="1"/>
    <col min="2626" max="2626" width="4.42578125" customWidth="1"/>
    <col min="2627" max="2627" width="5.5703125" customWidth="1"/>
    <col min="2628" max="2628" width="7.7109375" customWidth="1"/>
    <col min="2629" max="2629" width="5.5703125" customWidth="1"/>
    <col min="2630" max="2630" width="4.42578125" customWidth="1"/>
    <col min="2631" max="2631" width="5.5703125" customWidth="1"/>
    <col min="2632" max="2632" width="7.7109375" customWidth="1"/>
    <col min="2633" max="2633" width="5.5703125" customWidth="1"/>
    <col min="2634" max="2634" width="4.42578125" customWidth="1"/>
    <col min="2635" max="2635" width="5.5703125" customWidth="1"/>
    <col min="2636" max="2636" width="9.7109375" customWidth="1"/>
    <col min="2637" max="2637" width="27.85546875" customWidth="1"/>
    <col min="2638" max="2648" width="7.7109375" customWidth="1"/>
    <col min="2832" max="2833" width="4" customWidth="1"/>
    <col min="2834" max="2834" width="47" bestFit="1" customWidth="1"/>
    <col min="2835" max="2835" width="38.42578125" customWidth="1"/>
    <col min="2836" max="2836" width="7.7109375" customWidth="1"/>
    <col min="2837" max="2837" width="4.42578125" bestFit="1" customWidth="1"/>
    <col min="2838" max="2838" width="4.42578125" customWidth="1"/>
    <col min="2839" max="2839" width="4.42578125" bestFit="1" customWidth="1"/>
    <col min="2840" max="2840" width="7.7109375" customWidth="1"/>
    <col min="2841" max="2841" width="4.42578125" bestFit="1" customWidth="1"/>
    <col min="2842" max="2842" width="4.42578125" customWidth="1"/>
    <col min="2843" max="2843" width="4.42578125" bestFit="1" customWidth="1"/>
    <col min="2844" max="2844" width="7.7109375" customWidth="1"/>
    <col min="2845" max="2845" width="4.42578125" bestFit="1" customWidth="1"/>
    <col min="2846" max="2846" width="4.42578125" customWidth="1"/>
    <col min="2847" max="2847" width="4.42578125" bestFit="1" customWidth="1"/>
    <col min="2848" max="2848" width="7.7109375" customWidth="1"/>
    <col min="2849" max="2849" width="4.42578125" bestFit="1" customWidth="1"/>
    <col min="2850" max="2850" width="4.42578125" customWidth="1"/>
    <col min="2851" max="2851" width="4.42578125" bestFit="1" customWidth="1"/>
    <col min="2852" max="2852" width="7.7109375" customWidth="1"/>
    <col min="2853" max="2853" width="4.42578125" bestFit="1" customWidth="1"/>
    <col min="2854" max="2854" width="4.42578125" customWidth="1"/>
    <col min="2855" max="2855" width="4.42578125" bestFit="1" customWidth="1"/>
    <col min="2856" max="2856" width="9.85546875" customWidth="1"/>
    <col min="2857" max="2857" width="4.42578125" bestFit="1" customWidth="1"/>
    <col min="2858" max="2858" width="4.42578125" customWidth="1"/>
    <col min="2859" max="2859" width="4.42578125" bestFit="1" customWidth="1"/>
    <col min="2860" max="2860" width="7.7109375" customWidth="1"/>
    <col min="2861" max="2861" width="4.42578125" bestFit="1" customWidth="1"/>
    <col min="2862" max="2862" width="4.42578125" customWidth="1"/>
    <col min="2863" max="2863" width="4.42578125" bestFit="1" customWidth="1"/>
    <col min="2864" max="2864" width="7.7109375" customWidth="1"/>
    <col min="2865" max="2865" width="5.5703125" customWidth="1"/>
    <col min="2866" max="2866" width="4.42578125" customWidth="1"/>
    <col min="2867" max="2867" width="5.5703125" customWidth="1"/>
    <col min="2868" max="2868" width="7.7109375" customWidth="1"/>
    <col min="2869" max="2869" width="5.5703125" customWidth="1"/>
    <col min="2870" max="2870" width="4.42578125" customWidth="1"/>
    <col min="2871" max="2871" width="5.5703125" customWidth="1"/>
    <col min="2872" max="2872" width="7.7109375" customWidth="1"/>
    <col min="2873" max="2873" width="5.5703125" customWidth="1"/>
    <col min="2874" max="2874" width="4.42578125" customWidth="1"/>
    <col min="2875" max="2875" width="5.5703125" customWidth="1"/>
    <col min="2876" max="2876" width="7.7109375" customWidth="1"/>
    <col min="2877" max="2877" width="5.5703125" customWidth="1"/>
    <col min="2878" max="2878" width="4.42578125" customWidth="1"/>
    <col min="2879" max="2879" width="5.5703125" customWidth="1"/>
    <col min="2880" max="2880" width="7.7109375" customWidth="1"/>
    <col min="2881" max="2881" width="5.5703125" customWidth="1"/>
    <col min="2882" max="2882" width="4.42578125" customWidth="1"/>
    <col min="2883" max="2883" width="5.5703125" customWidth="1"/>
    <col min="2884" max="2884" width="7.7109375" customWidth="1"/>
    <col min="2885" max="2885" width="5.5703125" customWidth="1"/>
    <col min="2886" max="2886" width="4.42578125" customWidth="1"/>
    <col min="2887" max="2887" width="5.5703125" customWidth="1"/>
    <col min="2888" max="2888" width="7.7109375" customWidth="1"/>
    <col min="2889" max="2889" width="5.5703125" customWidth="1"/>
    <col min="2890" max="2890" width="4.42578125" customWidth="1"/>
    <col min="2891" max="2891" width="5.5703125" customWidth="1"/>
    <col min="2892" max="2892" width="9.7109375" customWidth="1"/>
    <col min="2893" max="2893" width="27.85546875" customWidth="1"/>
    <col min="2894" max="2904" width="7.7109375" customWidth="1"/>
    <col min="3088" max="3089" width="4" customWidth="1"/>
    <col min="3090" max="3090" width="47" bestFit="1" customWidth="1"/>
    <col min="3091" max="3091" width="38.42578125" customWidth="1"/>
    <col min="3092" max="3092" width="7.7109375" customWidth="1"/>
    <col min="3093" max="3093" width="4.42578125" bestFit="1" customWidth="1"/>
    <col min="3094" max="3094" width="4.42578125" customWidth="1"/>
    <col min="3095" max="3095" width="4.42578125" bestFit="1" customWidth="1"/>
    <col min="3096" max="3096" width="7.7109375" customWidth="1"/>
    <col min="3097" max="3097" width="4.42578125" bestFit="1" customWidth="1"/>
    <col min="3098" max="3098" width="4.42578125" customWidth="1"/>
    <col min="3099" max="3099" width="4.42578125" bestFit="1" customWidth="1"/>
    <col min="3100" max="3100" width="7.7109375" customWidth="1"/>
    <col min="3101" max="3101" width="4.42578125" bestFit="1" customWidth="1"/>
    <col min="3102" max="3102" width="4.42578125" customWidth="1"/>
    <col min="3103" max="3103" width="4.42578125" bestFit="1" customWidth="1"/>
    <col min="3104" max="3104" width="7.7109375" customWidth="1"/>
    <col min="3105" max="3105" width="4.42578125" bestFit="1" customWidth="1"/>
    <col min="3106" max="3106" width="4.42578125" customWidth="1"/>
    <col min="3107" max="3107" width="4.42578125" bestFit="1" customWidth="1"/>
    <col min="3108" max="3108" width="7.7109375" customWidth="1"/>
    <col min="3109" max="3109" width="4.42578125" bestFit="1" customWidth="1"/>
    <col min="3110" max="3110" width="4.42578125" customWidth="1"/>
    <col min="3111" max="3111" width="4.42578125" bestFit="1" customWidth="1"/>
    <col min="3112" max="3112" width="9.85546875" customWidth="1"/>
    <col min="3113" max="3113" width="4.42578125" bestFit="1" customWidth="1"/>
    <col min="3114" max="3114" width="4.42578125" customWidth="1"/>
    <col min="3115" max="3115" width="4.42578125" bestFit="1" customWidth="1"/>
    <col min="3116" max="3116" width="7.7109375" customWidth="1"/>
    <col min="3117" max="3117" width="4.42578125" bestFit="1" customWidth="1"/>
    <col min="3118" max="3118" width="4.42578125" customWidth="1"/>
    <col min="3119" max="3119" width="4.42578125" bestFit="1" customWidth="1"/>
    <col min="3120" max="3120" width="7.7109375" customWidth="1"/>
    <col min="3121" max="3121" width="5.5703125" customWidth="1"/>
    <col min="3122" max="3122" width="4.42578125" customWidth="1"/>
    <col min="3123" max="3123" width="5.5703125" customWidth="1"/>
    <col min="3124" max="3124" width="7.7109375" customWidth="1"/>
    <col min="3125" max="3125" width="5.5703125" customWidth="1"/>
    <col min="3126" max="3126" width="4.42578125" customWidth="1"/>
    <col min="3127" max="3127" width="5.5703125" customWidth="1"/>
    <col min="3128" max="3128" width="7.7109375" customWidth="1"/>
    <col min="3129" max="3129" width="5.5703125" customWidth="1"/>
    <col min="3130" max="3130" width="4.42578125" customWidth="1"/>
    <col min="3131" max="3131" width="5.5703125" customWidth="1"/>
    <col min="3132" max="3132" width="7.7109375" customWidth="1"/>
    <col min="3133" max="3133" width="5.5703125" customWidth="1"/>
    <col min="3134" max="3134" width="4.42578125" customWidth="1"/>
    <col min="3135" max="3135" width="5.5703125" customWidth="1"/>
    <col min="3136" max="3136" width="7.7109375" customWidth="1"/>
    <col min="3137" max="3137" width="5.5703125" customWidth="1"/>
    <col min="3138" max="3138" width="4.42578125" customWidth="1"/>
    <col min="3139" max="3139" width="5.5703125" customWidth="1"/>
    <col min="3140" max="3140" width="7.7109375" customWidth="1"/>
    <col min="3141" max="3141" width="5.5703125" customWidth="1"/>
    <col min="3142" max="3142" width="4.42578125" customWidth="1"/>
    <col min="3143" max="3143" width="5.5703125" customWidth="1"/>
    <col min="3144" max="3144" width="7.7109375" customWidth="1"/>
    <col min="3145" max="3145" width="5.5703125" customWidth="1"/>
    <col min="3146" max="3146" width="4.42578125" customWidth="1"/>
    <col min="3147" max="3147" width="5.5703125" customWidth="1"/>
    <col min="3148" max="3148" width="9.7109375" customWidth="1"/>
    <col min="3149" max="3149" width="27.85546875" customWidth="1"/>
    <col min="3150" max="3160" width="7.7109375" customWidth="1"/>
    <col min="3344" max="3345" width="4" customWidth="1"/>
    <col min="3346" max="3346" width="47" bestFit="1" customWidth="1"/>
    <col min="3347" max="3347" width="38.42578125" customWidth="1"/>
    <col min="3348" max="3348" width="7.7109375" customWidth="1"/>
    <col min="3349" max="3349" width="4.42578125" bestFit="1" customWidth="1"/>
    <col min="3350" max="3350" width="4.42578125" customWidth="1"/>
    <col min="3351" max="3351" width="4.42578125" bestFit="1" customWidth="1"/>
    <col min="3352" max="3352" width="7.7109375" customWidth="1"/>
    <col min="3353" max="3353" width="4.42578125" bestFit="1" customWidth="1"/>
    <col min="3354" max="3354" width="4.42578125" customWidth="1"/>
    <col min="3355" max="3355" width="4.42578125" bestFit="1" customWidth="1"/>
    <col min="3356" max="3356" width="7.7109375" customWidth="1"/>
    <col min="3357" max="3357" width="4.42578125" bestFit="1" customWidth="1"/>
    <col min="3358" max="3358" width="4.42578125" customWidth="1"/>
    <col min="3359" max="3359" width="4.42578125" bestFit="1" customWidth="1"/>
    <col min="3360" max="3360" width="7.7109375" customWidth="1"/>
    <col min="3361" max="3361" width="4.42578125" bestFit="1" customWidth="1"/>
    <col min="3362" max="3362" width="4.42578125" customWidth="1"/>
    <col min="3363" max="3363" width="4.42578125" bestFit="1" customWidth="1"/>
    <col min="3364" max="3364" width="7.7109375" customWidth="1"/>
    <col min="3365" max="3365" width="4.42578125" bestFit="1" customWidth="1"/>
    <col min="3366" max="3366" width="4.42578125" customWidth="1"/>
    <col min="3367" max="3367" width="4.42578125" bestFit="1" customWidth="1"/>
    <col min="3368" max="3368" width="9.85546875" customWidth="1"/>
    <col min="3369" max="3369" width="4.42578125" bestFit="1" customWidth="1"/>
    <col min="3370" max="3370" width="4.42578125" customWidth="1"/>
    <col min="3371" max="3371" width="4.42578125" bestFit="1" customWidth="1"/>
    <col min="3372" max="3372" width="7.7109375" customWidth="1"/>
    <col min="3373" max="3373" width="4.42578125" bestFit="1" customWidth="1"/>
    <col min="3374" max="3374" width="4.42578125" customWidth="1"/>
    <col min="3375" max="3375" width="4.42578125" bestFit="1" customWidth="1"/>
    <col min="3376" max="3376" width="7.7109375" customWidth="1"/>
    <col min="3377" max="3377" width="5.5703125" customWidth="1"/>
    <col min="3378" max="3378" width="4.42578125" customWidth="1"/>
    <col min="3379" max="3379" width="5.5703125" customWidth="1"/>
    <col min="3380" max="3380" width="7.7109375" customWidth="1"/>
    <col min="3381" max="3381" width="5.5703125" customWidth="1"/>
    <col min="3382" max="3382" width="4.42578125" customWidth="1"/>
    <col min="3383" max="3383" width="5.5703125" customWidth="1"/>
    <col min="3384" max="3384" width="7.7109375" customWidth="1"/>
    <col min="3385" max="3385" width="5.5703125" customWidth="1"/>
    <col min="3386" max="3386" width="4.42578125" customWidth="1"/>
    <col min="3387" max="3387" width="5.5703125" customWidth="1"/>
    <col min="3388" max="3388" width="7.7109375" customWidth="1"/>
    <col min="3389" max="3389" width="5.5703125" customWidth="1"/>
    <col min="3390" max="3390" width="4.42578125" customWidth="1"/>
    <col min="3391" max="3391" width="5.5703125" customWidth="1"/>
    <col min="3392" max="3392" width="7.7109375" customWidth="1"/>
    <col min="3393" max="3393" width="5.5703125" customWidth="1"/>
    <col min="3394" max="3394" width="4.42578125" customWidth="1"/>
    <col min="3395" max="3395" width="5.5703125" customWidth="1"/>
    <col min="3396" max="3396" width="7.7109375" customWidth="1"/>
    <col min="3397" max="3397" width="5.5703125" customWidth="1"/>
    <col min="3398" max="3398" width="4.42578125" customWidth="1"/>
    <col min="3399" max="3399" width="5.5703125" customWidth="1"/>
    <col min="3400" max="3400" width="7.7109375" customWidth="1"/>
    <col min="3401" max="3401" width="5.5703125" customWidth="1"/>
    <col min="3402" max="3402" width="4.42578125" customWidth="1"/>
    <col min="3403" max="3403" width="5.5703125" customWidth="1"/>
    <col min="3404" max="3404" width="9.7109375" customWidth="1"/>
    <col min="3405" max="3405" width="27.85546875" customWidth="1"/>
    <col min="3406" max="3416" width="7.7109375" customWidth="1"/>
    <col min="3600" max="3601" width="4" customWidth="1"/>
    <col min="3602" max="3602" width="47" bestFit="1" customWidth="1"/>
    <col min="3603" max="3603" width="38.42578125" customWidth="1"/>
    <col min="3604" max="3604" width="7.7109375" customWidth="1"/>
    <col min="3605" max="3605" width="4.42578125" bestFit="1" customWidth="1"/>
    <col min="3606" max="3606" width="4.42578125" customWidth="1"/>
    <col min="3607" max="3607" width="4.42578125" bestFit="1" customWidth="1"/>
    <col min="3608" max="3608" width="7.7109375" customWidth="1"/>
    <col min="3609" max="3609" width="4.42578125" bestFit="1" customWidth="1"/>
    <col min="3610" max="3610" width="4.42578125" customWidth="1"/>
    <col min="3611" max="3611" width="4.42578125" bestFit="1" customWidth="1"/>
    <col min="3612" max="3612" width="7.7109375" customWidth="1"/>
    <col min="3613" max="3613" width="4.42578125" bestFit="1" customWidth="1"/>
    <col min="3614" max="3614" width="4.42578125" customWidth="1"/>
    <col min="3615" max="3615" width="4.42578125" bestFit="1" customWidth="1"/>
    <col min="3616" max="3616" width="7.7109375" customWidth="1"/>
    <col min="3617" max="3617" width="4.42578125" bestFit="1" customWidth="1"/>
    <col min="3618" max="3618" width="4.42578125" customWidth="1"/>
    <col min="3619" max="3619" width="4.42578125" bestFit="1" customWidth="1"/>
    <col min="3620" max="3620" width="7.7109375" customWidth="1"/>
    <col min="3621" max="3621" width="4.42578125" bestFit="1" customWidth="1"/>
    <col min="3622" max="3622" width="4.42578125" customWidth="1"/>
    <col min="3623" max="3623" width="4.42578125" bestFit="1" customWidth="1"/>
    <col min="3624" max="3624" width="9.85546875" customWidth="1"/>
    <col min="3625" max="3625" width="4.42578125" bestFit="1" customWidth="1"/>
    <col min="3626" max="3626" width="4.42578125" customWidth="1"/>
    <col min="3627" max="3627" width="4.42578125" bestFit="1" customWidth="1"/>
    <col min="3628" max="3628" width="7.7109375" customWidth="1"/>
    <col min="3629" max="3629" width="4.42578125" bestFit="1" customWidth="1"/>
    <col min="3630" max="3630" width="4.42578125" customWidth="1"/>
    <col min="3631" max="3631" width="4.42578125" bestFit="1" customWidth="1"/>
    <col min="3632" max="3632" width="7.7109375" customWidth="1"/>
    <col min="3633" max="3633" width="5.5703125" customWidth="1"/>
    <col min="3634" max="3634" width="4.42578125" customWidth="1"/>
    <col min="3635" max="3635" width="5.5703125" customWidth="1"/>
    <col min="3636" max="3636" width="7.7109375" customWidth="1"/>
    <col min="3637" max="3637" width="5.5703125" customWidth="1"/>
    <col min="3638" max="3638" width="4.42578125" customWidth="1"/>
    <col min="3639" max="3639" width="5.5703125" customWidth="1"/>
    <col min="3640" max="3640" width="7.7109375" customWidth="1"/>
    <col min="3641" max="3641" width="5.5703125" customWidth="1"/>
    <col min="3642" max="3642" width="4.42578125" customWidth="1"/>
    <col min="3643" max="3643" width="5.5703125" customWidth="1"/>
    <col min="3644" max="3644" width="7.7109375" customWidth="1"/>
    <col min="3645" max="3645" width="5.5703125" customWidth="1"/>
    <col min="3646" max="3646" width="4.42578125" customWidth="1"/>
    <col min="3647" max="3647" width="5.5703125" customWidth="1"/>
    <col min="3648" max="3648" width="7.7109375" customWidth="1"/>
    <col min="3649" max="3649" width="5.5703125" customWidth="1"/>
    <col min="3650" max="3650" width="4.42578125" customWidth="1"/>
    <col min="3651" max="3651" width="5.5703125" customWidth="1"/>
    <col min="3652" max="3652" width="7.7109375" customWidth="1"/>
    <col min="3653" max="3653" width="5.5703125" customWidth="1"/>
    <col min="3654" max="3654" width="4.42578125" customWidth="1"/>
    <col min="3655" max="3655" width="5.5703125" customWidth="1"/>
    <col min="3656" max="3656" width="7.7109375" customWidth="1"/>
    <col min="3657" max="3657" width="5.5703125" customWidth="1"/>
    <col min="3658" max="3658" width="4.42578125" customWidth="1"/>
    <col min="3659" max="3659" width="5.5703125" customWidth="1"/>
    <col min="3660" max="3660" width="9.7109375" customWidth="1"/>
    <col min="3661" max="3661" width="27.85546875" customWidth="1"/>
    <col min="3662" max="3672" width="7.7109375" customWidth="1"/>
    <col min="3856" max="3857" width="4" customWidth="1"/>
    <col min="3858" max="3858" width="47" bestFit="1" customWidth="1"/>
    <col min="3859" max="3859" width="38.42578125" customWidth="1"/>
    <col min="3860" max="3860" width="7.7109375" customWidth="1"/>
    <col min="3861" max="3861" width="4.42578125" bestFit="1" customWidth="1"/>
    <col min="3862" max="3862" width="4.42578125" customWidth="1"/>
    <col min="3863" max="3863" width="4.42578125" bestFit="1" customWidth="1"/>
    <col min="3864" max="3864" width="7.7109375" customWidth="1"/>
    <col min="3865" max="3865" width="4.42578125" bestFit="1" customWidth="1"/>
    <col min="3866" max="3866" width="4.42578125" customWidth="1"/>
    <col min="3867" max="3867" width="4.42578125" bestFit="1" customWidth="1"/>
    <col min="3868" max="3868" width="7.7109375" customWidth="1"/>
    <col min="3869" max="3869" width="4.42578125" bestFit="1" customWidth="1"/>
    <col min="3870" max="3870" width="4.42578125" customWidth="1"/>
    <col min="3871" max="3871" width="4.42578125" bestFit="1" customWidth="1"/>
    <col min="3872" max="3872" width="7.7109375" customWidth="1"/>
    <col min="3873" max="3873" width="4.42578125" bestFit="1" customWidth="1"/>
    <col min="3874" max="3874" width="4.42578125" customWidth="1"/>
    <col min="3875" max="3875" width="4.42578125" bestFit="1" customWidth="1"/>
    <col min="3876" max="3876" width="7.7109375" customWidth="1"/>
    <col min="3877" max="3877" width="4.42578125" bestFit="1" customWidth="1"/>
    <col min="3878" max="3878" width="4.42578125" customWidth="1"/>
    <col min="3879" max="3879" width="4.42578125" bestFit="1" customWidth="1"/>
    <col min="3880" max="3880" width="9.85546875" customWidth="1"/>
    <col min="3881" max="3881" width="4.42578125" bestFit="1" customWidth="1"/>
    <col min="3882" max="3882" width="4.42578125" customWidth="1"/>
    <col min="3883" max="3883" width="4.42578125" bestFit="1" customWidth="1"/>
    <col min="3884" max="3884" width="7.7109375" customWidth="1"/>
    <col min="3885" max="3885" width="4.42578125" bestFit="1" customWidth="1"/>
    <col min="3886" max="3886" width="4.42578125" customWidth="1"/>
    <col min="3887" max="3887" width="4.42578125" bestFit="1" customWidth="1"/>
    <col min="3888" max="3888" width="7.7109375" customWidth="1"/>
    <col min="3889" max="3889" width="5.5703125" customWidth="1"/>
    <col min="3890" max="3890" width="4.42578125" customWidth="1"/>
    <col min="3891" max="3891" width="5.5703125" customWidth="1"/>
    <col min="3892" max="3892" width="7.7109375" customWidth="1"/>
    <col min="3893" max="3893" width="5.5703125" customWidth="1"/>
    <col min="3894" max="3894" width="4.42578125" customWidth="1"/>
    <col min="3895" max="3895" width="5.5703125" customWidth="1"/>
    <col min="3896" max="3896" width="7.7109375" customWidth="1"/>
    <col min="3897" max="3897" width="5.5703125" customWidth="1"/>
    <col min="3898" max="3898" width="4.42578125" customWidth="1"/>
    <col min="3899" max="3899" width="5.5703125" customWidth="1"/>
    <col min="3900" max="3900" width="7.7109375" customWidth="1"/>
    <col min="3901" max="3901" width="5.5703125" customWidth="1"/>
    <col min="3902" max="3902" width="4.42578125" customWidth="1"/>
    <col min="3903" max="3903" width="5.5703125" customWidth="1"/>
    <col min="3904" max="3904" width="7.7109375" customWidth="1"/>
    <col min="3905" max="3905" width="5.5703125" customWidth="1"/>
    <col min="3906" max="3906" width="4.42578125" customWidth="1"/>
    <col min="3907" max="3907" width="5.5703125" customWidth="1"/>
    <col min="3908" max="3908" width="7.7109375" customWidth="1"/>
    <col min="3909" max="3909" width="5.5703125" customWidth="1"/>
    <col min="3910" max="3910" width="4.42578125" customWidth="1"/>
    <col min="3911" max="3911" width="5.5703125" customWidth="1"/>
    <col min="3912" max="3912" width="7.7109375" customWidth="1"/>
    <col min="3913" max="3913" width="5.5703125" customWidth="1"/>
    <col min="3914" max="3914" width="4.42578125" customWidth="1"/>
    <col min="3915" max="3915" width="5.5703125" customWidth="1"/>
    <col min="3916" max="3916" width="9.7109375" customWidth="1"/>
    <col min="3917" max="3917" width="27.85546875" customWidth="1"/>
    <col min="3918" max="3928" width="7.7109375" customWidth="1"/>
    <col min="4112" max="4113" width="4" customWidth="1"/>
    <col min="4114" max="4114" width="47" bestFit="1" customWidth="1"/>
    <col min="4115" max="4115" width="38.42578125" customWidth="1"/>
    <col min="4116" max="4116" width="7.7109375" customWidth="1"/>
    <col min="4117" max="4117" width="4.42578125" bestFit="1" customWidth="1"/>
    <col min="4118" max="4118" width="4.42578125" customWidth="1"/>
    <col min="4119" max="4119" width="4.42578125" bestFit="1" customWidth="1"/>
    <col min="4120" max="4120" width="7.7109375" customWidth="1"/>
    <col min="4121" max="4121" width="4.42578125" bestFit="1" customWidth="1"/>
    <col min="4122" max="4122" width="4.42578125" customWidth="1"/>
    <col min="4123" max="4123" width="4.42578125" bestFit="1" customWidth="1"/>
    <col min="4124" max="4124" width="7.7109375" customWidth="1"/>
    <col min="4125" max="4125" width="4.42578125" bestFit="1" customWidth="1"/>
    <col min="4126" max="4126" width="4.42578125" customWidth="1"/>
    <col min="4127" max="4127" width="4.42578125" bestFit="1" customWidth="1"/>
    <col min="4128" max="4128" width="7.7109375" customWidth="1"/>
    <col min="4129" max="4129" width="4.42578125" bestFit="1" customWidth="1"/>
    <col min="4130" max="4130" width="4.42578125" customWidth="1"/>
    <col min="4131" max="4131" width="4.42578125" bestFit="1" customWidth="1"/>
    <col min="4132" max="4132" width="7.7109375" customWidth="1"/>
    <col min="4133" max="4133" width="4.42578125" bestFit="1" customWidth="1"/>
    <col min="4134" max="4134" width="4.42578125" customWidth="1"/>
    <col min="4135" max="4135" width="4.42578125" bestFit="1" customWidth="1"/>
    <col min="4136" max="4136" width="9.85546875" customWidth="1"/>
    <col min="4137" max="4137" width="4.42578125" bestFit="1" customWidth="1"/>
    <col min="4138" max="4138" width="4.42578125" customWidth="1"/>
    <col min="4139" max="4139" width="4.42578125" bestFit="1" customWidth="1"/>
    <col min="4140" max="4140" width="7.7109375" customWidth="1"/>
    <col min="4141" max="4141" width="4.42578125" bestFit="1" customWidth="1"/>
    <col min="4142" max="4142" width="4.42578125" customWidth="1"/>
    <col min="4143" max="4143" width="4.42578125" bestFit="1" customWidth="1"/>
    <col min="4144" max="4144" width="7.7109375" customWidth="1"/>
    <col min="4145" max="4145" width="5.5703125" customWidth="1"/>
    <col min="4146" max="4146" width="4.42578125" customWidth="1"/>
    <col min="4147" max="4147" width="5.5703125" customWidth="1"/>
    <col min="4148" max="4148" width="7.7109375" customWidth="1"/>
    <col min="4149" max="4149" width="5.5703125" customWidth="1"/>
    <col min="4150" max="4150" width="4.42578125" customWidth="1"/>
    <col min="4151" max="4151" width="5.5703125" customWidth="1"/>
    <col min="4152" max="4152" width="7.7109375" customWidth="1"/>
    <col min="4153" max="4153" width="5.5703125" customWidth="1"/>
    <col min="4154" max="4154" width="4.42578125" customWidth="1"/>
    <col min="4155" max="4155" width="5.5703125" customWidth="1"/>
    <col min="4156" max="4156" width="7.7109375" customWidth="1"/>
    <col min="4157" max="4157" width="5.5703125" customWidth="1"/>
    <col min="4158" max="4158" width="4.42578125" customWidth="1"/>
    <col min="4159" max="4159" width="5.5703125" customWidth="1"/>
    <col min="4160" max="4160" width="7.7109375" customWidth="1"/>
    <col min="4161" max="4161" width="5.5703125" customWidth="1"/>
    <col min="4162" max="4162" width="4.42578125" customWidth="1"/>
    <col min="4163" max="4163" width="5.5703125" customWidth="1"/>
    <col min="4164" max="4164" width="7.7109375" customWidth="1"/>
    <col min="4165" max="4165" width="5.5703125" customWidth="1"/>
    <col min="4166" max="4166" width="4.42578125" customWidth="1"/>
    <col min="4167" max="4167" width="5.5703125" customWidth="1"/>
    <col min="4168" max="4168" width="7.7109375" customWidth="1"/>
    <col min="4169" max="4169" width="5.5703125" customWidth="1"/>
    <col min="4170" max="4170" width="4.42578125" customWidth="1"/>
    <col min="4171" max="4171" width="5.5703125" customWidth="1"/>
    <col min="4172" max="4172" width="9.7109375" customWidth="1"/>
    <col min="4173" max="4173" width="27.85546875" customWidth="1"/>
    <col min="4174" max="4184" width="7.7109375" customWidth="1"/>
    <col min="4368" max="4369" width="4" customWidth="1"/>
    <col min="4370" max="4370" width="47" bestFit="1" customWidth="1"/>
    <col min="4371" max="4371" width="38.42578125" customWidth="1"/>
    <col min="4372" max="4372" width="7.7109375" customWidth="1"/>
    <col min="4373" max="4373" width="4.42578125" bestFit="1" customWidth="1"/>
    <col min="4374" max="4374" width="4.42578125" customWidth="1"/>
    <col min="4375" max="4375" width="4.42578125" bestFit="1" customWidth="1"/>
    <col min="4376" max="4376" width="7.7109375" customWidth="1"/>
    <col min="4377" max="4377" width="4.42578125" bestFit="1" customWidth="1"/>
    <col min="4378" max="4378" width="4.42578125" customWidth="1"/>
    <col min="4379" max="4379" width="4.42578125" bestFit="1" customWidth="1"/>
    <col min="4380" max="4380" width="7.7109375" customWidth="1"/>
    <col min="4381" max="4381" width="4.42578125" bestFit="1" customWidth="1"/>
    <col min="4382" max="4382" width="4.42578125" customWidth="1"/>
    <col min="4383" max="4383" width="4.42578125" bestFit="1" customWidth="1"/>
    <col min="4384" max="4384" width="7.7109375" customWidth="1"/>
    <col min="4385" max="4385" width="4.42578125" bestFit="1" customWidth="1"/>
    <col min="4386" max="4386" width="4.42578125" customWidth="1"/>
    <col min="4387" max="4387" width="4.42578125" bestFit="1" customWidth="1"/>
    <col min="4388" max="4388" width="7.7109375" customWidth="1"/>
    <col min="4389" max="4389" width="4.42578125" bestFit="1" customWidth="1"/>
    <col min="4390" max="4390" width="4.42578125" customWidth="1"/>
    <col min="4391" max="4391" width="4.42578125" bestFit="1" customWidth="1"/>
    <col min="4392" max="4392" width="9.85546875" customWidth="1"/>
    <col min="4393" max="4393" width="4.42578125" bestFit="1" customWidth="1"/>
    <col min="4394" max="4394" width="4.42578125" customWidth="1"/>
    <col min="4395" max="4395" width="4.42578125" bestFit="1" customWidth="1"/>
    <col min="4396" max="4396" width="7.7109375" customWidth="1"/>
    <col min="4397" max="4397" width="4.42578125" bestFit="1" customWidth="1"/>
    <col min="4398" max="4398" width="4.42578125" customWidth="1"/>
    <col min="4399" max="4399" width="4.42578125" bestFit="1" customWidth="1"/>
    <col min="4400" max="4400" width="7.7109375" customWidth="1"/>
    <col min="4401" max="4401" width="5.5703125" customWidth="1"/>
    <col min="4402" max="4402" width="4.42578125" customWidth="1"/>
    <col min="4403" max="4403" width="5.5703125" customWidth="1"/>
    <col min="4404" max="4404" width="7.7109375" customWidth="1"/>
    <col min="4405" max="4405" width="5.5703125" customWidth="1"/>
    <col min="4406" max="4406" width="4.42578125" customWidth="1"/>
    <col min="4407" max="4407" width="5.5703125" customWidth="1"/>
    <col min="4408" max="4408" width="7.7109375" customWidth="1"/>
    <col min="4409" max="4409" width="5.5703125" customWidth="1"/>
    <col min="4410" max="4410" width="4.42578125" customWidth="1"/>
    <col min="4411" max="4411" width="5.5703125" customWidth="1"/>
    <col min="4412" max="4412" width="7.7109375" customWidth="1"/>
    <col min="4413" max="4413" width="5.5703125" customWidth="1"/>
    <col min="4414" max="4414" width="4.42578125" customWidth="1"/>
    <col min="4415" max="4415" width="5.5703125" customWidth="1"/>
    <col min="4416" max="4416" width="7.7109375" customWidth="1"/>
    <col min="4417" max="4417" width="5.5703125" customWidth="1"/>
    <col min="4418" max="4418" width="4.42578125" customWidth="1"/>
    <col min="4419" max="4419" width="5.5703125" customWidth="1"/>
    <col min="4420" max="4420" width="7.7109375" customWidth="1"/>
    <col min="4421" max="4421" width="5.5703125" customWidth="1"/>
    <col min="4422" max="4422" width="4.42578125" customWidth="1"/>
    <col min="4423" max="4423" width="5.5703125" customWidth="1"/>
    <col min="4424" max="4424" width="7.7109375" customWidth="1"/>
    <col min="4425" max="4425" width="5.5703125" customWidth="1"/>
    <col min="4426" max="4426" width="4.42578125" customWidth="1"/>
    <col min="4427" max="4427" width="5.5703125" customWidth="1"/>
    <col min="4428" max="4428" width="9.7109375" customWidth="1"/>
    <col min="4429" max="4429" width="27.85546875" customWidth="1"/>
    <col min="4430" max="4440" width="7.7109375" customWidth="1"/>
    <col min="4624" max="4625" width="4" customWidth="1"/>
    <col min="4626" max="4626" width="47" bestFit="1" customWidth="1"/>
    <col min="4627" max="4627" width="38.42578125" customWidth="1"/>
    <col min="4628" max="4628" width="7.7109375" customWidth="1"/>
    <col min="4629" max="4629" width="4.42578125" bestFit="1" customWidth="1"/>
    <col min="4630" max="4630" width="4.42578125" customWidth="1"/>
    <col min="4631" max="4631" width="4.42578125" bestFit="1" customWidth="1"/>
    <col min="4632" max="4632" width="7.7109375" customWidth="1"/>
    <col min="4633" max="4633" width="4.42578125" bestFit="1" customWidth="1"/>
    <col min="4634" max="4634" width="4.42578125" customWidth="1"/>
    <col min="4635" max="4635" width="4.42578125" bestFit="1" customWidth="1"/>
    <col min="4636" max="4636" width="7.7109375" customWidth="1"/>
    <col min="4637" max="4637" width="4.42578125" bestFit="1" customWidth="1"/>
    <col min="4638" max="4638" width="4.42578125" customWidth="1"/>
    <col min="4639" max="4639" width="4.42578125" bestFit="1" customWidth="1"/>
    <col min="4640" max="4640" width="7.7109375" customWidth="1"/>
    <col min="4641" max="4641" width="4.42578125" bestFit="1" customWidth="1"/>
    <col min="4642" max="4642" width="4.42578125" customWidth="1"/>
    <col min="4643" max="4643" width="4.42578125" bestFit="1" customWidth="1"/>
    <col min="4644" max="4644" width="7.7109375" customWidth="1"/>
    <col min="4645" max="4645" width="4.42578125" bestFit="1" customWidth="1"/>
    <col min="4646" max="4646" width="4.42578125" customWidth="1"/>
    <col min="4647" max="4647" width="4.42578125" bestFit="1" customWidth="1"/>
    <col min="4648" max="4648" width="9.85546875" customWidth="1"/>
    <col min="4649" max="4649" width="4.42578125" bestFit="1" customWidth="1"/>
    <col min="4650" max="4650" width="4.42578125" customWidth="1"/>
    <col min="4651" max="4651" width="4.42578125" bestFit="1" customWidth="1"/>
    <col min="4652" max="4652" width="7.7109375" customWidth="1"/>
    <col min="4653" max="4653" width="4.42578125" bestFit="1" customWidth="1"/>
    <col min="4654" max="4654" width="4.42578125" customWidth="1"/>
    <col min="4655" max="4655" width="4.42578125" bestFit="1" customWidth="1"/>
    <col min="4656" max="4656" width="7.7109375" customWidth="1"/>
    <col min="4657" max="4657" width="5.5703125" customWidth="1"/>
    <col min="4658" max="4658" width="4.42578125" customWidth="1"/>
    <col min="4659" max="4659" width="5.5703125" customWidth="1"/>
    <col min="4660" max="4660" width="7.7109375" customWidth="1"/>
    <col min="4661" max="4661" width="5.5703125" customWidth="1"/>
    <col min="4662" max="4662" width="4.42578125" customWidth="1"/>
    <col min="4663" max="4663" width="5.5703125" customWidth="1"/>
    <col min="4664" max="4664" width="7.7109375" customWidth="1"/>
    <col min="4665" max="4665" width="5.5703125" customWidth="1"/>
    <col min="4666" max="4666" width="4.42578125" customWidth="1"/>
    <col min="4667" max="4667" width="5.5703125" customWidth="1"/>
    <col min="4668" max="4668" width="7.7109375" customWidth="1"/>
    <col min="4669" max="4669" width="5.5703125" customWidth="1"/>
    <col min="4670" max="4670" width="4.42578125" customWidth="1"/>
    <col min="4671" max="4671" width="5.5703125" customWidth="1"/>
    <col min="4672" max="4672" width="7.7109375" customWidth="1"/>
    <col min="4673" max="4673" width="5.5703125" customWidth="1"/>
    <col min="4674" max="4674" width="4.42578125" customWidth="1"/>
    <col min="4675" max="4675" width="5.5703125" customWidth="1"/>
    <col min="4676" max="4676" width="7.7109375" customWidth="1"/>
    <col min="4677" max="4677" width="5.5703125" customWidth="1"/>
    <col min="4678" max="4678" width="4.42578125" customWidth="1"/>
    <col min="4679" max="4679" width="5.5703125" customWidth="1"/>
    <col min="4680" max="4680" width="7.7109375" customWidth="1"/>
    <col min="4681" max="4681" width="5.5703125" customWidth="1"/>
    <col min="4682" max="4682" width="4.42578125" customWidth="1"/>
    <col min="4683" max="4683" width="5.5703125" customWidth="1"/>
    <col min="4684" max="4684" width="9.7109375" customWidth="1"/>
    <col min="4685" max="4685" width="27.85546875" customWidth="1"/>
    <col min="4686" max="4696" width="7.7109375" customWidth="1"/>
    <col min="4880" max="4881" width="4" customWidth="1"/>
    <col min="4882" max="4882" width="47" bestFit="1" customWidth="1"/>
    <col min="4883" max="4883" width="38.42578125" customWidth="1"/>
    <col min="4884" max="4884" width="7.7109375" customWidth="1"/>
    <col min="4885" max="4885" width="4.42578125" bestFit="1" customWidth="1"/>
    <col min="4886" max="4886" width="4.42578125" customWidth="1"/>
    <col min="4887" max="4887" width="4.42578125" bestFit="1" customWidth="1"/>
    <col min="4888" max="4888" width="7.7109375" customWidth="1"/>
    <col min="4889" max="4889" width="4.42578125" bestFit="1" customWidth="1"/>
    <col min="4890" max="4890" width="4.42578125" customWidth="1"/>
    <col min="4891" max="4891" width="4.42578125" bestFit="1" customWidth="1"/>
    <col min="4892" max="4892" width="7.7109375" customWidth="1"/>
    <col min="4893" max="4893" width="4.42578125" bestFit="1" customWidth="1"/>
    <col min="4894" max="4894" width="4.42578125" customWidth="1"/>
    <col min="4895" max="4895" width="4.42578125" bestFit="1" customWidth="1"/>
    <col min="4896" max="4896" width="7.7109375" customWidth="1"/>
    <col min="4897" max="4897" width="4.42578125" bestFit="1" customWidth="1"/>
    <col min="4898" max="4898" width="4.42578125" customWidth="1"/>
    <col min="4899" max="4899" width="4.42578125" bestFit="1" customWidth="1"/>
    <col min="4900" max="4900" width="7.7109375" customWidth="1"/>
    <col min="4901" max="4901" width="4.42578125" bestFit="1" customWidth="1"/>
    <col min="4902" max="4902" width="4.42578125" customWidth="1"/>
    <col min="4903" max="4903" width="4.42578125" bestFit="1" customWidth="1"/>
    <col min="4904" max="4904" width="9.85546875" customWidth="1"/>
    <col min="4905" max="4905" width="4.42578125" bestFit="1" customWidth="1"/>
    <col min="4906" max="4906" width="4.42578125" customWidth="1"/>
    <col min="4907" max="4907" width="4.42578125" bestFit="1" customWidth="1"/>
    <col min="4908" max="4908" width="7.7109375" customWidth="1"/>
    <col min="4909" max="4909" width="4.42578125" bestFit="1" customWidth="1"/>
    <col min="4910" max="4910" width="4.42578125" customWidth="1"/>
    <col min="4911" max="4911" width="4.42578125" bestFit="1" customWidth="1"/>
    <col min="4912" max="4912" width="7.7109375" customWidth="1"/>
    <col min="4913" max="4913" width="5.5703125" customWidth="1"/>
    <col min="4914" max="4914" width="4.42578125" customWidth="1"/>
    <col min="4915" max="4915" width="5.5703125" customWidth="1"/>
    <col min="4916" max="4916" width="7.7109375" customWidth="1"/>
    <col min="4917" max="4917" width="5.5703125" customWidth="1"/>
    <col min="4918" max="4918" width="4.42578125" customWidth="1"/>
    <col min="4919" max="4919" width="5.5703125" customWidth="1"/>
    <col min="4920" max="4920" width="7.7109375" customWidth="1"/>
    <col min="4921" max="4921" width="5.5703125" customWidth="1"/>
    <col min="4922" max="4922" width="4.42578125" customWidth="1"/>
    <col min="4923" max="4923" width="5.5703125" customWidth="1"/>
    <col min="4924" max="4924" width="7.7109375" customWidth="1"/>
    <col min="4925" max="4925" width="5.5703125" customWidth="1"/>
    <col min="4926" max="4926" width="4.42578125" customWidth="1"/>
    <col min="4927" max="4927" width="5.5703125" customWidth="1"/>
    <col min="4928" max="4928" width="7.7109375" customWidth="1"/>
    <col min="4929" max="4929" width="5.5703125" customWidth="1"/>
    <col min="4930" max="4930" width="4.42578125" customWidth="1"/>
    <col min="4931" max="4931" width="5.5703125" customWidth="1"/>
    <col min="4932" max="4932" width="7.7109375" customWidth="1"/>
    <col min="4933" max="4933" width="5.5703125" customWidth="1"/>
    <col min="4934" max="4934" width="4.42578125" customWidth="1"/>
    <col min="4935" max="4935" width="5.5703125" customWidth="1"/>
    <col min="4936" max="4936" width="7.7109375" customWidth="1"/>
    <col min="4937" max="4937" width="5.5703125" customWidth="1"/>
    <col min="4938" max="4938" width="4.42578125" customWidth="1"/>
    <col min="4939" max="4939" width="5.5703125" customWidth="1"/>
    <col min="4940" max="4940" width="9.7109375" customWidth="1"/>
    <col min="4941" max="4941" width="27.85546875" customWidth="1"/>
    <col min="4942" max="4952" width="7.7109375" customWidth="1"/>
    <col min="5136" max="5137" width="4" customWidth="1"/>
    <col min="5138" max="5138" width="47" bestFit="1" customWidth="1"/>
    <col min="5139" max="5139" width="38.42578125" customWidth="1"/>
    <col min="5140" max="5140" width="7.7109375" customWidth="1"/>
    <col min="5141" max="5141" width="4.42578125" bestFit="1" customWidth="1"/>
    <col min="5142" max="5142" width="4.42578125" customWidth="1"/>
    <col min="5143" max="5143" width="4.42578125" bestFit="1" customWidth="1"/>
    <col min="5144" max="5144" width="7.7109375" customWidth="1"/>
    <col min="5145" max="5145" width="4.42578125" bestFit="1" customWidth="1"/>
    <col min="5146" max="5146" width="4.42578125" customWidth="1"/>
    <col min="5147" max="5147" width="4.42578125" bestFit="1" customWidth="1"/>
    <col min="5148" max="5148" width="7.7109375" customWidth="1"/>
    <col min="5149" max="5149" width="4.42578125" bestFit="1" customWidth="1"/>
    <col min="5150" max="5150" width="4.42578125" customWidth="1"/>
    <col min="5151" max="5151" width="4.42578125" bestFit="1" customWidth="1"/>
    <col min="5152" max="5152" width="7.7109375" customWidth="1"/>
    <col min="5153" max="5153" width="4.42578125" bestFit="1" customWidth="1"/>
    <col min="5154" max="5154" width="4.42578125" customWidth="1"/>
    <col min="5155" max="5155" width="4.42578125" bestFit="1" customWidth="1"/>
    <col min="5156" max="5156" width="7.7109375" customWidth="1"/>
    <col min="5157" max="5157" width="4.42578125" bestFit="1" customWidth="1"/>
    <col min="5158" max="5158" width="4.42578125" customWidth="1"/>
    <col min="5159" max="5159" width="4.42578125" bestFit="1" customWidth="1"/>
    <col min="5160" max="5160" width="9.85546875" customWidth="1"/>
    <col min="5161" max="5161" width="4.42578125" bestFit="1" customWidth="1"/>
    <col min="5162" max="5162" width="4.42578125" customWidth="1"/>
    <col min="5163" max="5163" width="4.42578125" bestFit="1" customWidth="1"/>
    <col min="5164" max="5164" width="7.7109375" customWidth="1"/>
    <col min="5165" max="5165" width="4.42578125" bestFit="1" customWidth="1"/>
    <col min="5166" max="5166" width="4.42578125" customWidth="1"/>
    <col min="5167" max="5167" width="4.42578125" bestFit="1" customWidth="1"/>
    <col min="5168" max="5168" width="7.7109375" customWidth="1"/>
    <col min="5169" max="5169" width="5.5703125" customWidth="1"/>
    <col min="5170" max="5170" width="4.42578125" customWidth="1"/>
    <col min="5171" max="5171" width="5.5703125" customWidth="1"/>
    <col min="5172" max="5172" width="7.7109375" customWidth="1"/>
    <col min="5173" max="5173" width="5.5703125" customWidth="1"/>
    <col min="5174" max="5174" width="4.42578125" customWidth="1"/>
    <col min="5175" max="5175" width="5.5703125" customWidth="1"/>
    <col min="5176" max="5176" width="7.7109375" customWidth="1"/>
    <col min="5177" max="5177" width="5.5703125" customWidth="1"/>
    <col min="5178" max="5178" width="4.42578125" customWidth="1"/>
    <col min="5179" max="5179" width="5.5703125" customWidth="1"/>
    <col min="5180" max="5180" width="7.7109375" customWidth="1"/>
    <col min="5181" max="5181" width="5.5703125" customWidth="1"/>
    <col min="5182" max="5182" width="4.42578125" customWidth="1"/>
    <col min="5183" max="5183" width="5.5703125" customWidth="1"/>
    <col min="5184" max="5184" width="7.7109375" customWidth="1"/>
    <col min="5185" max="5185" width="5.5703125" customWidth="1"/>
    <col min="5186" max="5186" width="4.42578125" customWidth="1"/>
    <col min="5187" max="5187" width="5.5703125" customWidth="1"/>
    <col min="5188" max="5188" width="7.7109375" customWidth="1"/>
    <col min="5189" max="5189" width="5.5703125" customWidth="1"/>
    <col min="5190" max="5190" width="4.42578125" customWidth="1"/>
    <col min="5191" max="5191" width="5.5703125" customWidth="1"/>
    <col min="5192" max="5192" width="7.7109375" customWidth="1"/>
    <col min="5193" max="5193" width="5.5703125" customWidth="1"/>
    <col min="5194" max="5194" width="4.42578125" customWidth="1"/>
    <col min="5195" max="5195" width="5.5703125" customWidth="1"/>
    <col min="5196" max="5196" width="9.7109375" customWidth="1"/>
    <col min="5197" max="5197" width="27.85546875" customWidth="1"/>
    <col min="5198" max="5208" width="7.7109375" customWidth="1"/>
    <col min="5392" max="5393" width="4" customWidth="1"/>
    <col min="5394" max="5394" width="47" bestFit="1" customWidth="1"/>
    <col min="5395" max="5395" width="38.42578125" customWidth="1"/>
    <col min="5396" max="5396" width="7.7109375" customWidth="1"/>
    <col min="5397" max="5397" width="4.42578125" bestFit="1" customWidth="1"/>
    <col min="5398" max="5398" width="4.42578125" customWidth="1"/>
    <col min="5399" max="5399" width="4.42578125" bestFit="1" customWidth="1"/>
    <col min="5400" max="5400" width="7.7109375" customWidth="1"/>
    <col min="5401" max="5401" width="4.42578125" bestFit="1" customWidth="1"/>
    <col min="5402" max="5402" width="4.42578125" customWidth="1"/>
    <col min="5403" max="5403" width="4.42578125" bestFit="1" customWidth="1"/>
    <col min="5404" max="5404" width="7.7109375" customWidth="1"/>
    <col min="5405" max="5405" width="4.42578125" bestFit="1" customWidth="1"/>
    <col min="5406" max="5406" width="4.42578125" customWidth="1"/>
    <col min="5407" max="5407" width="4.42578125" bestFit="1" customWidth="1"/>
    <col min="5408" max="5408" width="7.7109375" customWidth="1"/>
    <col min="5409" max="5409" width="4.42578125" bestFit="1" customWidth="1"/>
    <col min="5410" max="5410" width="4.42578125" customWidth="1"/>
    <col min="5411" max="5411" width="4.42578125" bestFit="1" customWidth="1"/>
    <col min="5412" max="5412" width="7.7109375" customWidth="1"/>
    <col min="5413" max="5413" width="4.42578125" bestFit="1" customWidth="1"/>
    <col min="5414" max="5414" width="4.42578125" customWidth="1"/>
    <col min="5415" max="5415" width="4.42578125" bestFit="1" customWidth="1"/>
    <col min="5416" max="5416" width="9.85546875" customWidth="1"/>
    <col min="5417" max="5417" width="4.42578125" bestFit="1" customWidth="1"/>
    <col min="5418" max="5418" width="4.42578125" customWidth="1"/>
    <col min="5419" max="5419" width="4.42578125" bestFit="1" customWidth="1"/>
    <col min="5420" max="5420" width="7.7109375" customWidth="1"/>
    <col min="5421" max="5421" width="4.42578125" bestFit="1" customWidth="1"/>
    <col min="5422" max="5422" width="4.42578125" customWidth="1"/>
    <col min="5423" max="5423" width="4.42578125" bestFit="1" customWidth="1"/>
    <col min="5424" max="5424" width="7.7109375" customWidth="1"/>
    <col min="5425" max="5425" width="5.5703125" customWidth="1"/>
    <col min="5426" max="5426" width="4.42578125" customWidth="1"/>
    <col min="5427" max="5427" width="5.5703125" customWidth="1"/>
    <col min="5428" max="5428" width="7.7109375" customWidth="1"/>
    <col min="5429" max="5429" width="5.5703125" customWidth="1"/>
    <col min="5430" max="5430" width="4.42578125" customWidth="1"/>
    <col min="5431" max="5431" width="5.5703125" customWidth="1"/>
    <col min="5432" max="5432" width="7.7109375" customWidth="1"/>
    <col min="5433" max="5433" width="5.5703125" customWidth="1"/>
    <col min="5434" max="5434" width="4.42578125" customWidth="1"/>
    <col min="5435" max="5435" width="5.5703125" customWidth="1"/>
    <col min="5436" max="5436" width="7.7109375" customWidth="1"/>
    <col min="5437" max="5437" width="5.5703125" customWidth="1"/>
    <col min="5438" max="5438" width="4.42578125" customWidth="1"/>
    <col min="5439" max="5439" width="5.5703125" customWidth="1"/>
    <col min="5440" max="5440" width="7.7109375" customWidth="1"/>
    <col min="5441" max="5441" width="5.5703125" customWidth="1"/>
    <col min="5442" max="5442" width="4.42578125" customWidth="1"/>
    <col min="5443" max="5443" width="5.5703125" customWidth="1"/>
    <col min="5444" max="5444" width="7.7109375" customWidth="1"/>
    <col min="5445" max="5445" width="5.5703125" customWidth="1"/>
    <col min="5446" max="5446" width="4.42578125" customWidth="1"/>
    <col min="5447" max="5447" width="5.5703125" customWidth="1"/>
    <col min="5448" max="5448" width="7.7109375" customWidth="1"/>
    <col min="5449" max="5449" width="5.5703125" customWidth="1"/>
    <col min="5450" max="5450" width="4.42578125" customWidth="1"/>
    <col min="5451" max="5451" width="5.5703125" customWidth="1"/>
    <col min="5452" max="5452" width="9.7109375" customWidth="1"/>
    <col min="5453" max="5453" width="27.85546875" customWidth="1"/>
    <col min="5454" max="5464" width="7.7109375" customWidth="1"/>
    <col min="5648" max="5649" width="4" customWidth="1"/>
    <col min="5650" max="5650" width="47" bestFit="1" customWidth="1"/>
    <col min="5651" max="5651" width="38.42578125" customWidth="1"/>
    <col min="5652" max="5652" width="7.7109375" customWidth="1"/>
    <col min="5653" max="5653" width="4.42578125" bestFit="1" customWidth="1"/>
    <col min="5654" max="5654" width="4.42578125" customWidth="1"/>
    <col min="5655" max="5655" width="4.42578125" bestFit="1" customWidth="1"/>
    <col min="5656" max="5656" width="7.7109375" customWidth="1"/>
    <col min="5657" max="5657" width="4.42578125" bestFit="1" customWidth="1"/>
    <col min="5658" max="5658" width="4.42578125" customWidth="1"/>
    <col min="5659" max="5659" width="4.42578125" bestFit="1" customWidth="1"/>
    <col min="5660" max="5660" width="7.7109375" customWidth="1"/>
    <col min="5661" max="5661" width="4.42578125" bestFit="1" customWidth="1"/>
    <col min="5662" max="5662" width="4.42578125" customWidth="1"/>
    <col min="5663" max="5663" width="4.42578125" bestFit="1" customWidth="1"/>
    <col min="5664" max="5664" width="7.7109375" customWidth="1"/>
    <col min="5665" max="5665" width="4.42578125" bestFit="1" customWidth="1"/>
    <col min="5666" max="5666" width="4.42578125" customWidth="1"/>
    <col min="5667" max="5667" width="4.42578125" bestFit="1" customWidth="1"/>
    <col min="5668" max="5668" width="7.7109375" customWidth="1"/>
    <col min="5669" max="5669" width="4.42578125" bestFit="1" customWidth="1"/>
    <col min="5670" max="5670" width="4.42578125" customWidth="1"/>
    <col min="5671" max="5671" width="4.42578125" bestFit="1" customWidth="1"/>
    <col min="5672" max="5672" width="9.85546875" customWidth="1"/>
    <col min="5673" max="5673" width="4.42578125" bestFit="1" customWidth="1"/>
    <col min="5674" max="5674" width="4.42578125" customWidth="1"/>
    <col min="5675" max="5675" width="4.42578125" bestFit="1" customWidth="1"/>
    <col min="5676" max="5676" width="7.7109375" customWidth="1"/>
    <col min="5677" max="5677" width="4.42578125" bestFit="1" customWidth="1"/>
    <col min="5678" max="5678" width="4.42578125" customWidth="1"/>
    <col min="5679" max="5679" width="4.42578125" bestFit="1" customWidth="1"/>
    <col min="5680" max="5680" width="7.7109375" customWidth="1"/>
    <col min="5681" max="5681" width="5.5703125" customWidth="1"/>
    <col min="5682" max="5682" width="4.42578125" customWidth="1"/>
    <col min="5683" max="5683" width="5.5703125" customWidth="1"/>
    <col min="5684" max="5684" width="7.7109375" customWidth="1"/>
    <col min="5685" max="5685" width="5.5703125" customWidth="1"/>
    <col min="5686" max="5686" width="4.42578125" customWidth="1"/>
    <col min="5687" max="5687" width="5.5703125" customWidth="1"/>
    <col min="5688" max="5688" width="7.7109375" customWidth="1"/>
    <col min="5689" max="5689" width="5.5703125" customWidth="1"/>
    <col min="5690" max="5690" width="4.42578125" customWidth="1"/>
    <col min="5691" max="5691" width="5.5703125" customWidth="1"/>
    <col min="5692" max="5692" width="7.7109375" customWidth="1"/>
    <col min="5693" max="5693" width="5.5703125" customWidth="1"/>
    <col min="5694" max="5694" width="4.42578125" customWidth="1"/>
    <col min="5695" max="5695" width="5.5703125" customWidth="1"/>
    <col min="5696" max="5696" width="7.7109375" customWidth="1"/>
    <col min="5697" max="5697" width="5.5703125" customWidth="1"/>
    <col min="5698" max="5698" width="4.42578125" customWidth="1"/>
    <col min="5699" max="5699" width="5.5703125" customWidth="1"/>
    <col min="5700" max="5700" width="7.7109375" customWidth="1"/>
    <col min="5701" max="5701" width="5.5703125" customWidth="1"/>
    <col min="5702" max="5702" width="4.42578125" customWidth="1"/>
    <col min="5703" max="5703" width="5.5703125" customWidth="1"/>
    <col min="5704" max="5704" width="7.7109375" customWidth="1"/>
    <col min="5705" max="5705" width="5.5703125" customWidth="1"/>
    <col min="5706" max="5706" width="4.42578125" customWidth="1"/>
    <col min="5707" max="5707" width="5.5703125" customWidth="1"/>
    <col min="5708" max="5708" width="9.7109375" customWidth="1"/>
    <col min="5709" max="5709" width="27.85546875" customWidth="1"/>
    <col min="5710" max="5720" width="7.7109375" customWidth="1"/>
    <col min="5904" max="5905" width="4" customWidth="1"/>
    <col min="5906" max="5906" width="47" bestFit="1" customWidth="1"/>
    <col min="5907" max="5907" width="38.42578125" customWidth="1"/>
    <col min="5908" max="5908" width="7.7109375" customWidth="1"/>
    <col min="5909" max="5909" width="4.42578125" bestFit="1" customWidth="1"/>
    <col min="5910" max="5910" width="4.42578125" customWidth="1"/>
    <col min="5911" max="5911" width="4.42578125" bestFit="1" customWidth="1"/>
    <col min="5912" max="5912" width="7.7109375" customWidth="1"/>
    <col min="5913" max="5913" width="4.42578125" bestFit="1" customWidth="1"/>
    <col min="5914" max="5914" width="4.42578125" customWidth="1"/>
    <col min="5915" max="5915" width="4.42578125" bestFit="1" customWidth="1"/>
    <col min="5916" max="5916" width="7.7109375" customWidth="1"/>
    <col min="5917" max="5917" width="4.42578125" bestFit="1" customWidth="1"/>
    <col min="5918" max="5918" width="4.42578125" customWidth="1"/>
    <col min="5919" max="5919" width="4.42578125" bestFit="1" customWidth="1"/>
    <col min="5920" max="5920" width="7.7109375" customWidth="1"/>
    <col min="5921" max="5921" width="4.42578125" bestFit="1" customWidth="1"/>
    <col min="5922" max="5922" width="4.42578125" customWidth="1"/>
    <col min="5923" max="5923" width="4.42578125" bestFit="1" customWidth="1"/>
    <col min="5924" max="5924" width="7.7109375" customWidth="1"/>
    <col min="5925" max="5925" width="4.42578125" bestFit="1" customWidth="1"/>
    <col min="5926" max="5926" width="4.42578125" customWidth="1"/>
    <col min="5927" max="5927" width="4.42578125" bestFit="1" customWidth="1"/>
    <col min="5928" max="5928" width="9.85546875" customWidth="1"/>
    <col min="5929" max="5929" width="4.42578125" bestFit="1" customWidth="1"/>
    <col min="5930" max="5930" width="4.42578125" customWidth="1"/>
    <col min="5931" max="5931" width="4.42578125" bestFit="1" customWidth="1"/>
    <col min="5932" max="5932" width="7.7109375" customWidth="1"/>
    <col min="5933" max="5933" width="4.42578125" bestFit="1" customWidth="1"/>
    <col min="5934" max="5934" width="4.42578125" customWidth="1"/>
    <col min="5935" max="5935" width="4.42578125" bestFit="1" customWidth="1"/>
    <col min="5936" max="5936" width="7.7109375" customWidth="1"/>
    <col min="5937" max="5937" width="5.5703125" customWidth="1"/>
    <col min="5938" max="5938" width="4.42578125" customWidth="1"/>
    <col min="5939" max="5939" width="5.5703125" customWidth="1"/>
    <col min="5940" max="5940" width="7.7109375" customWidth="1"/>
    <col min="5941" max="5941" width="5.5703125" customWidth="1"/>
    <col min="5942" max="5942" width="4.42578125" customWidth="1"/>
    <col min="5943" max="5943" width="5.5703125" customWidth="1"/>
    <col min="5944" max="5944" width="7.7109375" customWidth="1"/>
    <col min="5945" max="5945" width="5.5703125" customWidth="1"/>
    <col min="5946" max="5946" width="4.42578125" customWidth="1"/>
    <col min="5947" max="5947" width="5.5703125" customWidth="1"/>
    <col min="5948" max="5948" width="7.7109375" customWidth="1"/>
    <col min="5949" max="5949" width="5.5703125" customWidth="1"/>
    <col min="5950" max="5950" width="4.42578125" customWidth="1"/>
    <col min="5951" max="5951" width="5.5703125" customWidth="1"/>
    <col min="5952" max="5952" width="7.7109375" customWidth="1"/>
    <col min="5953" max="5953" width="5.5703125" customWidth="1"/>
    <col min="5954" max="5954" width="4.42578125" customWidth="1"/>
    <col min="5955" max="5955" width="5.5703125" customWidth="1"/>
    <col min="5956" max="5956" width="7.7109375" customWidth="1"/>
    <col min="5957" max="5957" width="5.5703125" customWidth="1"/>
    <col min="5958" max="5958" width="4.42578125" customWidth="1"/>
    <col min="5959" max="5959" width="5.5703125" customWidth="1"/>
    <col min="5960" max="5960" width="7.7109375" customWidth="1"/>
    <col min="5961" max="5961" width="5.5703125" customWidth="1"/>
    <col min="5962" max="5962" width="4.42578125" customWidth="1"/>
    <col min="5963" max="5963" width="5.5703125" customWidth="1"/>
    <col min="5964" max="5964" width="9.7109375" customWidth="1"/>
    <col min="5965" max="5965" width="27.85546875" customWidth="1"/>
    <col min="5966" max="5976" width="7.7109375" customWidth="1"/>
    <col min="6160" max="6161" width="4" customWidth="1"/>
    <col min="6162" max="6162" width="47" bestFit="1" customWidth="1"/>
    <col min="6163" max="6163" width="38.42578125" customWidth="1"/>
    <col min="6164" max="6164" width="7.7109375" customWidth="1"/>
    <col min="6165" max="6165" width="4.42578125" bestFit="1" customWidth="1"/>
    <col min="6166" max="6166" width="4.42578125" customWidth="1"/>
    <col min="6167" max="6167" width="4.42578125" bestFit="1" customWidth="1"/>
    <col min="6168" max="6168" width="7.7109375" customWidth="1"/>
    <col min="6169" max="6169" width="4.42578125" bestFit="1" customWidth="1"/>
    <col min="6170" max="6170" width="4.42578125" customWidth="1"/>
    <col min="6171" max="6171" width="4.42578125" bestFit="1" customWidth="1"/>
    <col min="6172" max="6172" width="7.7109375" customWidth="1"/>
    <col min="6173" max="6173" width="4.42578125" bestFit="1" customWidth="1"/>
    <col min="6174" max="6174" width="4.42578125" customWidth="1"/>
    <col min="6175" max="6175" width="4.42578125" bestFit="1" customWidth="1"/>
    <col min="6176" max="6176" width="7.7109375" customWidth="1"/>
    <col min="6177" max="6177" width="4.42578125" bestFit="1" customWidth="1"/>
    <col min="6178" max="6178" width="4.42578125" customWidth="1"/>
    <col min="6179" max="6179" width="4.42578125" bestFit="1" customWidth="1"/>
    <col min="6180" max="6180" width="7.7109375" customWidth="1"/>
    <col min="6181" max="6181" width="4.42578125" bestFit="1" customWidth="1"/>
    <col min="6182" max="6182" width="4.42578125" customWidth="1"/>
    <col min="6183" max="6183" width="4.42578125" bestFit="1" customWidth="1"/>
    <col min="6184" max="6184" width="9.85546875" customWidth="1"/>
    <col min="6185" max="6185" width="4.42578125" bestFit="1" customWidth="1"/>
    <col min="6186" max="6186" width="4.42578125" customWidth="1"/>
    <col min="6187" max="6187" width="4.42578125" bestFit="1" customWidth="1"/>
    <col min="6188" max="6188" width="7.7109375" customWidth="1"/>
    <col min="6189" max="6189" width="4.42578125" bestFit="1" customWidth="1"/>
    <col min="6190" max="6190" width="4.42578125" customWidth="1"/>
    <col min="6191" max="6191" width="4.42578125" bestFit="1" customWidth="1"/>
    <col min="6192" max="6192" width="7.7109375" customWidth="1"/>
    <col min="6193" max="6193" width="5.5703125" customWidth="1"/>
    <col min="6194" max="6194" width="4.42578125" customWidth="1"/>
    <col min="6195" max="6195" width="5.5703125" customWidth="1"/>
    <col min="6196" max="6196" width="7.7109375" customWidth="1"/>
    <col min="6197" max="6197" width="5.5703125" customWidth="1"/>
    <col min="6198" max="6198" width="4.42578125" customWidth="1"/>
    <col min="6199" max="6199" width="5.5703125" customWidth="1"/>
    <col min="6200" max="6200" width="7.7109375" customWidth="1"/>
    <col min="6201" max="6201" width="5.5703125" customWidth="1"/>
    <col min="6202" max="6202" width="4.42578125" customWidth="1"/>
    <col min="6203" max="6203" width="5.5703125" customWidth="1"/>
    <col min="6204" max="6204" width="7.7109375" customWidth="1"/>
    <col min="6205" max="6205" width="5.5703125" customWidth="1"/>
    <col min="6206" max="6206" width="4.42578125" customWidth="1"/>
    <col min="6207" max="6207" width="5.5703125" customWidth="1"/>
    <col min="6208" max="6208" width="7.7109375" customWidth="1"/>
    <col min="6209" max="6209" width="5.5703125" customWidth="1"/>
    <col min="6210" max="6210" width="4.42578125" customWidth="1"/>
    <col min="6211" max="6211" width="5.5703125" customWidth="1"/>
    <col min="6212" max="6212" width="7.7109375" customWidth="1"/>
    <col min="6213" max="6213" width="5.5703125" customWidth="1"/>
    <col min="6214" max="6214" width="4.42578125" customWidth="1"/>
    <col min="6215" max="6215" width="5.5703125" customWidth="1"/>
    <col min="6216" max="6216" width="7.7109375" customWidth="1"/>
    <col min="6217" max="6217" width="5.5703125" customWidth="1"/>
    <col min="6218" max="6218" width="4.42578125" customWidth="1"/>
    <col min="6219" max="6219" width="5.5703125" customWidth="1"/>
    <col min="6220" max="6220" width="9.7109375" customWidth="1"/>
    <col min="6221" max="6221" width="27.85546875" customWidth="1"/>
    <col min="6222" max="6232" width="7.7109375" customWidth="1"/>
    <col min="6416" max="6417" width="4" customWidth="1"/>
    <col min="6418" max="6418" width="47" bestFit="1" customWidth="1"/>
    <col min="6419" max="6419" width="38.42578125" customWidth="1"/>
    <col min="6420" max="6420" width="7.7109375" customWidth="1"/>
    <col min="6421" max="6421" width="4.42578125" bestFit="1" customWidth="1"/>
    <col min="6422" max="6422" width="4.42578125" customWidth="1"/>
    <col min="6423" max="6423" width="4.42578125" bestFit="1" customWidth="1"/>
    <col min="6424" max="6424" width="7.7109375" customWidth="1"/>
    <col min="6425" max="6425" width="4.42578125" bestFit="1" customWidth="1"/>
    <col min="6426" max="6426" width="4.42578125" customWidth="1"/>
    <col min="6427" max="6427" width="4.42578125" bestFit="1" customWidth="1"/>
    <col min="6428" max="6428" width="7.7109375" customWidth="1"/>
    <col min="6429" max="6429" width="4.42578125" bestFit="1" customWidth="1"/>
    <col min="6430" max="6430" width="4.42578125" customWidth="1"/>
    <col min="6431" max="6431" width="4.42578125" bestFit="1" customWidth="1"/>
    <col min="6432" max="6432" width="7.7109375" customWidth="1"/>
    <col min="6433" max="6433" width="4.42578125" bestFit="1" customWidth="1"/>
    <col min="6434" max="6434" width="4.42578125" customWidth="1"/>
    <col min="6435" max="6435" width="4.42578125" bestFit="1" customWidth="1"/>
    <col min="6436" max="6436" width="7.7109375" customWidth="1"/>
    <col min="6437" max="6437" width="4.42578125" bestFit="1" customWidth="1"/>
    <col min="6438" max="6438" width="4.42578125" customWidth="1"/>
    <col min="6439" max="6439" width="4.42578125" bestFit="1" customWidth="1"/>
    <col min="6440" max="6440" width="9.85546875" customWidth="1"/>
    <col min="6441" max="6441" width="4.42578125" bestFit="1" customWidth="1"/>
    <col min="6442" max="6442" width="4.42578125" customWidth="1"/>
    <col min="6443" max="6443" width="4.42578125" bestFit="1" customWidth="1"/>
    <col min="6444" max="6444" width="7.7109375" customWidth="1"/>
    <col min="6445" max="6445" width="4.42578125" bestFit="1" customWidth="1"/>
    <col min="6446" max="6446" width="4.42578125" customWidth="1"/>
    <col min="6447" max="6447" width="4.42578125" bestFit="1" customWidth="1"/>
    <col min="6448" max="6448" width="7.7109375" customWidth="1"/>
    <col min="6449" max="6449" width="5.5703125" customWidth="1"/>
    <col min="6450" max="6450" width="4.42578125" customWidth="1"/>
    <col min="6451" max="6451" width="5.5703125" customWidth="1"/>
    <col min="6452" max="6452" width="7.7109375" customWidth="1"/>
    <col min="6453" max="6453" width="5.5703125" customWidth="1"/>
    <col min="6454" max="6454" width="4.42578125" customWidth="1"/>
    <col min="6455" max="6455" width="5.5703125" customWidth="1"/>
    <col min="6456" max="6456" width="7.7109375" customWidth="1"/>
    <col min="6457" max="6457" width="5.5703125" customWidth="1"/>
    <col min="6458" max="6458" width="4.42578125" customWidth="1"/>
    <col min="6459" max="6459" width="5.5703125" customWidth="1"/>
    <col min="6460" max="6460" width="7.7109375" customWidth="1"/>
    <col min="6461" max="6461" width="5.5703125" customWidth="1"/>
    <col min="6462" max="6462" width="4.42578125" customWidth="1"/>
    <col min="6463" max="6463" width="5.5703125" customWidth="1"/>
    <col min="6464" max="6464" width="7.7109375" customWidth="1"/>
    <col min="6465" max="6465" width="5.5703125" customWidth="1"/>
    <col min="6466" max="6466" width="4.42578125" customWidth="1"/>
    <col min="6467" max="6467" width="5.5703125" customWidth="1"/>
    <col min="6468" max="6468" width="7.7109375" customWidth="1"/>
    <col min="6469" max="6469" width="5.5703125" customWidth="1"/>
    <col min="6470" max="6470" width="4.42578125" customWidth="1"/>
    <col min="6471" max="6471" width="5.5703125" customWidth="1"/>
    <col min="6472" max="6472" width="7.7109375" customWidth="1"/>
    <col min="6473" max="6473" width="5.5703125" customWidth="1"/>
    <col min="6474" max="6474" width="4.42578125" customWidth="1"/>
    <col min="6475" max="6475" width="5.5703125" customWidth="1"/>
    <col min="6476" max="6476" width="9.7109375" customWidth="1"/>
    <col min="6477" max="6477" width="27.85546875" customWidth="1"/>
    <col min="6478" max="6488" width="7.7109375" customWidth="1"/>
    <col min="6672" max="6673" width="4" customWidth="1"/>
    <col min="6674" max="6674" width="47" bestFit="1" customWidth="1"/>
    <col min="6675" max="6675" width="38.42578125" customWidth="1"/>
    <col min="6676" max="6676" width="7.7109375" customWidth="1"/>
    <col min="6677" max="6677" width="4.42578125" bestFit="1" customWidth="1"/>
    <col min="6678" max="6678" width="4.42578125" customWidth="1"/>
    <col min="6679" max="6679" width="4.42578125" bestFit="1" customWidth="1"/>
    <col min="6680" max="6680" width="7.7109375" customWidth="1"/>
    <col min="6681" max="6681" width="4.42578125" bestFit="1" customWidth="1"/>
    <col min="6682" max="6682" width="4.42578125" customWidth="1"/>
    <col min="6683" max="6683" width="4.42578125" bestFit="1" customWidth="1"/>
    <col min="6684" max="6684" width="7.7109375" customWidth="1"/>
    <col min="6685" max="6685" width="4.42578125" bestFit="1" customWidth="1"/>
    <col min="6686" max="6686" width="4.42578125" customWidth="1"/>
    <col min="6687" max="6687" width="4.42578125" bestFit="1" customWidth="1"/>
    <col min="6688" max="6688" width="7.7109375" customWidth="1"/>
    <col min="6689" max="6689" width="4.42578125" bestFit="1" customWidth="1"/>
    <col min="6690" max="6690" width="4.42578125" customWidth="1"/>
    <col min="6691" max="6691" width="4.42578125" bestFit="1" customWidth="1"/>
    <col min="6692" max="6692" width="7.7109375" customWidth="1"/>
    <col min="6693" max="6693" width="4.42578125" bestFit="1" customWidth="1"/>
    <col min="6694" max="6694" width="4.42578125" customWidth="1"/>
    <col min="6695" max="6695" width="4.42578125" bestFit="1" customWidth="1"/>
    <col min="6696" max="6696" width="9.85546875" customWidth="1"/>
    <col min="6697" max="6697" width="4.42578125" bestFit="1" customWidth="1"/>
    <col min="6698" max="6698" width="4.42578125" customWidth="1"/>
    <col min="6699" max="6699" width="4.42578125" bestFit="1" customWidth="1"/>
    <col min="6700" max="6700" width="7.7109375" customWidth="1"/>
    <col min="6701" max="6701" width="4.42578125" bestFit="1" customWidth="1"/>
    <col min="6702" max="6702" width="4.42578125" customWidth="1"/>
    <col min="6703" max="6703" width="4.42578125" bestFit="1" customWidth="1"/>
    <col min="6704" max="6704" width="7.7109375" customWidth="1"/>
    <col min="6705" max="6705" width="5.5703125" customWidth="1"/>
    <col min="6706" max="6706" width="4.42578125" customWidth="1"/>
    <col min="6707" max="6707" width="5.5703125" customWidth="1"/>
    <col min="6708" max="6708" width="7.7109375" customWidth="1"/>
    <col min="6709" max="6709" width="5.5703125" customWidth="1"/>
    <col min="6710" max="6710" width="4.42578125" customWidth="1"/>
    <col min="6711" max="6711" width="5.5703125" customWidth="1"/>
    <col min="6712" max="6712" width="7.7109375" customWidth="1"/>
    <col min="6713" max="6713" width="5.5703125" customWidth="1"/>
    <col min="6714" max="6714" width="4.42578125" customWidth="1"/>
    <col min="6715" max="6715" width="5.5703125" customWidth="1"/>
    <col min="6716" max="6716" width="7.7109375" customWidth="1"/>
    <col min="6717" max="6717" width="5.5703125" customWidth="1"/>
    <col min="6718" max="6718" width="4.42578125" customWidth="1"/>
    <col min="6719" max="6719" width="5.5703125" customWidth="1"/>
    <col min="6720" max="6720" width="7.7109375" customWidth="1"/>
    <col min="6721" max="6721" width="5.5703125" customWidth="1"/>
    <col min="6722" max="6722" width="4.42578125" customWidth="1"/>
    <col min="6723" max="6723" width="5.5703125" customWidth="1"/>
    <col min="6724" max="6724" width="7.7109375" customWidth="1"/>
    <col min="6725" max="6725" width="5.5703125" customWidth="1"/>
    <col min="6726" max="6726" width="4.42578125" customWidth="1"/>
    <col min="6727" max="6727" width="5.5703125" customWidth="1"/>
    <col min="6728" max="6728" width="7.7109375" customWidth="1"/>
    <col min="6729" max="6729" width="5.5703125" customWidth="1"/>
    <col min="6730" max="6730" width="4.42578125" customWidth="1"/>
    <col min="6731" max="6731" width="5.5703125" customWidth="1"/>
    <col min="6732" max="6732" width="9.7109375" customWidth="1"/>
    <col min="6733" max="6733" width="27.85546875" customWidth="1"/>
    <col min="6734" max="6744" width="7.7109375" customWidth="1"/>
    <col min="6928" max="6929" width="4" customWidth="1"/>
    <col min="6930" max="6930" width="47" bestFit="1" customWidth="1"/>
    <col min="6931" max="6931" width="38.42578125" customWidth="1"/>
    <col min="6932" max="6932" width="7.7109375" customWidth="1"/>
    <col min="6933" max="6933" width="4.42578125" bestFit="1" customWidth="1"/>
    <col min="6934" max="6934" width="4.42578125" customWidth="1"/>
    <col min="6935" max="6935" width="4.42578125" bestFit="1" customWidth="1"/>
    <col min="6936" max="6936" width="7.7109375" customWidth="1"/>
    <col min="6937" max="6937" width="4.42578125" bestFit="1" customWidth="1"/>
    <col min="6938" max="6938" width="4.42578125" customWidth="1"/>
    <col min="6939" max="6939" width="4.42578125" bestFit="1" customWidth="1"/>
    <col min="6940" max="6940" width="7.7109375" customWidth="1"/>
    <col min="6941" max="6941" width="4.42578125" bestFit="1" customWidth="1"/>
    <col min="6942" max="6942" width="4.42578125" customWidth="1"/>
    <col min="6943" max="6943" width="4.42578125" bestFit="1" customWidth="1"/>
    <col min="6944" max="6944" width="7.7109375" customWidth="1"/>
    <col min="6945" max="6945" width="4.42578125" bestFit="1" customWidth="1"/>
    <col min="6946" max="6946" width="4.42578125" customWidth="1"/>
    <col min="6947" max="6947" width="4.42578125" bestFit="1" customWidth="1"/>
    <col min="6948" max="6948" width="7.7109375" customWidth="1"/>
    <col min="6949" max="6949" width="4.42578125" bestFit="1" customWidth="1"/>
    <col min="6950" max="6950" width="4.42578125" customWidth="1"/>
    <col min="6951" max="6951" width="4.42578125" bestFit="1" customWidth="1"/>
    <col min="6952" max="6952" width="9.85546875" customWidth="1"/>
    <col min="6953" max="6953" width="4.42578125" bestFit="1" customWidth="1"/>
    <col min="6954" max="6954" width="4.42578125" customWidth="1"/>
    <col min="6955" max="6955" width="4.42578125" bestFit="1" customWidth="1"/>
    <col min="6956" max="6956" width="7.7109375" customWidth="1"/>
    <col min="6957" max="6957" width="4.42578125" bestFit="1" customWidth="1"/>
    <col min="6958" max="6958" width="4.42578125" customWidth="1"/>
    <col min="6959" max="6959" width="4.42578125" bestFit="1" customWidth="1"/>
    <col min="6960" max="6960" width="7.7109375" customWidth="1"/>
    <col min="6961" max="6961" width="5.5703125" customWidth="1"/>
    <col min="6962" max="6962" width="4.42578125" customWidth="1"/>
    <col min="6963" max="6963" width="5.5703125" customWidth="1"/>
    <col min="6964" max="6964" width="7.7109375" customWidth="1"/>
    <col min="6965" max="6965" width="5.5703125" customWidth="1"/>
    <col min="6966" max="6966" width="4.42578125" customWidth="1"/>
    <col min="6967" max="6967" width="5.5703125" customWidth="1"/>
    <col min="6968" max="6968" width="7.7109375" customWidth="1"/>
    <col min="6969" max="6969" width="5.5703125" customWidth="1"/>
    <col min="6970" max="6970" width="4.42578125" customWidth="1"/>
    <col min="6971" max="6971" width="5.5703125" customWidth="1"/>
    <col min="6972" max="6972" width="7.7109375" customWidth="1"/>
    <col min="6973" max="6973" width="5.5703125" customWidth="1"/>
    <col min="6974" max="6974" width="4.42578125" customWidth="1"/>
    <col min="6975" max="6975" width="5.5703125" customWidth="1"/>
    <col min="6976" max="6976" width="7.7109375" customWidth="1"/>
    <col min="6977" max="6977" width="5.5703125" customWidth="1"/>
    <col min="6978" max="6978" width="4.42578125" customWidth="1"/>
    <col min="6979" max="6979" width="5.5703125" customWidth="1"/>
    <col min="6980" max="6980" width="7.7109375" customWidth="1"/>
    <col min="6981" max="6981" width="5.5703125" customWidth="1"/>
    <col min="6982" max="6982" width="4.42578125" customWidth="1"/>
    <col min="6983" max="6983" width="5.5703125" customWidth="1"/>
    <col min="6984" max="6984" width="7.7109375" customWidth="1"/>
    <col min="6985" max="6985" width="5.5703125" customWidth="1"/>
    <col min="6986" max="6986" width="4.42578125" customWidth="1"/>
    <col min="6987" max="6987" width="5.5703125" customWidth="1"/>
    <col min="6988" max="6988" width="9.7109375" customWidth="1"/>
    <col min="6989" max="6989" width="27.85546875" customWidth="1"/>
    <col min="6990" max="7000" width="7.7109375" customWidth="1"/>
    <col min="7184" max="7185" width="4" customWidth="1"/>
    <col min="7186" max="7186" width="47" bestFit="1" customWidth="1"/>
    <col min="7187" max="7187" width="38.42578125" customWidth="1"/>
    <col min="7188" max="7188" width="7.7109375" customWidth="1"/>
    <col min="7189" max="7189" width="4.42578125" bestFit="1" customWidth="1"/>
    <col min="7190" max="7190" width="4.42578125" customWidth="1"/>
    <col min="7191" max="7191" width="4.42578125" bestFit="1" customWidth="1"/>
    <col min="7192" max="7192" width="7.7109375" customWidth="1"/>
    <col min="7193" max="7193" width="4.42578125" bestFit="1" customWidth="1"/>
    <col min="7194" max="7194" width="4.42578125" customWidth="1"/>
    <col min="7195" max="7195" width="4.42578125" bestFit="1" customWidth="1"/>
    <col min="7196" max="7196" width="7.7109375" customWidth="1"/>
    <col min="7197" max="7197" width="4.42578125" bestFit="1" customWidth="1"/>
    <col min="7198" max="7198" width="4.42578125" customWidth="1"/>
    <col min="7199" max="7199" width="4.42578125" bestFit="1" customWidth="1"/>
    <col min="7200" max="7200" width="7.7109375" customWidth="1"/>
    <col min="7201" max="7201" width="4.42578125" bestFit="1" customWidth="1"/>
    <col min="7202" max="7202" width="4.42578125" customWidth="1"/>
    <col min="7203" max="7203" width="4.42578125" bestFit="1" customWidth="1"/>
    <col min="7204" max="7204" width="7.7109375" customWidth="1"/>
    <col min="7205" max="7205" width="4.42578125" bestFit="1" customWidth="1"/>
    <col min="7206" max="7206" width="4.42578125" customWidth="1"/>
    <col min="7207" max="7207" width="4.42578125" bestFit="1" customWidth="1"/>
    <col min="7208" max="7208" width="9.85546875" customWidth="1"/>
    <col min="7209" max="7209" width="4.42578125" bestFit="1" customWidth="1"/>
    <col min="7210" max="7210" width="4.42578125" customWidth="1"/>
    <col min="7211" max="7211" width="4.42578125" bestFit="1" customWidth="1"/>
    <col min="7212" max="7212" width="7.7109375" customWidth="1"/>
    <col min="7213" max="7213" width="4.42578125" bestFit="1" customWidth="1"/>
    <col min="7214" max="7214" width="4.42578125" customWidth="1"/>
    <col min="7215" max="7215" width="4.42578125" bestFit="1" customWidth="1"/>
    <col min="7216" max="7216" width="7.7109375" customWidth="1"/>
    <col min="7217" max="7217" width="5.5703125" customWidth="1"/>
    <col min="7218" max="7218" width="4.42578125" customWidth="1"/>
    <col min="7219" max="7219" width="5.5703125" customWidth="1"/>
    <col min="7220" max="7220" width="7.7109375" customWidth="1"/>
    <col min="7221" max="7221" width="5.5703125" customWidth="1"/>
    <col min="7222" max="7222" width="4.42578125" customWidth="1"/>
    <col min="7223" max="7223" width="5.5703125" customWidth="1"/>
    <col min="7224" max="7224" width="7.7109375" customWidth="1"/>
    <col min="7225" max="7225" width="5.5703125" customWidth="1"/>
    <col min="7226" max="7226" width="4.42578125" customWidth="1"/>
    <col min="7227" max="7227" width="5.5703125" customWidth="1"/>
    <col min="7228" max="7228" width="7.7109375" customWidth="1"/>
    <col min="7229" max="7229" width="5.5703125" customWidth="1"/>
    <col min="7230" max="7230" width="4.42578125" customWidth="1"/>
    <col min="7231" max="7231" width="5.5703125" customWidth="1"/>
    <col min="7232" max="7232" width="7.7109375" customWidth="1"/>
    <col min="7233" max="7233" width="5.5703125" customWidth="1"/>
    <col min="7234" max="7234" width="4.42578125" customWidth="1"/>
    <col min="7235" max="7235" width="5.5703125" customWidth="1"/>
    <col min="7236" max="7236" width="7.7109375" customWidth="1"/>
    <col min="7237" max="7237" width="5.5703125" customWidth="1"/>
    <col min="7238" max="7238" width="4.42578125" customWidth="1"/>
    <col min="7239" max="7239" width="5.5703125" customWidth="1"/>
    <col min="7240" max="7240" width="7.7109375" customWidth="1"/>
    <col min="7241" max="7241" width="5.5703125" customWidth="1"/>
    <col min="7242" max="7242" width="4.42578125" customWidth="1"/>
    <col min="7243" max="7243" width="5.5703125" customWidth="1"/>
    <col min="7244" max="7244" width="9.7109375" customWidth="1"/>
    <col min="7245" max="7245" width="27.85546875" customWidth="1"/>
    <col min="7246" max="7256" width="7.7109375" customWidth="1"/>
    <col min="7440" max="7441" width="4" customWidth="1"/>
    <col min="7442" max="7442" width="47" bestFit="1" customWidth="1"/>
    <col min="7443" max="7443" width="38.42578125" customWidth="1"/>
    <col min="7444" max="7444" width="7.7109375" customWidth="1"/>
    <col min="7445" max="7445" width="4.42578125" bestFit="1" customWidth="1"/>
    <col min="7446" max="7446" width="4.42578125" customWidth="1"/>
    <col min="7447" max="7447" width="4.42578125" bestFit="1" customWidth="1"/>
    <col min="7448" max="7448" width="7.7109375" customWidth="1"/>
    <col min="7449" max="7449" width="4.42578125" bestFit="1" customWidth="1"/>
    <col min="7450" max="7450" width="4.42578125" customWidth="1"/>
    <col min="7451" max="7451" width="4.42578125" bestFit="1" customWidth="1"/>
    <col min="7452" max="7452" width="7.7109375" customWidth="1"/>
    <col min="7453" max="7453" width="4.42578125" bestFit="1" customWidth="1"/>
    <col min="7454" max="7454" width="4.42578125" customWidth="1"/>
    <col min="7455" max="7455" width="4.42578125" bestFit="1" customWidth="1"/>
    <col min="7456" max="7456" width="7.7109375" customWidth="1"/>
    <col min="7457" max="7457" width="4.42578125" bestFit="1" customWidth="1"/>
    <col min="7458" max="7458" width="4.42578125" customWidth="1"/>
    <col min="7459" max="7459" width="4.42578125" bestFit="1" customWidth="1"/>
    <col min="7460" max="7460" width="7.7109375" customWidth="1"/>
    <col min="7461" max="7461" width="4.42578125" bestFit="1" customWidth="1"/>
    <col min="7462" max="7462" width="4.42578125" customWidth="1"/>
    <col min="7463" max="7463" width="4.42578125" bestFit="1" customWidth="1"/>
    <col min="7464" max="7464" width="9.85546875" customWidth="1"/>
    <col min="7465" max="7465" width="4.42578125" bestFit="1" customWidth="1"/>
    <col min="7466" max="7466" width="4.42578125" customWidth="1"/>
    <col min="7467" max="7467" width="4.42578125" bestFit="1" customWidth="1"/>
    <col min="7468" max="7468" width="7.7109375" customWidth="1"/>
    <col min="7469" max="7469" width="4.42578125" bestFit="1" customWidth="1"/>
    <col min="7470" max="7470" width="4.42578125" customWidth="1"/>
    <col min="7471" max="7471" width="4.42578125" bestFit="1" customWidth="1"/>
    <col min="7472" max="7472" width="7.7109375" customWidth="1"/>
    <col min="7473" max="7473" width="5.5703125" customWidth="1"/>
    <col min="7474" max="7474" width="4.42578125" customWidth="1"/>
    <col min="7475" max="7475" width="5.5703125" customWidth="1"/>
    <col min="7476" max="7476" width="7.7109375" customWidth="1"/>
    <col min="7477" max="7477" width="5.5703125" customWidth="1"/>
    <col min="7478" max="7478" width="4.42578125" customWidth="1"/>
    <col min="7479" max="7479" width="5.5703125" customWidth="1"/>
    <col min="7480" max="7480" width="7.7109375" customWidth="1"/>
    <col min="7481" max="7481" width="5.5703125" customWidth="1"/>
    <col min="7482" max="7482" width="4.42578125" customWidth="1"/>
    <col min="7483" max="7483" width="5.5703125" customWidth="1"/>
    <col min="7484" max="7484" width="7.7109375" customWidth="1"/>
    <col min="7485" max="7485" width="5.5703125" customWidth="1"/>
    <col min="7486" max="7486" width="4.42578125" customWidth="1"/>
    <col min="7487" max="7487" width="5.5703125" customWidth="1"/>
    <col min="7488" max="7488" width="7.7109375" customWidth="1"/>
    <col min="7489" max="7489" width="5.5703125" customWidth="1"/>
    <col min="7490" max="7490" width="4.42578125" customWidth="1"/>
    <col min="7491" max="7491" width="5.5703125" customWidth="1"/>
    <col min="7492" max="7492" width="7.7109375" customWidth="1"/>
    <col min="7493" max="7493" width="5.5703125" customWidth="1"/>
    <col min="7494" max="7494" width="4.42578125" customWidth="1"/>
    <col min="7495" max="7495" width="5.5703125" customWidth="1"/>
    <col min="7496" max="7496" width="7.7109375" customWidth="1"/>
    <col min="7497" max="7497" width="5.5703125" customWidth="1"/>
    <col min="7498" max="7498" width="4.42578125" customWidth="1"/>
    <col min="7499" max="7499" width="5.5703125" customWidth="1"/>
    <col min="7500" max="7500" width="9.7109375" customWidth="1"/>
    <col min="7501" max="7501" width="27.85546875" customWidth="1"/>
    <col min="7502" max="7512" width="7.7109375" customWidth="1"/>
    <col min="7696" max="7697" width="4" customWidth="1"/>
    <col min="7698" max="7698" width="47" bestFit="1" customWidth="1"/>
    <col min="7699" max="7699" width="38.42578125" customWidth="1"/>
    <col min="7700" max="7700" width="7.7109375" customWidth="1"/>
    <col min="7701" max="7701" width="4.42578125" bestFit="1" customWidth="1"/>
    <col min="7702" max="7702" width="4.42578125" customWidth="1"/>
    <col min="7703" max="7703" width="4.42578125" bestFit="1" customWidth="1"/>
    <col min="7704" max="7704" width="7.7109375" customWidth="1"/>
    <col min="7705" max="7705" width="4.42578125" bestFit="1" customWidth="1"/>
    <col min="7706" max="7706" width="4.42578125" customWidth="1"/>
    <col min="7707" max="7707" width="4.42578125" bestFit="1" customWidth="1"/>
    <col min="7708" max="7708" width="7.7109375" customWidth="1"/>
    <col min="7709" max="7709" width="4.42578125" bestFit="1" customWidth="1"/>
    <col min="7710" max="7710" width="4.42578125" customWidth="1"/>
    <col min="7711" max="7711" width="4.42578125" bestFit="1" customWidth="1"/>
    <col min="7712" max="7712" width="7.7109375" customWidth="1"/>
    <col min="7713" max="7713" width="4.42578125" bestFit="1" customWidth="1"/>
    <col min="7714" max="7714" width="4.42578125" customWidth="1"/>
    <col min="7715" max="7715" width="4.42578125" bestFit="1" customWidth="1"/>
    <col min="7716" max="7716" width="7.7109375" customWidth="1"/>
    <col min="7717" max="7717" width="4.42578125" bestFit="1" customWidth="1"/>
    <col min="7718" max="7718" width="4.42578125" customWidth="1"/>
    <col min="7719" max="7719" width="4.42578125" bestFit="1" customWidth="1"/>
    <col min="7720" max="7720" width="9.85546875" customWidth="1"/>
    <col min="7721" max="7721" width="4.42578125" bestFit="1" customWidth="1"/>
    <col min="7722" max="7722" width="4.42578125" customWidth="1"/>
    <col min="7723" max="7723" width="4.42578125" bestFit="1" customWidth="1"/>
    <col min="7724" max="7724" width="7.7109375" customWidth="1"/>
    <col min="7725" max="7725" width="4.42578125" bestFit="1" customWidth="1"/>
    <col min="7726" max="7726" width="4.42578125" customWidth="1"/>
    <col min="7727" max="7727" width="4.42578125" bestFit="1" customWidth="1"/>
    <col min="7728" max="7728" width="7.7109375" customWidth="1"/>
    <col min="7729" max="7729" width="5.5703125" customWidth="1"/>
    <col min="7730" max="7730" width="4.42578125" customWidth="1"/>
    <col min="7731" max="7731" width="5.5703125" customWidth="1"/>
    <col min="7732" max="7732" width="7.7109375" customWidth="1"/>
    <col min="7733" max="7733" width="5.5703125" customWidth="1"/>
    <col min="7734" max="7734" width="4.42578125" customWidth="1"/>
    <col min="7735" max="7735" width="5.5703125" customWidth="1"/>
    <col min="7736" max="7736" width="7.7109375" customWidth="1"/>
    <col min="7737" max="7737" width="5.5703125" customWidth="1"/>
    <col min="7738" max="7738" width="4.42578125" customWidth="1"/>
    <col min="7739" max="7739" width="5.5703125" customWidth="1"/>
    <col min="7740" max="7740" width="7.7109375" customWidth="1"/>
    <col min="7741" max="7741" width="5.5703125" customWidth="1"/>
    <col min="7742" max="7742" width="4.42578125" customWidth="1"/>
    <col min="7743" max="7743" width="5.5703125" customWidth="1"/>
    <col min="7744" max="7744" width="7.7109375" customWidth="1"/>
    <col min="7745" max="7745" width="5.5703125" customWidth="1"/>
    <col min="7746" max="7746" width="4.42578125" customWidth="1"/>
    <col min="7747" max="7747" width="5.5703125" customWidth="1"/>
    <col min="7748" max="7748" width="7.7109375" customWidth="1"/>
    <col min="7749" max="7749" width="5.5703125" customWidth="1"/>
    <col min="7750" max="7750" width="4.42578125" customWidth="1"/>
    <col min="7751" max="7751" width="5.5703125" customWidth="1"/>
    <col min="7752" max="7752" width="7.7109375" customWidth="1"/>
    <col min="7753" max="7753" width="5.5703125" customWidth="1"/>
    <col min="7754" max="7754" width="4.42578125" customWidth="1"/>
    <col min="7755" max="7755" width="5.5703125" customWidth="1"/>
    <col min="7756" max="7756" width="9.7109375" customWidth="1"/>
    <col min="7757" max="7757" width="27.85546875" customWidth="1"/>
    <col min="7758" max="7768" width="7.7109375" customWidth="1"/>
    <col min="7952" max="7953" width="4" customWidth="1"/>
    <col min="7954" max="7954" width="47" bestFit="1" customWidth="1"/>
    <col min="7955" max="7955" width="38.42578125" customWidth="1"/>
    <col min="7956" max="7956" width="7.7109375" customWidth="1"/>
    <col min="7957" max="7957" width="4.42578125" bestFit="1" customWidth="1"/>
    <col min="7958" max="7958" width="4.42578125" customWidth="1"/>
    <col min="7959" max="7959" width="4.42578125" bestFit="1" customWidth="1"/>
    <col min="7960" max="7960" width="7.7109375" customWidth="1"/>
    <col min="7961" max="7961" width="4.42578125" bestFit="1" customWidth="1"/>
    <col min="7962" max="7962" width="4.42578125" customWidth="1"/>
    <col min="7963" max="7963" width="4.42578125" bestFit="1" customWidth="1"/>
    <col min="7964" max="7964" width="7.7109375" customWidth="1"/>
    <col min="7965" max="7965" width="4.42578125" bestFit="1" customWidth="1"/>
    <col min="7966" max="7966" width="4.42578125" customWidth="1"/>
    <col min="7967" max="7967" width="4.42578125" bestFit="1" customWidth="1"/>
    <col min="7968" max="7968" width="7.7109375" customWidth="1"/>
    <col min="7969" max="7969" width="4.42578125" bestFit="1" customWidth="1"/>
    <col min="7970" max="7970" width="4.42578125" customWidth="1"/>
    <col min="7971" max="7971" width="4.42578125" bestFit="1" customWidth="1"/>
    <col min="7972" max="7972" width="7.7109375" customWidth="1"/>
    <col min="7973" max="7973" width="4.42578125" bestFit="1" customWidth="1"/>
    <col min="7974" max="7974" width="4.42578125" customWidth="1"/>
    <col min="7975" max="7975" width="4.42578125" bestFit="1" customWidth="1"/>
    <col min="7976" max="7976" width="9.85546875" customWidth="1"/>
    <col min="7977" max="7977" width="4.42578125" bestFit="1" customWidth="1"/>
    <col min="7978" max="7978" width="4.42578125" customWidth="1"/>
    <col min="7979" max="7979" width="4.42578125" bestFit="1" customWidth="1"/>
    <col min="7980" max="7980" width="7.7109375" customWidth="1"/>
    <col min="7981" max="7981" width="4.42578125" bestFit="1" customWidth="1"/>
    <col min="7982" max="7982" width="4.42578125" customWidth="1"/>
    <col min="7983" max="7983" width="4.42578125" bestFit="1" customWidth="1"/>
    <col min="7984" max="7984" width="7.7109375" customWidth="1"/>
    <col min="7985" max="7985" width="5.5703125" customWidth="1"/>
    <col min="7986" max="7986" width="4.42578125" customWidth="1"/>
    <col min="7987" max="7987" width="5.5703125" customWidth="1"/>
    <col min="7988" max="7988" width="7.7109375" customWidth="1"/>
    <col min="7989" max="7989" width="5.5703125" customWidth="1"/>
    <col min="7990" max="7990" width="4.42578125" customWidth="1"/>
    <col min="7991" max="7991" width="5.5703125" customWidth="1"/>
    <col min="7992" max="7992" width="7.7109375" customWidth="1"/>
    <col min="7993" max="7993" width="5.5703125" customWidth="1"/>
    <col min="7994" max="7994" width="4.42578125" customWidth="1"/>
    <col min="7995" max="7995" width="5.5703125" customWidth="1"/>
    <col min="7996" max="7996" width="7.7109375" customWidth="1"/>
    <col min="7997" max="7997" width="5.5703125" customWidth="1"/>
    <col min="7998" max="7998" width="4.42578125" customWidth="1"/>
    <col min="7999" max="7999" width="5.5703125" customWidth="1"/>
    <col min="8000" max="8000" width="7.7109375" customWidth="1"/>
    <col min="8001" max="8001" width="5.5703125" customWidth="1"/>
    <col min="8002" max="8002" width="4.42578125" customWidth="1"/>
    <col min="8003" max="8003" width="5.5703125" customWidth="1"/>
    <col min="8004" max="8004" width="7.7109375" customWidth="1"/>
    <col min="8005" max="8005" width="5.5703125" customWidth="1"/>
    <col min="8006" max="8006" width="4.42578125" customWidth="1"/>
    <col min="8007" max="8007" width="5.5703125" customWidth="1"/>
    <col min="8008" max="8008" width="7.7109375" customWidth="1"/>
    <col min="8009" max="8009" width="5.5703125" customWidth="1"/>
    <col min="8010" max="8010" width="4.42578125" customWidth="1"/>
    <col min="8011" max="8011" width="5.5703125" customWidth="1"/>
    <col min="8012" max="8012" width="9.7109375" customWidth="1"/>
    <col min="8013" max="8013" width="27.85546875" customWidth="1"/>
    <col min="8014" max="8024" width="7.7109375" customWidth="1"/>
    <col min="8208" max="8209" width="4" customWidth="1"/>
    <col min="8210" max="8210" width="47" bestFit="1" customWidth="1"/>
    <col min="8211" max="8211" width="38.42578125" customWidth="1"/>
    <col min="8212" max="8212" width="7.7109375" customWidth="1"/>
    <col min="8213" max="8213" width="4.42578125" bestFit="1" customWidth="1"/>
    <col min="8214" max="8214" width="4.42578125" customWidth="1"/>
    <col min="8215" max="8215" width="4.42578125" bestFit="1" customWidth="1"/>
    <col min="8216" max="8216" width="7.7109375" customWidth="1"/>
    <col min="8217" max="8217" width="4.42578125" bestFit="1" customWidth="1"/>
    <col min="8218" max="8218" width="4.42578125" customWidth="1"/>
    <col min="8219" max="8219" width="4.42578125" bestFit="1" customWidth="1"/>
    <col min="8220" max="8220" width="7.7109375" customWidth="1"/>
    <col min="8221" max="8221" width="4.42578125" bestFit="1" customWidth="1"/>
    <col min="8222" max="8222" width="4.42578125" customWidth="1"/>
    <col min="8223" max="8223" width="4.42578125" bestFit="1" customWidth="1"/>
    <col min="8224" max="8224" width="7.7109375" customWidth="1"/>
    <col min="8225" max="8225" width="4.42578125" bestFit="1" customWidth="1"/>
    <col min="8226" max="8226" width="4.42578125" customWidth="1"/>
    <col min="8227" max="8227" width="4.42578125" bestFit="1" customWidth="1"/>
    <col min="8228" max="8228" width="7.7109375" customWidth="1"/>
    <col min="8229" max="8229" width="4.42578125" bestFit="1" customWidth="1"/>
    <col min="8230" max="8230" width="4.42578125" customWidth="1"/>
    <col min="8231" max="8231" width="4.42578125" bestFit="1" customWidth="1"/>
    <col min="8232" max="8232" width="9.85546875" customWidth="1"/>
    <col min="8233" max="8233" width="4.42578125" bestFit="1" customWidth="1"/>
    <col min="8234" max="8234" width="4.42578125" customWidth="1"/>
    <col min="8235" max="8235" width="4.42578125" bestFit="1" customWidth="1"/>
    <col min="8236" max="8236" width="7.7109375" customWidth="1"/>
    <col min="8237" max="8237" width="4.42578125" bestFit="1" customWidth="1"/>
    <col min="8238" max="8238" width="4.42578125" customWidth="1"/>
    <col min="8239" max="8239" width="4.42578125" bestFit="1" customWidth="1"/>
    <col min="8240" max="8240" width="7.7109375" customWidth="1"/>
    <col min="8241" max="8241" width="5.5703125" customWidth="1"/>
    <col min="8242" max="8242" width="4.42578125" customWidth="1"/>
    <col min="8243" max="8243" width="5.5703125" customWidth="1"/>
    <col min="8244" max="8244" width="7.7109375" customWidth="1"/>
    <col min="8245" max="8245" width="5.5703125" customWidth="1"/>
    <col min="8246" max="8246" width="4.42578125" customWidth="1"/>
    <col min="8247" max="8247" width="5.5703125" customWidth="1"/>
    <col min="8248" max="8248" width="7.7109375" customWidth="1"/>
    <col min="8249" max="8249" width="5.5703125" customWidth="1"/>
    <col min="8250" max="8250" width="4.42578125" customWidth="1"/>
    <col min="8251" max="8251" width="5.5703125" customWidth="1"/>
    <col min="8252" max="8252" width="7.7109375" customWidth="1"/>
    <col min="8253" max="8253" width="5.5703125" customWidth="1"/>
    <col min="8254" max="8254" width="4.42578125" customWidth="1"/>
    <col min="8255" max="8255" width="5.5703125" customWidth="1"/>
    <col min="8256" max="8256" width="7.7109375" customWidth="1"/>
    <col min="8257" max="8257" width="5.5703125" customWidth="1"/>
    <col min="8258" max="8258" width="4.42578125" customWidth="1"/>
    <col min="8259" max="8259" width="5.5703125" customWidth="1"/>
    <col min="8260" max="8260" width="7.7109375" customWidth="1"/>
    <col min="8261" max="8261" width="5.5703125" customWidth="1"/>
    <col min="8262" max="8262" width="4.42578125" customWidth="1"/>
    <col min="8263" max="8263" width="5.5703125" customWidth="1"/>
    <col min="8264" max="8264" width="7.7109375" customWidth="1"/>
    <col min="8265" max="8265" width="5.5703125" customWidth="1"/>
    <col min="8266" max="8266" width="4.42578125" customWidth="1"/>
    <col min="8267" max="8267" width="5.5703125" customWidth="1"/>
    <col min="8268" max="8268" width="9.7109375" customWidth="1"/>
    <col min="8269" max="8269" width="27.85546875" customWidth="1"/>
    <col min="8270" max="8280" width="7.7109375" customWidth="1"/>
    <col min="8464" max="8465" width="4" customWidth="1"/>
    <col min="8466" max="8466" width="47" bestFit="1" customWidth="1"/>
    <col min="8467" max="8467" width="38.42578125" customWidth="1"/>
    <col min="8468" max="8468" width="7.7109375" customWidth="1"/>
    <col min="8469" max="8469" width="4.42578125" bestFit="1" customWidth="1"/>
    <col min="8470" max="8470" width="4.42578125" customWidth="1"/>
    <col min="8471" max="8471" width="4.42578125" bestFit="1" customWidth="1"/>
    <col min="8472" max="8472" width="7.7109375" customWidth="1"/>
    <col min="8473" max="8473" width="4.42578125" bestFit="1" customWidth="1"/>
    <col min="8474" max="8474" width="4.42578125" customWidth="1"/>
    <col min="8475" max="8475" width="4.42578125" bestFit="1" customWidth="1"/>
    <col min="8476" max="8476" width="7.7109375" customWidth="1"/>
    <col min="8477" max="8477" width="4.42578125" bestFit="1" customWidth="1"/>
    <col min="8478" max="8478" width="4.42578125" customWidth="1"/>
    <col min="8479" max="8479" width="4.42578125" bestFit="1" customWidth="1"/>
    <col min="8480" max="8480" width="7.7109375" customWidth="1"/>
    <col min="8481" max="8481" width="4.42578125" bestFit="1" customWidth="1"/>
    <col min="8482" max="8482" width="4.42578125" customWidth="1"/>
    <col min="8483" max="8483" width="4.42578125" bestFit="1" customWidth="1"/>
    <col min="8484" max="8484" width="7.7109375" customWidth="1"/>
    <col min="8485" max="8485" width="4.42578125" bestFit="1" customWidth="1"/>
    <col min="8486" max="8486" width="4.42578125" customWidth="1"/>
    <col min="8487" max="8487" width="4.42578125" bestFit="1" customWidth="1"/>
    <col min="8488" max="8488" width="9.85546875" customWidth="1"/>
    <col min="8489" max="8489" width="4.42578125" bestFit="1" customWidth="1"/>
    <col min="8490" max="8490" width="4.42578125" customWidth="1"/>
    <col min="8491" max="8491" width="4.42578125" bestFit="1" customWidth="1"/>
    <col min="8492" max="8492" width="7.7109375" customWidth="1"/>
    <col min="8493" max="8493" width="4.42578125" bestFit="1" customWidth="1"/>
    <col min="8494" max="8494" width="4.42578125" customWidth="1"/>
    <col min="8495" max="8495" width="4.42578125" bestFit="1" customWidth="1"/>
    <col min="8496" max="8496" width="7.7109375" customWidth="1"/>
    <col min="8497" max="8497" width="5.5703125" customWidth="1"/>
    <col min="8498" max="8498" width="4.42578125" customWidth="1"/>
    <col min="8499" max="8499" width="5.5703125" customWidth="1"/>
    <col min="8500" max="8500" width="7.7109375" customWidth="1"/>
    <col min="8501" max="8501" width="5.5703125" customWidth="1"/>
    <col min="8502" max="8502" width="4.42578125" customWidth="1"/>
    <col min="8503" max="8503" width="5.5703125" customWidth="1"/>
    <col min="8504" max="8504" width="7.7109375" customWidth="1"/>
    <col min="8505" max="8505" width="5.5703125" customWidth="1"/>
    <col min="8506" max="8506" width="4.42578125" customWidth="1"/>
    <col min="8507" max="8507" width="5.5703125" customWidth="1"/>
    <col min="8508" max="8508" width="7.7109375" customWidth="1"/>
    <col min="8509" max="8509" width="5.5703125" customWidth="1"/>
    <col min="8510" max="8510" width="4.42578125" customWidth="1"/>
    <col min="8511" max="8511" width="5.5703125" customWidth="1"/>
    <col min="8512" max="8512" width="7.7109375" customWidth="1"/>
    <col min="8513" max="8513" width="5.5703125" customWidth="1"/>
    <col min="8514" max="8514" width="4.42578125" customWidth="1"/>
    <col min="8515" max="8515" width="5.5703125" customWidth="1"/>
    <col min="8516" max="8516" width="7.7109375" customWidth="1"/>
    <col min="8517" max="8517" width="5.5703125" customWidth="1"/>
    <col min="8518" max="8518" width="4.42578125" customWidth="1"/>
    <col min="8519" max="8519" width="5.5703125" customWidth="1"/>
    <col min="8520" max="8520" width="7.7109375" customWidth="1"/>
    <col min="8521" max="8521" width="5.5703125" customWidth="1"/>
    <col min="8522" max="8522" width="4.42578125" customWidth="1"/>
    <col min="8523" max="8523" width="5.5703125" customWidth="1"/>
    <col min="8524" max="8524" width="9.7109375" customWidth="1"/>
    <col min="8525" max="8525" width="27.85546875" customWidth="1"/>
    <col min="8526" max="8536" width="7.7109375" customWidth="1"/>
    <col min="8720" max="8721" width="4" customWidth="1"/>
    <col min="8722" max="8722" width="47" bestFit="1" customWidth="1"/>
    <col min="8723" max="8723" width="38.42578125" customWidth="1"/>
    <col min="8724" max="8724" width="7.7109375" customWidth="1"/>
    <col min="8725" max="8725" width="4.42578125" bestFit="1" customWidth="1"/>
    <col min="8726" max="8726" width="4.42578125" customWidth="1"/>
    <col min="8727" max="8727" width="4.42578125" bestFit="1" customWidth="1"/>
    <col min="8728" max="8728" width="7.7109375" customWidth="1"/>
    <col min="8729" max="8729" width="4.42578125" bestFit="1" customWidth="1"/>
    <col min="8730" max="8730" width="4.42578125" customWidth="1"/>
    <col min="8731" max="8731" width="4.42578125" bestFit="1" customWidth="1"/>
    <col min="8732" max="8732" width="7.7109375" customWidth="1"/>
    <col min="8733" max="8733" width="4.42578125" bestFit="1" customWidth="1"/>
    <col min="8734" max="8734" width="4.42578125" customWidth="1"/>
    <col min="8735" max="8735" width="4.42578125" bestFit="1" customWidth="1"/>
    <col min="8736" max="8736" width="7.7109375" customWidth="1"/>
    <col min="8737" max="8737" width="4.42578125" bestFit="1" customWidth="1"/>
    <col min="8738" max="8738" width="4.42578125" customWidth="1"/>
    <col min="8739" max="8739" width="4.42578125" bestFit="1" customWidth="1"/>
    <col min="8740" max="8740" width="7.7109375" customWidth="1"/>
    <col min="8741" max="8741" width="4.42578125" bestFit="1" customWidth="1"/>
    <col min="8742" max="8742" width="4.42578125" customWidth="1"/>
    <col min="8743" max="8743" width="4.42578125" bestFit="1" customWidth="1"/>
    <col min="8744" max="8744" width="9.85546875" customWidth="1"/>
    <col min="8745" max="8745" width="4.42578125" bestFit="1" customWidth="1"/>
    <col min="8746" max="8746" width="4.42578125" customWidth="1"/>
    <col min="8747" max="8747" width="4.42578125" bestFit="1" customWidth="1"/>
    <col min="8748" max="8748" width="7.7109375" customWidth="1"/>
    <col min="8749" max="8749" width="4.42578125" bestFit="1" customWidth="1"/>
    <col min="8750" max="8750" width="4.42578125" customWidth="1"/>
    <col min="8751" max="8751" width="4.42578125" bestFit="1" customWidth="1"/>
    <col min="8752" max="8752" width="7.7109375" customWidth="1"/>
    <col min="8753" max="8753" width="5.5703125" customWidth="1"/>
    <col min="8754" max="8754" width="4.42578125" customWidth="1"/>
    <col min="8755" max="8755" width="5.5703125" customWidth="1"/>
    <col min="8756" max="8756" width="7.7109375" customWidth="1"/>
    <col min="8757" max="8757" width="5.5703125" customWidth="1"/>
    <col min="8758" max="8758" width="4.42578125" customWidth="1"/>
    <col min="8759" max="8759" width="5.5703125" customWidth="1"/>
    <col min="8760" max="8760" width="7.7109375" customWidth="1"/>
    <col min="8761" max="8761" width="5.5703125" customWidth="1"/>
    <col min="8762" max="8762" width="4.42578125" customWidth="1"/>
    <col min="8763" max="8763" width="5.5703125" customWidth="1"/>
    <col min="8764" max="8764" width="7.7109375" customWidth="1"/>
    <col min="8765" max="8765" width="5.5703125" customWidth="1"/>
    <col min="8766" max="8766" width="4.42578125" customWidth="1"/>
    <col min="8767" max="8767" width="5.5703125" customWidth="1"/>
    <col min="8768" max="8768" width="7.7109375" customWidth="1"/>
    <col min="8769" max="8769" width="5.5703125" customWidth="1"/>
    <col min="8770" max="8770" width="4.42578125" customWidth="1"/>
    <col min="8771" max="8771" width="5.5703125" customWidth="1"/>
    <col min="8772" max="8772" width="7.7109375" customWidth="1"/>
    <col min="8773" max="8773" width="5.5703125" customWidth="1"/>
    <col min="8774" max="8774" width="4.42578125" customWidth="1"/>
    <col min="8775" max="8775" width="5.5703125" customWidth="1"/>
    <col min="8776" max="8776" width="7.7109375" customWidth="1"/>
    <col min="8777" max="8777" width="5.5703125" customWidth="1"/>
    <col min="8778" max="8778" width="4.42578125" customWidth="1"/>
    <col min="8779" max="8779" width="5.5703125" customWidth="1"/>
    <col min="8780" max="8780" width="9.7109375" customWidth="1"/>
    <col min="8781" max="8781" width="27.85546875" customWidth="1"/>
    <col min="8782" max="8792" width="7.7109375" customWidth="1"/>
    <col min="8976" max="8977" width="4" customWidth="1"/>
    <col min="8978" max="8978" width="47" bestFit="1" customWidth="1"/>
    <col min="8979" max="8979" width="38.42578125" customWidth="1"/>
    <col min="8980" max="8980" width="7.7109375" customWidth="1"/>
    <col min="8981" max="8981" width="4.42578125" bestFit="1" customWidth="1"/>
    <col min="8982" max="8982" width="4.42578125" customWidth="1"/>
    <col min="8983" max="8983" width="4.42578125" bestFit="1" customWidth="1"/>
    <col min="8984" max="8984" width="7.7109375" customWidth="1"/>
    <col min="8985" max="8985" width="4.42578125" bestFit="1" customWidth="1"/>
    <col min="8986" max="8986" width="4.42578125" customWidth="1"/>
    <col min="8987" max="8987" width="4.42578125" bestFit="1" customWidth="1"/>
    <col min="8988" max="8988" width="7.7109375" customWidth="1"/>
    <col min="8989" max="8989" width="4.42578125" bestFit="1" customWidth="1"/>
    <col min="8990" max="8990" width="4.42578125" customWidth="1"/>
    <col min="8991" max="8991" width="4.42578125" bestFit="1" customWidth="1"/>
    <col min="8992" max="8992" width="7.7109375" customWidth="1"/>
    <col min="8993" max="8993" width="4.42578125" bestFit="1" customWidth="1"/>
    <col min="8994" max="8994" width="4.42578125" customWidth="1"/>
    <col min="8995" max="8995" width="4.42578125" bestFit="1" customWidth="1"/>
    <col min="8996" max="8996" width="7.7109375" customWidth="1"/>
    <col min="8997" max="8997" width="4.42578125" bestFit="1" customWidth="1"/>
    <col min="8998" max="8998" width="4.42578125" customWidth="1"/>
    <col min="8999" max="8999" width="4.42578125" bestFit="1" customWidth="1"/>
    <col min="9000" max="9000" width="9.85546875" customWidth="1"/>
    <col min="9001" max="9001" width="4.42578125" bestFit="1" customWidth="1"/>
    <col min="9002" max="9002" width="4.42578125" customWidth="1"/>
    <col min="9003" max="9003" width="4.42578125" bestFit="1" customWidth="1"/>
    <col min="9004" max="9004" width="7.7109375" customWidth="1"/>
    <col min="9005" max="9005" width="4.42578125" bestFit="1" customWidth="1"/>
    <col min="9006" max="9006" width="4.42578125" customWidth="1"/>
    <col min="9007" max="9007" width="4.42578125" bestFit="1" customWidth="1"/>
    <col min="9008" max="9008" width="7.7109375" customWidth="1"/>
    <col min="9009" max="9009" width="5.5703125" customWidth="1"/>
    <col min="9010" max="9010" width="4.42578125" customWidth="1"/>
    <col min="9011" max="9011" width="5.5703125" customWidth="1"/>
    <col min="9012" max="9012" width="7.7109375" customWidth="1"/>
    <col min="9013" max="9013" width="5.5703125" customWidth="1"/>
    <col min="9014" max="9014" width="4.42578125" customWidth="1"/>
    <col min="9015" max="9015" width="5.5703125" customWidth="1"/>
    <col min="9016" max="9016" width="7.7109375" customWidth="1"/>
    <col min="9017" max="9017" width="5.5703125" customWidth="1"/>
    <col min="9018" max="9018" width="4.42578125" customWidth="1"/>
    <col min="9019" max="9019" width="5.5703125" customWidth="1"/>
    <col min="9020" max="9020" width="7.7109375" customWidth="1"/>
    <col min="9021" max="9021" width="5.5703125" customWidth="1"/>
    <col min="9022" max="9022" width="4.42578125" customWidth="1"/>
    <col min="9023" max="9023" width="5.5703125" customWidth="1"/>
    <col min="9024" max="9024" width="7.7109375" customWidth="1"/>
    <col min="9025" max="9025" width="5.5703125" customWidth="1"/>
    <col min="9026" max="9026" width="4.42578125" customWidth="1"/>
    <col min="9027" max="9027" width="5.5703125" customWidth="1"/>
    <col min="9028" max="9028" width="7.7109375" customWidth="1"/>
    <col min="9029" max="9029" width="5.5703125" customWidth="1"/>
    <col min="9030" max="9030" width="4.42578125" customWidth="1"/>
    <col min="9031" max="9031" width="5.5703125" customWidth="1"/>
    <col min="9032" max="9032" width="7.7109375" customWidth="1"/>
    <col min="9033" max="9033" width="5.5703125" customWidth="1"/>
    <col min="9034" max="9034" width="4.42578125" customWidth="1"/>
    <col min="9035" max="9035" width="5.5703125" customWidth="1"/>
    <col min="9036" max="9036" width="9.7109375" customWidth="1"/>
    <col min="9037" max="9037" width="27.85546875" customWidth="1"/>
    <col min="9038" max="9048" width="7.7109375" customWidth="1"/>
    <col min="9232" max="9233" width="4" customWidth="1"/>
    <col min="9234" max="9234" width="47" bestFit="1" customWidth="1"/>
    <col min="9235" max="9235" width="38.42578125" customWidth="1"/>
    <col min="9236" max="9236" width="7.7109375" customWidth="1"/>
    <col min="9237" max="9237" width="4.42578125" bestFit="1" customWidth="1"/>
    <col min="9238" max="9238" width="4.42578125" customWidth="1"/>
    <col min="9239" max="9239" width="4.42578125" bestFit="1" customWidth="1"/>
    <col min="9240" max="9240" width="7.7109375" customWidth="1"/>
    <col min="9241" max="9241" width="4.42578125" bestFit="1" customWidth="1"/>
    <col min="9242" max="9242" width="4.42578125" customWidth="1"/>
    <col min="9243" max="9243" width="4.42578125" bestFit="1" customWidth="1"/>
    <col min="9244" max="9244" width="7.7109375" customWidth="1"/>
    <col min="9245" max="9245" width="4.42578125" bestFit="1" customWidth="1"/>
    <col min="9246" max="9246" width="4.42578125" customWidth="1"/>
    <col min="9247" max="9247" width="4.42578125" bestFit="1" customWidth="1"/>
    <col min="9248" max="9248" width="7.7109375" customWidth="1"/>
    <col min="9249" max="9249" width="4.42578125" bestFit="1" customWidth="1"/>
    <col min="9250" max="9250" width="4.42578125" customWidth="1"/>
    <col min="9251" max="9251" width="4.42578125" bestFit="1" customWidth="1"/>
    <col min="9252" max="9252" width="7.7109375" customWidth="1"/>
    <col min="9253" max="9253" width="4.42578125" bestFit="1" customWidth="1"/>
    <col min="9254" max="9254" width="4.42578125" customWidth="1"/>
    <col min="9255" max="9255" width="4.42578125" bestFit="1" customWidth="1"/>
    <col min="9256" max="9256" width="9.85546875" customWidth="1"/>
    <col min="9257" max="9257" width="4.42578125" bestFit="1" customWidth="1"/>
    <col min="9258" max="9258" width="4.42578125" customWidth="1"/>
    <col min="9259" max="9259" width="4.42578125" bestFit="1" customWidth="1"/>
    <col min="9260" max="9260" width="7.7109375" customWidth="1"/>
    <col min="9261" max="9261" width="4.42578125" bestFit="1" customWidth="1"/>
    <col min="9262" max="9262" width="4.42578125" customWidth="1"/>
    <col min="9263" max="9263" width="4.42578125" bestFit="1" customWidth="1"/>
    <col min="9264" max="9264" width="7.7109375" customWidth="1"/>
    <col min="9265" max="9265" width="5.5703125" customWidth="1"/>
    <col min="9266" max="9266" width="4.42578125" customWidth="1"/>
    <col min="9267" max="9267" width="5.5703125" customWidth="1"/>
    <col min="9268" max="9268" width="7.7109375" customWidth="1"/>
    <col min="9269" max="9269" width="5.5703125" customWidth="1"/>
    <col min="9270" max="9270" width="4.42578125" customWidth="1"/>
    <col min="9271" max="9271" width="5.5703125" customWidth="1"/>
    <col min="9272" max="9272" width="7.7109375" customWidth="1"/>
    <col min="9273" max="9273" width="5.5703125" customWidth="1"/>
    <col min="9274" max="9274" width="4.42578125" customWidth="1"/>
    <col min="9275" max="9275" width="5.5703125" customWidth="1"/>
    <col min="9276" max="9276" width="7.7109375" customWidth="1"/>
    <col min="9277" max="9277" width="5.5703125" customWidth="1"/>
    <col min="9278" max="9278" width="4.42578125" customWidth="1"/>
    <col min="9279" max="9279" width="5.5703125" customWidth="1"/>
    <col min="9280" max="9280" width="7.7109375" customWidth="1"/>
    <col min="9281" max="9281" width="5.5703125" customWidth="1"/>
    <col min="9282" max="9282" width="4.42578125" customWidth="1"/>
    <col min="9283" max="9283" width="5.5703125" customWidth="1"/>
    <col min="9284" max="9284" width="7.7109375" customWidth="1"/>
    <col min="9285" max="9285" width="5.5703125" customWidth="1"/>
    <col min="9286" max="9286" width="4.42578125" customWidth="1"/>
    <col min="9287" max="9287" width="5.5703125" customWidth="1"/>
    <col min="9288" max="9288" width="7.7109375" customWidth="1"/>
    <col min="9289" max="9289" width="5.5703125" customWidth="1"/>
    <col min="9290" max="9290" width="4.42578125" customWidth="1"/>
    <col min="9291" max="9291" width="5.5703125" customWidth="1"/>
    <col min="9292" max="9292" width="9.7109375" customWidth="1"/>
    <col min="9293" max="9293" width="27.85546875" customWidth="1"/>
    <col min="9294" max="9304" width="7.7109375" customWidth="1"/>
    <col min="9488" max="9489" width="4" customWidth="1"/>
    <col min="9490" max="9490" width="47" bestFit="1" customWidth="1"/>
    <col min="9491" max="9491" width="38.42578125" customWidth="1"/>
    <col min="9492" max="9492" width="7.7109375" customWidth="1"/>
    <col min="9493" max="9493" width="4.42578125" bestFit="1" customWidth="1"/>
    <col min="9494" max="9494" width="4.42578125" customWidth="1"/>
    <col min="9495" max="9495" width="4.42578125" bestFit="1" customWidth="1"/>
    <col min="9496" max="9496" width="7.7109375" customWidth="1"/>
    <col min="9497" max="9497" width="4.42578125" bestFit="1" customWidth="1"/>
    <col min="9498" max="9498" width="4.42578125" customWidth="1"/>
    <col min="9499" max="9499" width="4.42578125" bestFit="1" customWidth="1"/>
    <col min="9500" max="9500" width="7.7109375" customWidth="1"/>
    <col min="9501" max="9501" width="4.42578125" bestFit="1" customWidth="1"/>
    <col min="9502" max="9502" width="4.42578125" customWidth="1"/>
    <col min="9503" max="9503" width="4.42578125" bestFit="1" customWidth="1"/>
    <col min="9504" max="9504" width="7.7109375" customWidth="1"/>
    <col min="9505" max="9505" width="4.42578125" bestFit="1" customWidth="1"/>
    <col min="9506" max="9506" width="4.42578125" customWidth="1"/>
    <col min="9507" max="9507" width="4.42578125" bestFit="1" customWidth="1"/>
    <col min="9508" max="9508" width="7.7109375" customWidth="1"/>
    <col min="9509" max="9509" width="4.42578125" bestFit="1" customWidth="1"/>
    <col min="9510" max="9510" width="4.42578125" customWidth="1"/>
    <col min="9511" max="9511" width="4.42578125" bestFit="1" customWidth="1"/>
    <col min="9512" max="9512" width="9.85546875" customWidth="1"/>
    <col min="9513" max="9513" width="4.42578125" bestFit="1" customWidth="1"/>
    <col min="9514" max="9514" width="4.42578125" customWidth="1"/>
    <col min="9515" max="9515" width="4.42578125" bestFit="1" customWidth="1"/>
    <col min="9516" max="9516" width="7.7109375" customWidth="1"/>
    <col min="9517" max="9517" width="4.42578125" bestFit="1" customWidth="1"/>
    <col min="9518" max="9518" width="4.42578125" customWidth="1"/>
    <col min="9519" max="9519" width="4.42578125" bestFit="1" customWidth="1"/>
    <col min="9520" max="9520" width="7.7109375" customWidth="1"/>
    <col min="9521" max="9521" width="5.5703125" customWidth="1"/>
    <col min="9522" max="9522" width="4.42578125" customWidth="1"/>
    <col min="9523" max="9523" width="5.5703125" customWidth="1"/>
    <col min="9524" max="9524" width="7.7109375" customWidth="1"/>
    <col min="9525" max="9525" width="5.5703125" customWidth="1"/>
    <col min="9526" max="9526" width="4.42578125" customWidth="1"/>
    <col min="9527" max="9527" width="5.5703125" customWidth="1"/>
    <col min="9528" max="9528" width="7.7109375" customWidth="1"/>
    <col min="9529" max="9529" width="5.5703125" customWidth="1"/>
    <col min="9530" max="9530" width="4.42578125" customWidth="1"/>
    <col min="9531" max="9531" width="5.5703125" customWidth="1"/>
    <col min="9532" max="9532" width="7.7109375" customWidth="1"/>
    <col min="9533" max="9533" width="5.5703125" customWidth="1"/>
    <col min="9534" max="9534" width="4.42578125" customWidth="1"/>
    <col min="9535" max="9535" width="5.5703125" customWidth="1"/>
    <col min="9536" max="9536" width="7.7109375" customWidth="1"/>
    <col min="9537" max="9537" width="5.5703125" customWidth="1"/>
    <col min="9538" max="9538" width="4.42578125" customWidth="1"/>
    <col min="9539" max="9539" width="5.5703125" customWidth="1"/>
    <col min="9540" max="9540" width="7.7109375" customWidth="1"/>
    <col min="9541" max="9541" width="5.5703125" customWidth="1"/>
    <col min="9542" max="9542" width="4.42578125" customWidth="1"/>
    <col min="9543" max="9543" width="5.5703125" customWidth="1"/>
    <col min="9544" max="9544" width="7.7109375" customWidth="1"/>
    <col min="9545" max="9545" width="5.5703125" customWidth="1"/>
    <col min="9546" max="9546" width="4.42578125" customWidth="1"/>
    <col min="9547" max="9547" width="5.5703125" customWidth="1"/>
    <col min="9548" max="9548" width="9.7109375" customWidth="1"/>
    <col min="9549" max="9549" width="27.85546875" customWidth="1"/>
    <col min="9550" max="9560" width="7.7109375" customWidth="1"/>
    <col min="9744" max="9745" width="4" customWidth="1"/>
    <col min="9746" max="9746" width="47" bestFit="1" customWidth="1"/>
    <col min="9747" max="9747" width="38.42578125" customWidth="1"/>
    <col min="9748" max="9748" width="7.7109375" customWidth="1"/>
    <col min="9749" max="9749" width="4.42578125" bestFit="1" customWidth="1"/>
    <col min="9750" max="9750" width="4.42578125" customWidth="1"/>
    <col min="9751" max="9751" width="4.42578125" bestFit="1" customWidth="1"/>
    <col min="9752" max="9752" width="7.7109375" customWidth="1"/>
    <col min="9753" max="9753" width="4.42578125" bestFit="1" customWidth="1"/>
    <col min="9754" max="9754" width="4.42578125" customWidth="1"/>
    <col min="9755" max="9755" width="4.42578125" bestFit="1" customWidth="1"/>
    <col min="9756" max="9756" width="7.7109375" customWidth="1"/>
    <col min="9757" max="9757" width="4.42578125" bestFit="1" customWidth="1"/>
    <col min="9758" max="9758" width="4.42578125" customWidth="1"/>
    <col min="9759" max="9759" width="4.42578125" bestFit="1" customWidth="1"/>
    <col min="9760" max="9760" width="7.7109375" customWidth="1"/>
    <col min="9761" max="9761" width="4.42578125" bestFit="1" customWidth="1"/>
    <col min="9762" max="9762" width="4.42578125" customWidth="1"/>
    <col min="9763" max="9763" width="4.42578125" bestFit="1" customWidth="1"/>
    <col min="9764" max="9764" width="7.7109375" customWidth="1"/>
    <col min="9765" max="9765" width="4.42578125" bestFit="1" customWidth="1"/>
    <col min="9766" max="9766" width="4.42578125" customWidth="1"/>
    <col min="9767" max="9767" width="4.42578125" bestFit="1" customWidth="1"/>
    <col min="9768" max="9768" width="9.85546875" customWidth="1"/>
    <col min="9769" max="9769" width="4.42578125" bestFit="1" customWidth="1"/>
    <col min="9770" max="9770" width="4.42578125" customWidth="1"/>
    <col min="9771" max="9771" width="4.42578125" bestFit="1" customWidth="1"/>
    <col min="9772" max="9772" width="7.7109375" customWidth="1"/>
    <col min="9773" max="9773" width="4.42578125" bestFit="1" customWidth="1"/>
    <col min="9774" max="9774" width="4.42578125" customWidth="1"/>
    <col min="9775" max="9775" width="4.42578125" bestFit="1" customWidth="1"/>
    <col min="9776" max="9776" width="7.7109375" customWidth="1"/>
    <col min="9777" max="9777" width="5.5703125" customWidth="1"/>
    <col min="9778" max="9778" width="4.42578125" customWidth="1"/>
    <col min="9779" max="9779" width="5.5703125" customWidth="1"/>
    <col min="9780" max="9780" width="7.7109375" customWidth="1"/>
    <col min="9781" max="9781" width="5.5703125" customWidth="1"/>
    <col min="9782" max="9782" width="4.42578125" customWidth="1"/>
    <col min="9783" max="9783" width="5.5703125" customWidth="1"/>
    <col min="9784" max="9784" width="7.7109375" customWidth="1"/>
    <col min="9785" max="9785" width="5.5703125" customWidth="1"/>
    <col min="9786" max="9786" width="4.42578125" customWidth="1"/>
    <col min="9787" max="9787" width="5.5703125" customWidth="1"/>
    <col min="9788" max="9788" width="7.7109375" customWidth="1"/>
    <col min="9789" max="9789" width="5.5703125" customWidth="1"/>
    <col min="9790" max="9790" width="4.42578125" customWidth="1"/>
    <col min="9791" max="9791" width="5.5703125" customWidth="1"/>
    <col min="9792" max="9792" width="7.7109375" customWidth="1"/>
    <col min="9793" max="9793" width="5.5703125" customWidth="1"/>
    <col min="9794" max="9794" width="4.42578125" customWidth="1"/>
    <col min="9795" max="9795" width="5.5703125" customWidth="1"/>
    <col min="9796" max="9796" width="7.7109375" customWidth="1"/>
    <col min="9797" max="9797" width="5.5703125" customWidth="1"/>
    <col min="9798" max="9798" width="4.42578125" customWidth="1"/>
    <col min="9799" max="9799" width="5.5703125" customWidth="1"/>
    <col min="9800" max="9800" width="7.7109375" customWidth="1"/>
    <col min="9801" max="9801" width="5.5703125" customWidth="1"/>
    <col min="9802" max="9802" width="4.42578125" customWidth="1"/>
    <col min="9803" max="9803" width="5.5703125" customWidth="1"/>
    <col min="9804" max="9804" width="9.7109375" customWidth="1"/>
    <col min="9805" max="9805" width="27.85546875" customWidth="1"/>
    <col min="9806" max="9816" width="7.7109375" customWidth="1"/>
    <col min="10000" max="10001" width="4" customWidth="1"/>
    <col min="10002" max="10002" width="47" bestFit="1" customWidth="1"/>
    <col min="10003" max="10003" width="38.42578125" customWidth="1"/>
    <col min="10004" max="10004" width="7.7109375" customWidth="1"/>
    <col min="10005" max="10005" width="4.42578125" bestFit="1" customWidth="1"/>
    <col min="10006" max="10006" width="4.42578125" customWidth="1"/>
    <col min="10007" max="10007" width="4.42578125" bestFit="1" customWidth="1"/>
    <col min="10008" max="10008" width="7.7109375" customWidth="1"/>
    <col min="10009" max="10009" width="4.42578125" bestFit="1" customWidth="1"/>
    <col min="10010" max="10010" width="4.42578125" customWidth="1"/>
    <col min="10011" max="10011" width="4.42578125" bestFit="1" customWidth="1"/>
    <col min="10012" max="10012" width="7.7109375" customWidth="1"/>
    <col min="10013" max="10013" width="4.42578125" bestFit="1" customWidth="1"/>
    <col min="10014" max="10014" width="4.42578125" customWidth="1"/>
    <col min="10015" max="10015" width="4.42578125" bestFit="1" customWidth="1"/>
    <col min="10016" max="10016" width="7.7109375" customWidth="1"/>
    <col min="10017" max="10017" width="4.42578125" bestFit="1" customWidth="1"/>
    <col min="10018" max="10018" width="4.42578125" customWidth="1"/>
    <col min="10019" max="10019" width="4.42578125" bestFit="1" customWidth="1"/>
    <col min="10020" max="10020" width="7.7109375" customWidth="1"/>
    <col min="10021" max="10021" width="4.42578125" bestFit="1" customWidth="1"/>
    <col min="10022" max="10022" width="4.42578125" customWidth="1"/>
    <col min="10023" max="10023" width="4.42578125" bestFit="1" customWidth="1"/>
    <col min="10024" max="10024" width="9.85546875" customWidth="1"/>
    <col min="10025" max="10025" width="4.42578125" bestFit="1" customWidth="1"/>
    <col min="10026" max="10026" width="4.42578125" customWidth="1"/>
    <col min="10027" max="10027" width="4.42578125" bestFit="1" customWidth="1"/>
    <col min="10028" max="10028" width="7.7109375" customWidth="1"/>
    <col min="10029" max="10029" width="4.42578125" bestFit="1" customWidth="1"/>
    <col min="10030" max="10030" width="4.42578125" customWidth="1"/>
    <col min="10031" max="10031" width="4.42578125" bestFit="1" customWidth="1"/>
    <col min="10032" max="10032" width="7.7109375" customWidth="1"/>
    <col min="10033" max="10033" width="5.5703125" customWidth="1"/>
    <col min="10034" max="10034" width="4.42578125" customWidth="1"/>
    <col min="10035" max="10035" width="5.5703125" customWidth="1"/>
    <col min="10036" max="10036" width="7.7109375" customWidth="1"/>
    <col min="10037" max="10037" width="5.5703125" customWidth="1"/>
    <col min="10038" max="10038" width="4.42578125" customWidth="1"/>
    <col min="10039" max="10039" width="5.5703125" customWidth="1"/>
    <col min="10040" max="10040" width="7.7109375" customWidth="1"/>
    <col min="10041" max="10041" width="5.5703125" customWidth="1"/>
    <col min="10042" max="10042" width="4.42578125" customWidth="1"/>
    <col min="10043" max="10043" width="5.5703125" customWidth="1"/>
    <col min="10044" max="10044" width="7.7109375" customWidth="1"/>
    <col min="10045" max="10045" width="5.5703125" customWidth="1"/>
    <col min="10046" max="10046" width="4.42578125" customWidth="1"/>
    <col min="10047" max="10047" width="5.5703125" customWidth="1"/>
    <col min="10048" max="10048" width="7.7109375" customWidth="1"/>
    <col min="10049" max="10049" width="5.5703125" customWidth="1"/>
    <col min="10050" max="10050" width="4.42578125" customWidth="1"/>
    <col min="10051" max="10051" width="5.5703125" customWidth="1"/>
    <col min="10052" max="10052" width="7.7109375" customWidth="1"/>
    <col min="10053" max="10053" width="5.5703125" customWidth="1"/>
    <col min="10054" max="10054" width="4.42578125" customWidth="1"/>
    <col min="10055" max="10055" width="5.5703125" customWidth="1"/>
    <col min="10056" max="10056" width="7.7109375" customWidth="1"/>
    <col min="10057" max="10057" width="5.5703125" customWidth="1"/>
    <col min="10058" max="10058" width="4.42578125" customWidth="1"/>
    <col min="10059" max="10059" width="5.5703125" customWidth="1"/>
    <col min="10060" max="10060" width="9.7109375" customWidth="1"/>
    <col min="10061" max="10061" width="27.85546875" customWidth="1"/>
    <col min="10062" max="10072" width="7.7109375" customWidth="1"/>
    <col min="10256" max="10257" width="4" customWidth="1"/>
    <col min="10258" max="10258" width="47" bestFit="1" customWidth="1"/>
    <col min="10259" max="10259" width="38.42578125" customWidth="1"/>
    <col min="10260" max="10260" width="7.7109375" customWidth="1"/>
    <col min="10261" max="10261" width="4.42578125" bestFit="1" customWidth="1"/>
    <col min="10262" max="10262" width="4.42578125" customWidth="1"/>
    <col min="10263" max="10263" width="4.42578125" bestFit="1" customWidth="1"/>
    <col min="10264" max="10264" width="7.7109375" customWidth="1"/>
    <col min="10265" max="10265" width="4.42578125" bestFit="1" customWidth="1"/>
    <col min="10266" max="10266" width="4.42578125" customWidth="1"/>
    <col min="10267" max="10267" width="4.42578125" bestFit="1" customWidth="1"/>
    <col min="10268" max="10268" width="7.7109375" customWidth="1"/>
    <col min="10269" max="10269" width="4.42578125" bestFit="1" customWidth="1"/>
    <col min="10270" max="10270" width="4.42578125" customWidth="1"/>
    <col min="10271" max="10271" width="4.42578125" bestFit="1" customWidth="1"/>
    <col min="10272" max="10272" width="7.7109375" customWidth="1"/>
    <col min="10273" max="10273" width="4.42578125" bestFit="1" customWidth="1"/>
    <col min="10274" max="10274" width="4.42578125" customWidth="1"/>
    <col min="10275" max="10275" width="4.42578125" bestFit="1" customWidth="1"/>
    <col min="10276" max="10276" width="7.7109375" customWidth="1"/>
    <col min="10277" max="10277" width="4.42578125" bestFit="1" customWidth="1"/>
    <col min="10278" max="10278" width="4.42578125" customWidth="1"/>
    <col min="10279" max="10279" width="4.42578125" bestFit="1" customWidth="1"/>
    <col min="10280" max="10280" width="9.85546875" customWidth="1"/>
    <col min="10281" max="10281" width="4.42578125" bestFit="1" customWidth="1"/>
    <col min="10282" max="10282" width="4.42578125" customWidth="1"/>
    <col min="10283" max="10283" width="4.42578125" bestFit="1" customWidth="1"/>
    <col min="10284" max="10284" width="7.7109375" customWidth="1"/>
    <col min="10285" max="10285" width="4.42578125" bestFit="1" customWidth="1"/>
    <col min="10286" max="10286" width="4.42578125" customWidth="1"/>
    <col min="10287" max="10287" width="4.42578125" bestFit="1" customWidth="1"/>
    <col min="10288" max="10288" width="7.7109375" customWidth="1"/>
    <col min="10289" max="10289" width="5.5703125" customWidth="1"/>
    <col min="10290" max="10290" width="4.42578125" customWidth="1"/>
    <col min="10291" max="10291" width="5.5703125" customWidth="1"/>
    <col min="10292" max="10292" width="7.7109375" customWidth="1"/>
    <col min="10293" max="10293" width="5.5703125" customWidth="1"/>
    <col min="10294" max="10294" width="4.42578125" customWidth="1"/>
    <col min="10295" max="10295" width="5.5703125" customWidth="1"/>
    <col min="10296" max="10296" width="7.7109375" customWidth="1"/>
    <col min="10297" max="10297" width="5.5703125" customWidth="1"/>
    <col min="10298" max="10298" width="4.42578125" customWidth="1"/>
    <col min="10299" max="10299" width="5.5703125" customWidth="1"/>
    <col min="10300" max="10300" width="7.7109375" customWidth="1"/>
    <col min="10301" max="10301" width="5.5703125" customWidth="1"/>
    <col min="10302" max="10302" width="4.42578125" customWidth="1"/>
    <col min="10303" max="10303" width="5.5703125" customWidth="1"/>
    <col min="10304" max="10304" width="7.7109375" customWidth="1"/>
    <col min="10305" max="10305" width="5.5703125" customWidth="1"/>
    <col min="10306" max="10306" width="4.42578125" customWidth="1"/>
    <col min="10307" max="10307" width="5.5703125" customWidth="1"/>
    <col min="10308" max="10308" width="7.7109375" customWidth="1"/>
    <col min="10309" max="10309" width="5.5703125" customWidth="1"/>
    <col min="10310" max="10310" width="4.42578125" customWidth="1"/>
    <col min="10311" max="10311" width="5.5703125" customWidth="1"/>
    <col min="10312" max="10312" width="7.7109375" customWidth="1"/>
    <col min="10313" max="10313" width="5.5703125" customWidth="1"/>
    <col min="10314" max="10314" width="4.42578125" customWidth="1"/>
    <col min="10315" max="10315" width="5.5703125" customWidth="1"/>
    <col min="10316" max="10316" width="9.7109375" customWidth="1"/>
    <col min="10317" max="10317" width="27.85546875" customWidth="1"/>
    <col min="10318" max="10328" width="7.7109375" customWidth="1"/>
    <col min="10512" max="10513" width="4" customWidth="1"/>
    <col min="10514" max="10514" width="47" bestFit="1" customWidth="1"/>
    <col min="10515" max="10515" width="38.42578125" customWidth="1"/>
    <col min="10516" max="10516" width="7.7109375" customWidth="1"/>
    <col min="10517" max="10517" width="4.42578125" bestFit="1" customWidth="1"/>
    <col min="10518" max="10518" width="4.42578125" customWidth="1"/>
    <col min="10519" max="10519" width="4.42578125" bestFit="1" customWidth="1"/>
    <col min="10520" max="10520" width="7.7109375" customWidth="1"/>
    <col min="10521" max="10521" width="4.42578125" bestFit="1" customWidth="1"/>
    <col min="10522" max="10522" width="4.42578125" customWidth="1"/>
    <col min="10523" max="10523" width="4.42578125" bestFit="1" customWidth="1"/>
    <col min="10524" max="10524" width="7.7109375" customWidth="1"/>
    <col min="10525" max="10525" width="4.42578125" bestFit="1" customWidth="1"/>
    <col min="10526" max="10526" width="4.42578125" customWidth="1"/>
    <col min="10527" max="10527" width="4.42578125" bestFit="1" customWidth="1"/>
    <col min="10528" max="10528" width="7.7109375" customWidth="1"/>
    <col min="10529" max="10529" width="4.42578125" bestFit="1" customWidth="1"/>
    <col min="10530" max="10530" width="4.42578125" customWidth="1"/>
    <col min="10531" max="10531" width="4.42578125" bestFit="1" customWidth="1"/>
    <col min="10532" max="10532" width="7.7109375" customWidth="1"/>
    <col min="10533" max="10533" width="4.42578125" bestFit="1" customWidth="1"/>
    <col min="10534" max="10534" width="4.42578125" customWidth="1"/>
    <col min="10535" max="10535" width="4.42578125" bestFit="1" customWidth="1"/>
    <col min="10536" max="10536" width="9.85546875" customWidth="1"/>
    <col min="10537" max="10537" width="4.42578125" bestFit="1" customWidth="1"/>
    <col min="10538" max="10538" width="4.42578125" customWidth="1"/>
    <col min="10539" max="10539" width="4.42578125" bestFit="1" customWidth="1"/>
    <col min="10540" max="10540" width="7.7109375" customWidth="1"/>
    <col min="10541" max="10541" width="4.42578125" bestFit="1" customWidth="1"/>
    <col min="10542" max="10542" width="4.42578125" customWidth="1"/>
    <col min="10543" max="10543" width="4.42578125" bestFit="1" customWidth="1"/>
    <col min="10544" max="10544" width="7.7109375" customWidth="1"/>
    <col min="10545" max="10545" width="5.5703125" customWidth="1"/>
    <col min="10546" max="10546" width="4.42578125" customWidth="1"/>
    <col min="10547" max="10547" width="5.5703125" customWidth="1"/>
    <col min="10548" max="10548" width="7.7109375" customWidth="1"/>
    <col min="10549" max="10549" width="5.5703125" customWidth="1"/>
    <col min="10550" max="10550" width="4.42578125" customWidth="1"/>
    <col min="10551" max="10551" width="5.5703125" customWidth="1"/>
    <col min="10552" max="10552" width="7.7109375" customWidth="1"/>
    <col min="10553" max="10553" width="5.5703125" customWidth="1"/>
    <col min="10554" max="10554" width="4.42578125" customWidth="1"/>
    <col min="10555" max="10555" width="5.5703125" customWidth="1"/>
    <col min="10556" max="10556" width="7.7109375" customWidth="1"/>
    <col min="10557" max="10557" width="5.5703125" customWidth="1"/>
    <col min="10558" max="10558" width="4.42578125" customWidth="1"/>
    <col min="10559" max="10559" width="5.5703125" customWidth="1"/>
    <col min="10560" max="10560" width="7.7109375" customWidth="1"/>
    <col min="10561" max="10561" width="5.5703125" customWidth="1"/>
    <col min="10562" max="10562" width="4.42578125" customWidth="1"/>
    <col min="10563" max="10563" width="5.5703125" customWidth="1"/>
    <col min="10564" max="10564" width="7.7109375" customWidth="1"/>
    <col min="10565" max="10565" width="5.5703125" customWidth="1"/>
    <col min="10566" max="10566" width="4.42578125" customWidth="1"/>
    <col min="10567" max="10567" width="5.5703125" customWidth="1"/>
    <col min="10568" max="10568" width="7.7109375" customWidth="1"/>
    <col min="10569" max="10569" width="5.5703125" customWidth="1"/>
    <col min="10570" max="10570" width="4.42578125" customWidth="1"/>
    <col min="10571" max="10571" width="5.5703125" customWidth="1"/>
    <col min="10572" max="10572" width="9.7109375" customWidth="1"/>
    <col min="10573" max="10573" width="27.85546875" customWidth="1"/>
    <col min="10574" max="10584" width="7.7109375" customWidth="1"/>
    <col min="10768" max="10769" width="4" customWidth="1"/>
    <col min="10770" max="10770" width="47" bestFit="1" customWidth="1"/>
    <col min="10771" max="10771" width="38.42578125" customWidth="1"/>
    <col min="10772" max="10772" width="7.7109375" customWidth="1"/>
    <col min="10773" max="10773" width="4.42578125" bestFit="1" customWidth="1"/>
    <col min="10774" max="10774" width="4.42578125" customWidth="1"/>
    <col min="10775" max="10775" width="4.42578125" bestFit="1" customWidth="1"/>
    <col min="10776" max="10776" width="7.7109375" customWidth="1"/>
    <col min="10777" max="10777" width="4.42578125" bestFit="1" customWidth="1"/>
    <col min="10778" max="10778" width="4.42578125" customWidth="1"/>
    <col min="10779" max="10779" width="4.42578125" bestFit="1" customWidth="1"/>
    <col min="10780" max="10780" width="7.7109375" customWidth="1"/>
    <col min="10781" max="10781" width="4.42578125" bestFit="1" customWidth="1"/>
    <col min="10782" max="10782" width="4.42578125" customWidth="1"/>
    <col min="10783" max="10783" width="4.42578125" bestFit="1" customWidth="1"/>
    <col min="10784" max="10784" width="7.7109375" customWidth="1"/>
    <col min="10785" max="10785" width="4.42578125" bestFit="1" customWidth="1"/>
    <col min="10786" max="10786" width="4.42578125" customWidth="1"/>
    <col min="10787" max="10787" width="4.42578125" bestFit="1" customWidth="1"/>
    <col min="10788" max="10788" width="7.7109375" customWidth="1"/>
    <col min="10789" max="10789" width="4.42578125" bestFit="1" customWidth="1"/>
    <col min="10790" max="10790" width="4.42578125" customWidth="1"/>
    <col min="10791" max="10791" width="4.42578125" bestFit="1" customWidth="1"/>
    <col min="10792" max="10792" width="9.85546875" customWidth="1"/>
    <col min="10793" max="10793" width="4.42578125" bestFit="1" customWidth="1"/>
    <col min="10794" max="10794" width="4.42578125" customWidth="1"/>
    <col min="10795" max="10795" width="4.42578125" bestFit="1" customWidth="1"/>
    <col min="10796" max="10796" width="7.7109375" customWidth="1"/>
    <col min="10797" max="10797" width="4.42578125" bestFit="1" customWidth="1"/>
    <col min="10798" max="10798" width="4.42578125" customWidth="1"/>
    <col min="10799" max="10799" width="4.42578125" bestFit="1" customWidth="1"/>
    <col min="10800" max="10800" width="7.7109375" customWidth="1"/>
    <col min="10801" max="10801" width="5.5703125" customWidth="1"/>
    <col min="10802" max="10802" width="4.42578125" customWidth="1"/>
    <col min="10803" max="10803" width="5.5703125" customWidth="1"/>
    <col min="10804" max="10804" width="7.7109375" customWidth="1"/>
    <col min="10805" max="10805" width="5.5703125" customWidth="1"/>
    <col min="10806" max="10806" width="4.42578125" customWidth="1"/>
    <col min="10807" max="10807" width="5.5703125" customWidth="1"/>
    <col min="10808" max="10808" width="7.7109375" customWidth="1"/>
    <col min="10809" max="10809" width="5.5703125" customWidth="1"/>
    <col min="10810" max="10810" width="4.42578125" customWidth="1"/>
    <col min="10811" max="10811" width="5.5703125" customWidth="1"/>
    <col min="10812" max="10812" width="7.7109375" customWidth="1"/>
    <col min="10813" max="10813" width="5.5703125" customWidth="1"/>
    <col min="10814" max="10814" width="4.42578125" customWidth="1"/>
    <col min="10815" max="10815" width="5.5703125" customWidth="1"/>
    <col min="10816" max="10816" width="7.7109375" customWidth="1"/>
    <col min="10817" max="10817" width="5.5703125" customWidth="1"/>
    <col min="10818" max="10818" width="4.42578125" customWidth="1"/>
    <col min="10819" max="10819" width="5.5703125" customWidth="1"/>
    <col min="10820" max="10820" width="7.7109375" customWidth="1"/>
    <col min="10821" max="10821" width="5.5703125" customWidth="1"/>
    <col min="10822" max="10822" width="4.42578125" customWidth="1"/>
    <col min="10823" max="10823" width="5.5703125" customWidth="1"/>
    <col min="10824" max="10824" width="7.7109375" customWidth="1"/>
    <col min="10825" max="10825" width="5.5703125" customWidth="1"/>
    <col min="10826" max="10826" width="4.42578125" customWidth="1"/>
    <col min="10827" max="10827" width="5.5703125" customWidth="1"/>
    <col min="10828" max="10828" width="9.7109375" customWidth="1"/>
    <col min="10829" max="10829" width="27.85546875" customWidth="1"/>
    <col min="10830" max="10840" width="7.7109375" customWidth="1"/>
    <col min="11024" max="11025" width="4" customWidth="1"/>
    <col min="11026" max="11026" width="47" bestFit="1" customWidth="1"/>
    <col min="11027" max="11027" width="38.42578125" customWidth="1"/>
    <col min="11028" max="11028" width="7.7109375" customWidth="1"/>
    <col min="11029" max="11029" width="4.42578125" bestFit="1" customWidth="1"/>
    <col min="11030" max="11030" width="4.42578125" customWidth="1"/>
    <col min="11031" max="11031" width="4.42578125" bestFit="1" customWidth="1"/>
    <col min="11032" max="11032" width="7.7109375" customWidth="1"/>
    <col min="11033" max="11033" width="4.42578125" bestFit="1" customWidth="1"/>
    <col min="11034" max="11034" width="4.42578125" customWidth="1"/>
    <col min="11035" max="11035" width="4.42578125" bestFit="1" customWidth="1"/>
    <col min="11036" max="11036" width="7.7109375" customWidth="1"/>
    <col min="11037" max="11037" width="4.42578125" bestFit="1" customWidth="1"/>
    <col min="11038" max="11038" width="4.42578125" customWidth="1"/>
    <col min="11039" max="11039" width="4.42578125" bestFit="1" customWidth="1"/>
    <col min="11040" max="11040" width="7.7109375" customWidth="1"/>
    <col min="11041" max="11041" width="4.42578125" bestFit="1" customWidth="1"/>
    <col min="11042" max="11042" width="4.42578125" customWidth="1"/>
    <col min="11043" max="11043" width="4.42578125" bestFit="1" customWidth="1"/>
    <col min="11044" max="11044" width="7.7109375" customWidth="1"/>
    <col min="11045" max="11045" width="4.42578125" bestFit="1" customWidth="1"/>
    <col min="11046" max="11046" width="4.42578125" customWidth="1"/>
    <col min="11047" max="11047" width="4.42578125" bestFit="1" customWidth="1"/>
    <col min="11048" max="11048" width="9.85546875" customWidth="1"/>
    <col min="11049" max="11049" width="4.42578125" bestFit="1" customWidth="1"/>
    <col min="11050" max="11050" width="4.42578125" customWidth="1"/>
    <col min="11051" max="11051" width="4.42578125" bestFit="1" customWidth="1"/>
    <col min="11052" max="11052" width="7.7109375" customWidth="1"/>
    <col min="11053" max="11053" width="4.42578125" bestFit="1" customWidth="1"/>
    <col min="11054" max="11054" width="4.42578125" customWidth="1"/>
    <col min="11055" max="11055" width="4.42578125" bestFit="1" customWidth="1"/>
    <col min="11056" max="11056" width="7.7109375" customWidth="1"/>
    <col min="11057" max="11057" width="5.5703125" customWidth="1"/>
    <col min="11058" max="11058" width="4.42578125" customWidth="1"/>
    <col min="11059" max="11059" width="5.5703125" customWidth="1"/>
    <col min="11060" max="11060" width="7.7109375" customWidth="1"/>
    <col min="11061" max="11061" width="5.5703125" customWidth="1"/>
    <col min="11062" max="11062" width="4.42578125" customWidth="1"/>
    <col min="11063" max="11063" width="5.5703125" customWidth="1"/>
    <col min="11064" max="11064" width="7.7109375" customWidth="1"/>
    <col min="11065" max="11065" width="5.5703125" customWidth="1"/>
    <col min="11066" max="11066" width="4.42578125" customWidth="1"/>
    <col min="11067" max="11067" width="5.5703125" customWidth="1"/>
    <col min="11068" max="11068" width="7.7109375" customWidth="1"/>
    <col min="11069" max="11069" width="5.5703125" customWidth="1"/>
    <col min="11070" max="11070" width="4.42578125" customWidth="1"/>
    <col min="11071" max="11071" width="5.5703125" customWidth="1"/>
    <col min="11072" max="11072" width="7.7109375" customWidth="1"/>
    <col min="11073" max="11073" width="5.5703125" customWidth="1"/>
    <col min="11074" max="11074" width="4.42578125" customWidth="1"/>
    <col min="11075" max="11075" width="5.5703125" customWidth="1"/>
    <col min="11076" max="11076" width="7.7109375" customWidth="1"/>
    <col min="11077" max="11077" width="5.5703125" customWidth="1"/>
    <col min="11078" max="11078" width="4.42578125" customWidth="1"/>
    <col min="11079" max="11079" width="5.5703125" customWidth="1"/>
    <col min="11080" max="11080" width="7.7109375" customWidth="1"/>
    <col min="11081" max="11081" width="5.5703125" customWidth="1"/>
    <col min="11082" max="11082" width="4.42578125" customWidth="1"/>
    <col min="11083" max="11083" width="5.5703125" customWidth="1"/>
    <col min="11084" max="11084" width="9.7109375" customWidth="1"/>
    <col min="11085" max="11085" width="27.85546875" customWidth="1"/>
    <col min="11086" max="11096" width="7.7109375" customWidth="1"/>
    <col min="11280" max="11281" width="4" customWidth="1"/>
    <col min="11282" max="11282" width="47" bestFit="1" customWidth="1"/>
    <col min="11283" max="11283" width="38.42578125" customWidth="1"/>
    <col min="11284" max="11284" width="7.7109375" customWidth="1"/>
    <col min="11285" max="11285" width="4.42578125" bestFit="1" customWidth="1"/>
    <col min="11286" max="11286" width="4.42578125" customWidth="1"/>
    <col min="11287" max="11287" width="4.42578125" bestFit="1" customWidth="1"/>
    <col min="11288" max="11288" width="7.7109375" customWidth="1"/>
    <col min="11289" max="11289" width="4.42578125" bestFit="1" customWidth="1"/>
    <col min="11290" max="11290" width="4.42578125" customWidth="1"/>
    <col min="11291" max="11291" width="4.42578125" bestFit="1" customWidth="1"/>
    <col min="11292" max="11292" width="7.7109375" customWidth="1"/>
    <col min="11293" max="11293" width="4.42578125" bestFit="1" customWidth="1"/>
    <col min="11294" max="11294" width="4.42578125" customWidth="1"/>
    <col min="11295" max="11295" width="4.42578125" bestFit="1" customWidth="1"/>
    <col min="11296" max="11296" width="7.7109375" customWidth="1"/>
    <col min="11297" max="11297" width="4.42578125" bestFit="1" customWidth="1"/>
    <col min="11298" max="11298" width="4.42578125" customWidth="1"/>
    <col min="11299" max="11299" width="4.42578125" bestFit="1" customWidth="1"/>
    <col min="11300" max="11300" width="7.7109375" customWidth="1"/>
    <col min="11301" max="11301" width="4.42578125" bestFit="1" customWidth="1"/>
    <col min="11302" max="11302" width="4.42578125" customWidth="1"/>
    <col min="11303" max="11303" width="4.42578125" bestFit="1" customWidth="1"/>
    <col min="11304" max="11304" width="9.85546875" customWidth="1"/>
    <col min="11305" max="11305" width="4.42578125" bestFit="1" customWidth="1"/>
    <col min="11306" max="11306" width="4.42578125" customWidth="1"/>
    <col min="11307" max="11307" width="4.42578125" bestFit="1" customWidth="1"/>
    <col min="11308" max="11308" width="7.7109375" customWidth="1"/>
    <col min="11309" max="11309" width="4.42578125" bestFit="1" customWidth="1"/>
    <col min="11310" max="11310" width="4.42578125" customWidth="1"/>
    <col min="11311" max="11311" width="4.42578125" bestFit="1" customWidth="1"/>
    <col min="11312" max="11312" width="7.7109375" customWidth="1"/>
    <col min="11313" max="11313" width="5.5703125" customWidth="1"/>
    <col min="11314" max="11314" width="4.42578125" customWidth="1"/>
    <col min="11315" max="11315" width="5.5703125" customWidth="1"/>
    <col min="11316" max="11316" width="7.7109375" customWidth="1"/>
    <col min="11317" max="11317" width="5.5703125" customWidth="1"/>
    <col min="11318" max="11318" width="4.42578125" customWidth="1"/>
    <col min="11319" max="11319" width="5.5703125" customWidth="1"/>
    <col min="11320" max="11320" width="7.7109375" customWidth="1"/>
    <col min="11321" max="11321" width="5.5703125" customWidth="1"/>
    <col min="11322" max="11322" width="4.42578125" customWidth="1"/>
    <col min="11323" max="11323" width="5.5703125" customWidth="1"/>
    <col min="11324" max="11324" width="7.7109375" customWidth="1"/>
    <col min="11325" max="11325" width="5.5703125" customWidth="1"/>
    <col min="11326" max="11326" width="4.42578125" customWidth="1"/>
    <col min="11327" max="11327" width="5.5703125" customWidth="1"/>
    <col min="11328" max="11328" width="7.7109375" customWidth="1"/>
    <col min="11329" max="11329" width="5.5703125" customWidth="1"/>
    <col min="11330" max="11330" width="4.42578125" customWidth="1"/>
    <col min="11331" max="11331" width="5.5703125" customWidth="1"/>
    <col min="11332" max="11332" width="7.7109375" customWidth="1"/>
    <col min="11333" max="11333" width="5.5703125" customWidth="1"/>
    <col min="11334" max="11334" width="4.42578125" customWidth="1"/>
    <col min="11335" max="11335" width="5.5703125" customWidth="1"/>
    <col min="11336" max="11336" width="7.7109375" customWidth="1"/>
    <col min="11337" max="11337" width="5.5703125" customWidth="1"/>
    <col min="11338" max="11338" width="4.42578125" customWidth="1"/>
    <col min="11339" max="11339" width="5.5703125" customWidth="1"/>
    <col min="11340" max="11340" width="9.7109375" customWidth="1"/>
    <col min="11341" max="11341" width="27.85546875" customWidth="1"/>
    <col min="11342" max="11352" width="7.7109375" customWidth="1"/>
    <col min="11536" max="11537" width="4" customWidth="1"/>
    <col min="11538" max="11538" width="47" bestFit="1" customWidth="1"/>
    <col min="11539" max="11539" width="38.42578125" customWidth="1"/>
    <col min="11540" max="11540" width="7.7109375" customWidth="1"/>
    <col min="11541" max="11541" width="4.42578125" bestFit="1" customWidth="1"/>
    <col min="11542" max="11542" width="4.42578125" customWidth="1"/>
    <col min="11543" max="11543" width="4.42578125" bestFit="1" customWidth="1"/>
    <col min="11544" max="11544" width="7.7109375" customWidth="1"/>
    <col min="11545" max="11545" width="4.42578125" bestFit="1" customWidth="1"/>
    <col min="11546" max="11546" width="4.42578125" customWidth="1"/>
    <col min="11547" max="11547" width="4.42578125" bestFit="1" customWidth="1"/>
    <col min="11548" max="11548" width="7.7109375" customWidth="1"/>
    <col min="11549" max="11549" width="4.42578125" bestFit="1" customWidth="1"/>
    <col min="11550" max="11550" width="4.42578125" customWidth="1"/>
    <col min="11551" max="11551" width="4.42578125" bestFit="1" customWidth="1"/>
    <col min="11552" max="11552" width="7.7109375" customWidth="1"/>
    <col min="11553" max="11553" width="4.42578125" bestFit="1" customWidth="1"/>
    <col min="11554" max="11554" width="4.42578125" customWidth="1"/>
    <col min="11555" max="11555" width="4.42578125" bestFit="1" customWidth="1"/>
    <col min="11556" max="11556" width="7.7109375" customWidth="1"/>
    <col min="11557" max="11557" width="4.42578125" bestFit="1" customWidth="1"/>
    <col min="11558" max="11558" width="4.42578125" customWidth="1"/>
    <col min="11559" max="11559" width="4.42578125" bestFit="1" customWidth="1"/>
    <col min="11560" max="11560" width="9.85546875" customWidth="1"/>
    <col min="11561" max="11561" width="4.42578125" bestFit="1" customWidth="1"/>
    <col min="11562" max="11562" width="4.42578125" customWidth="1"/>
    <col min="11563" max="11563" width="4.42578125" bestFit="1" customWidth="1"/>
    <col min="11564" max="11564" width="7.7109375" customWidth="1"/>
    <col min="11565" max="11565" width="4.42578125" bestFit="1" customWidth="1"/>
    <col min="11566" max="11566" width="4.42578125" customWidth="1"/>
    <col min="11567" max="11567" width="4.42578125" bestFit="1" customWidth="1"/>
    <col min="11568" max="11568" width="7.7109375" customWidth="1"/>
    <col min="11569" max="11569" width="5.5703125" customWidth="1"/>
    <col min="11570" max="11570" width="4.42578125" customWidth="1"/>
    <col min="11571" max="11571" width="5.5703125" customWidth="1"/>
    <col min="11572" max="11572" width="7.7109375" customWidth="1"/>
    <col min="11573" max="11573" width="5.5703125" customWidth="1"/>
    <col min="11574" max="11574" width="4.42578125" customWidth="1"/>
    <col min="11575" max="11575" width="5.5703125" customWidth="1"/>
    <col min="11576" max="11576" width="7.7109375" customWidth="1"/>
    <col min="11577" max="11577" width="5.5703125" customWidth="1"/>
    <col min="11578" max="11578" width="4.42578125" customWidth="1"/>
    <col min="11579" max="11579" width="5.5703125" customWidth="1"/>
    <col min="11580" max="11580" width="7.7109375" customWidth="1"/>
    <col min="11581" max="11581" width="5.5703125" customWidth="1"/>
    <col min="11582" max="11582" width="4.42578125" customWidth="1"/>
    <col min="11583" max="11583" width="5.5703125" customWidth="1"/>
    <col min="11584" max="11584" width="7.7109375" customWidth="1"/>
    <col min="11585" max="11585" width="5.5703125" customWidth="1"/>
    <col min="11586" max="11586" width="4.42578125" customWidth="1"/>
    <col min="11587" max="11587" width="5.5703125" customWidth="1"/>
    <col min="11588" max="11588" width="7.7109375" customWidth="1"/>
    <col min="11589" max="11589" width="5.5703125" customWidth="1"/>
    <col min="11590" max="11590" width="4.42578125" customWidth="1"/>
    <col min="11591" max="11591" width="5.5703125" customWidth="1"/>
    <col min="11592" max="11592" width="7.7109375" customWidth="1"/>
    <col min="11593" max="11593" width="5.5703125" customWidth="1"/>
    <col min="11594" max="11594" width="4.42578125" customWidth="1"/>
    <col min="11595" max="11595" width="5.5703125" customWidth="1"/>
    <col min="11596" max="11596" width="9.7109375" customWidth="1"/>
    <col min="11597" max="11597" width="27.85546875" customWidth="1"/>
    <col min="11598" max="11608" width="7.7109375" customWidth="1"/>
    <col min="11792" max="11793" width="4" customWidth="1"/>
    <col min="11794" max="11794" width="47" bestFit="1" customWidth="1"/>
    <col min="11795" max="11795" width="38.42578125" customWidth="1"/>
    <col min="11796" max="11796" width="7.7109375" customWidth="1"/>
    <col min="11797" max="11797" width="4.42578125" bestFit="1" customWidth="1"/>
    <col min="11798" max="11798" width="4.42578125" customWidth="1"/>
    <col min="11799" max="11799" width="4.42578125" bestFit="1" customWidth="1"/>
    <col min="11800" max="11800" width="7.7109375" customWidth="1"/>
    <col min="11801" max="11801" width="4.42578125" bestFit="1" customWidth="1"/>
    <col min="11802" max="11802" width="4.42578125" customWidth="1"/>
    <col min="11803" max="11803" width="4.42578125" bestFit="1" customWidth="1"/>
    <col min="11804" max="11804" width="7.7109375" customWidth="1"/>
    <col min="11805" max="11805" width="4.42578125" bestFit="1" customWidth="1"/>
    <col min="11806" max="11806" width="4.42578125" customWidth="1"/>
    <col min="11807" max="11807" width="4.42578125" bestFit="1" customWidth="1"/>
    <col min="11808" max="11808" width="7.7109375" customWidth="1"/>
    <col min="11809" max="11809" width="4.42578125" bestFit="1" customWidth="1"/>
    <col min="11810" max="11810" width="4.42578125" customWidth="1"/>
    <col min="11811" max="11811" width="4.42578125" bestFit="1" customWidth="1"/>
    <col min="11812" max="11812" width="7.7109375" customWidth="1"/>
    <col min="11813" max="11813" width="4.42578125" bestFit="1" customWidth="1"/>
    <col min="11814" max="11814" width="4.42578125" customWidth="1"/>
    <col min="11815" max="11815" width="4.42578125" bestFit="1" customWidth="1"/>
    <col min="11816" max="11816" width="9.85546875" customWidth="1"/>
    <col min="11817" max="11817" width="4.42578125" bestFit="1" customWidth="1"/>
    <col min="11818" max="11818" width="4.42578125" customWidth="1"/>
    <col min="11819" max="11819" width="4.42578125" bestFit="1" customWidth="1"/>
    <col min="11820" max="11820" width="7.7109375" customWidth="1"/>
    <col min="11821" max="11821" width="4.42578125" bestFit="1" customWidth="1"/>
    <col min="11822" max="11822" width="4.42578125" customWidth="1"/>
    <col min="11823" max="11823" width="4.42578125" bestFit="1" customWidth="1"/>
    <col min="11824" max="11824" width="7.7109375" customWidth="1"/>
    <col min="11825" max="11825" width="5.5703125" customWidth="1"/>
    <col min="11826" max="11826" width="4.42578125" customWidth="1"/>
    <col min="11827" max="11827" width="5.5703125" customWidth="1"/>
    <col min="11828" max="11828" width="7.7109375" customWidth="1"/>
    <col min="11829" max="11829" width="5.5703125" customWidth="1"/>
    <col min="11830" max="11830" width="4.42578125" customWidth="1"/>
    <col min="11831" max="11831" width="5.5703125" customWidth="1"/>
    <col min="11832" max="11832" width="7.7109375" customWidth="1"/>
    <col min="11833" max="11833" width="5.5703125" customWidth="1"/>
    <col min="11834" max="11834" width="4.42578125" customWidth="1"/>
    <col min="11835" max="11835" width="5.5703125" customWidth="1"/>
    <col min="11836" max="11836" width="7.7109375" customWidth="1"/>
    <col min="11837" max="11837" width="5.5703125" customWidth="1"/>
    <col min="11838" max="11838" width="4.42578125" customWidth="1"/>
    <col min="11839" max="11839" width="5.5703125" customWidth="1"/>
    <col min="11840" max="11840" width="7.7109375" customWidth="1"/>
    <col min="11841" max="11841" width="5.5703125" customWidth="1"/>
    <col min="11842" max="11842" width="4.42578125" customWidth="1"/>
    <col min="11843" max="11843" width="5.5703125" customWidth="1"/>
    <col min="11844" max="11844" width="7.7109375" customWidth="1"/>
    <col min="11845" max="11845" width="5.5703125" customWidth="1"/>
    <col min="11846" max="11846" width="4.42578125" customWidth="1"/>
    <col min="11847" max="11847" width="5.5703125" customWidth="1"/>
    <col min="11848" max="11848" width="7.7109375" customWidth="1"/>
    <col min="11849" max="11849" width="5.5703125" customWidth="1"/>
    <col min="11850" max="11850" width="4.42578125" customWidth="1"/>
    <col min="11851" max="11851" width="5.5703125" customWidth="1"/>
    <col min="11852" max="11852" width="9.7109375" customWidth="1"/>
    <col min="11853" max="11853" width="27.85546875" customWidth="1"/>
    <col min="11854" max="11864" width="7.7109375" customWidth="1"/>
    <col min="12048" max="12049" width="4" customWidth="1"/>
    <col min="12050" max="12050" width="47" bestFit="1" customWidth="1"/>
    <col min="12051" max="12051" width="38.42578125" customWidth="1"/>
    <col min="12052" max="12052" width="7.7109375" customWidth="1"/>
    <col min="12053" max="12053" width="4.42578125" bestFit="1" customWidth="1"/>
    <col min="12054" max="12054" width="4.42578125" customWidth="1"/>
    <col min="12055" max="12055" width="4.42578125" bestFit="1" customWidth="1"/>
    <col min="12056" max="12056" width="7.7109375" customWidth="1"/>
    <col min="12057" max="12057" width="4.42578125" bestFit="1" customWidth="1"/>
    <col min="12058" max="12058" width="4.42578125" customWidth="1"/>
    <col min="12059" max="12059" width="4.42578125" bestFit="1" customWidth="1"/>
    <col min="12060" max="12060" width="7.7109375" customWidth="1"/>
    <col min="12061" max="12061" width="4.42578125" bestFit="1" customWidth="1"/>
    <col min="12062" max="12062" width="4.42578125" customWidth="1"/>
    <col min="12063" max="12063" width="4.42578125" bestFit="1" customWidth="1"/>
    <col min="12064" max="12064" width="7.7109375" customWidth="1"/>
    <col min="12065" max="12065" width="4.42578125" bestFit="1" customWidth="1"/>
    <col min="12066" max="12066" width="4.42578125" customWidth="1"/>
    <col min="12067" max="12067" width="4.42578125" bestFit="1" customWidth="1"/>
    <col min="12068" max="12068" width="7.7109375" customWidth="1"/>
    <col min="12069" max="12069" width="4.42578125" bestFit="1" customWidth="1"/>
    <col min="12070" max="12070" width="4.42578125" customWidth="1"/>
    <col min="12071" max="12071" width="4.42578125" bestFit="1" customWidth="1"/>
    <col min="12072" max="12072" width="9.85546875" customWidth="1"/>
    <col min="12073" max="12073" width="4.42578125" bestFit="1" customWidth="1"/>
    <col min="12074" max="12074" width="4.42578125" customWidth="1"/>
    <col min="12075" max="12075" width="4.42578125" bestFit="1" customWidth="1"/>
    <col min="12076" max="12076" width="7.7109375" customWidth="1"/>
    <col min="12077" max="12077" width="4.42578125" bestFit="1" customWidth="1"/>
    <col min="12078" max="12078" width="4.42578125" customWidth="1"/>
    <col min="12079" max="12079" width="4.42578125" bestFit="1" customWidth="1"/>
    <col min="12080" max="12080" width="7.7109375" customWidth="1"/>
    <col min="12081" max="12081" width="5.5703125" customWidth="1"/>
    <col min="12082" max="12082" width="4.42578125" customWidth="1"/>
    <col min="12083" max="12083" width="5.5703125" customWidth="1"/>
    <col min="12084" max="12084" width="7.7109375" customWidth="1"/>
    <col min="12085" max="12085" width="5.5703125" customWidth="1"/>
    <col min="12086" max="12086" width="4.42578125" customWidth="1"/>
    <col min="12087" max="12087" width="5.5703125" customWidth="1"/>
    <col min="12088" max="12088" width="7.7109375" customWidth="1"/>
    <col min="12089" max="12089" width="5.5703125" customWidth="1"/>
    <col min="12090" max="12090" width="4.42578125" customWidth="1"/>
    <col min="12091" max="12091" width="5.5703125" customWidth="1"/>
    <col min="12092" max="12092" width="7.7109375" customWidth="1"/>
    <col min="12093" max="12093" width="5.5703125" customWidth="1"/>
    <col min="12094" max="12094" width="4.42578125" customWidth="1"/>
    <col min="12095" max="12095" width="5.5703125" customWidth="1"/>
    <col min="12096" max="12096" width="7.7109375" customWidth="1"/>
    <col min="12097" max="12097" width="5.5703125" customWidth="1"/>
    <col min="12098" max="12098" width="4.42578125" customWidth="1"/>
    <col min="12099" max="12099" width="5.5703125" customWidth="1"/>
    <col min="12100" max="12100" width="7.7109375" customWidth="1"/>
    <col min="12101" max="12101" width="5.5703125" customWidth="1"/>
    <col min="12102" max="12102" width="4.42578125" customWidth="1"/>
    <col min="12103" max="12103" width="5.5703125" customWidth="1"/>
    <col min="12104" max="12104" width="7.7109375" customWidth="1"/>
    <col min="12105" max="12105" width="5.5703125" customWidth="1"/>
    <col min="12106" max="12106" width="4.42578125" customWidth="1"/>
    <col min="12107" max="12107" width="5.5703125" customWidth="1"/>
    <col min="12108" max="12108" width="9.7109375" customWidth="1"/>
    <col min="12109" max="12109" width="27.85546875" customWidth="1"/>
    <col min="12110" max="12120" width="7.7109375" customWidth="1"/>
    <col min="12304" max="12305" width="4" customWidth="1"/>
    <col min="12306" max="12306" width="47" bestFit="1" customWidth="1"/>
    <col min="12307" max="12307" width="38.42578125" customWidth="1"/>
    <col min="12308" max="12308" width="7.7109375" customWidth="1"/>
    <col min="12309" max="12309" width="4.42578125" bestFit="1" customWidth="1"/>
    <col min="12310" max="12310" width="4.42578125" customWidth="1"/>
    <col min="12311" max="12311" width="4.42578125" bestFit="1" customWidth="1"/>
    <col min="12312" max="12312" width="7.7109375" customWidth="1"/>
    <col min="12313" max="12313" width="4.42578125" bestFit="1" customWidth="1"/>
    <col min="12314" max="12314" width="4.42578125" customWidth="1"/>
    <col min="12315" max="12315" width="4.42578125" bestFit="1" customWidth="1"/>
    <col min="12316" max="12316" width="7.7109375" customWidth="1"/>
    <col min="12317" max="12317" width="4.42578125" bestFit="1" customWidth="1"/>
    <col min="12318" max="12318" width="4.42578125" customWidth="1"/>
    <col min="12319" max="12319" width="4.42578125" bestFit="1" customWidth="1"/>
    <col min="12320" max="12320" width="7.7109375" customWidth="1"/>
    <col min="12321" max="12321" width="4.42578125" bestFit="1" customWidth="1"/>
    <col min="12322" max="12322" width="4.42578125" customWidth="1"/>
    <col min="12323" max="12323" width="4.42578125" bestFit="1" customWidth="1"/>
    <col min="12324" max="12324" width="7.7109375" customWidth="1"/>
    <col min="12325" max="12325" width="4.42578125" bestFit="1" customWidth="1"/>
    <col min="12326" max="12326" width="4.42578125" customWidth="1"/>
    <col min="12327" max="12327" width="4.42578125" bestFit="1" customWidth="1"/>
    <col min="12328" max="12328" width="9.85546875" customWidth="1"/>
    <col min="12329" max="12329" width="4.42578125" bestFit="1" customWidth="1"/>
    <col min="12330" max="12330" width="4.42578125" customWidth="1"/>
    <col min="12331" max="12331" width="4.42578125" bestFit="1" customWidth="1"/>
    <col min="12332" max="12332" width="7.7109375" customWidth="1"/>
    <col min="12333" max="12333" width="4.42578125" bestFit="1" customWidth="1"/>
    <col min="12334" max="12334" width="4.42578125" customWidth="1"/>
    <col min="12335" max="12335" width="4.42578125" bestFit="1" customWidth="1"/>
    <col min="12336" max="12336" width="7.7109375" customWidth="1"/>
    <col min="12337" max="12337" width="5.5703125" customWidth="1"/>
    <col min="12338" max="12338" width="4.42578125" customWidth="1"/>
    <col min="12339" max="12339" width="5.5703125" customWidth="1"/>
    <col min="12340" max="12340" width="7.7109375" customWidth="1"/>
    <col min="12341" max="12341" width="5.5703125" customWidth="1"/>
    <col min="12342" max="12342" width="4.42578125" customWidth="1"/>
    <col min="12343" max="12343" width="5.5703125" customWidth="1"/>
    <col min="12344" max="12344" width="7.7109375" customWidth="1"/>
    <col min="12345" max="12345" width="5.5703125" customWidth="1"/>
    <col min="12346" max="12346" width="4.42578125" customWidth="1"/>
    <col min="12347" max="12347" width="5.5703125" customWidth="1"/>
    <col min="12348" max="12348" width="7.7109375" customWidth="1"/>
    <col min="12349" max="12349" width="5.5703125" customWidth="1"/>
    <col min="12350" max="12350" width="4.42578125" customWidth="1"/>
    <col min="12351" max="12351" width="5.5703125" customWidth="1"/>
    <col min="12352" max="12352" width="7.7109375" customWidth="1"/>
    <col min="12353" max="12353" width="5.5703125" customWidth="1"/>
    <col min="12354" max="12354" width="4.42578125" customWidth="1"/>
    <col min="12355" max="12355" width="5.5703125" customWidth="1"/>
    <col min="12356" max="12356" width="7.7109375" customWidth="1"/>
    <col min="12357" max="12357" width="5.5703125" customWidth="1"/>
    <col min="12358" max="12358" width="4.42578125" customWidth="1"/>
    <col min="12359" max="12359" width="5.5703125" customWidth="1"/>
    <col min="12360" max="12360" width="7.7109375" customWidth="1"/>
    <col min="12361" max="12361" width="5.5703125" customWidth="1"/>
    <col min="12362" max="12362" width="4.42578125" customWidth="1"/>
    <col min="12363" max="12363" width="5.5703125" customWidth="1"/>
    <col min="12364" max="12364" width="9.7109375" customWidth="1"/>
    <col min="12365" max="12365" width="27.85546875" customWidth="1"/>
    <col min="12366" max="12376" width="7.7109375" customWidth="1"/>
    <col min="12560" max="12561" width="4" customWidth="1"/>
    <col min="12562" max="12562" width="47" bestFit="1" customWidth="1"/>
    <col min="12563" max="12563" width="38.42578125" customWidth="1"/>
    <col min="12564" max="12564" width="7.7109375" customWidth="1"/>
    <col min="12565" max="12565" width="4.42578125" bestFit="1" customWidth="1"/>
    <col min="12566" max="12566" width="4.42578125" customWidth="1"/>
    <col min="12567" max="12567" width="4.42578125" bestFit="1" customWidth="1"/>
    <col min="12568" max="12568" width="7.7109375" customWidth="1"/>
    <col min="12569" max="12569" width="4.42578125" bestFit="1" customWidth="1"/>
    <col min="12570" max="12570" width="4.42578125" customWidth="1"/>
    <col min="12571" max="12571" width="4.42578125" bestFit="1" customWidth="1"/>
    <col min="12572" max="12572" width="7.7109375" customWidth="1"/>
    <col min="12573" max="12573" width="4.42578125" bestFit="1" customWidth="1"/>
    <col min="12574" max="12574" width="4.42578125" customWidth="1"/>
    <col min="12575" max="12575" width="4.42578125" bestFit="1" customWidth="1"/>
    <col min="12576" max="12576" width="7.7109375" customWidth="1"/>
    <col min="12577" max="12577" width="4.42578125" bestFit="1" customWidth="1"/>
    <col min="12578" max="12578" width="4.42578125" customWidth="1"/>
    <col min="12579" max="12579" width="4.42578125" bestFit="1" customWidth="1"/>
    <col min="12580" max="12580" width="7.7109375" customWidth="1"/>
    <col min="12581" max="12581" width="4.42578125" bestFit="1" customWidth="1"/>
    <col min="12582" max="12582" width="4.42578125" customWidth="1"/>
    <col min="12583" max="12583" width="4.42578125" bestFit="1" customWidth="1"/>
    <col min="12584" max="12584" width="9.85546875" customWidth="1"/>
    <col min="12585" max="12585" width="4.42578125" bestFit="1" customWidth="1"/>
    <col min="12586" max="12586" width="4.42578125" customWidth="1"/>
    <col min="12587" max="12587" width="4.42578125" bestFit="1" customWidth="1"/>
    <col min="12588" max="12588" width="7.7109375" customWidth="1"/>
    <col min="12589" max="12589" width="4.42578125" bestFit="1" customWidth="1"/>
    <col min="12590" max="12590" width="4.42578125" customWidth="1"/>
    <col min="12591" max="12591" width="4.42578125" bestFit="1" customWidth="1"/>
    <col min="12592" max="12592" width="7.7109375" customWidth="1"/>
    <col min="12593" max="12593" width="5.5703125" customWidth="1"/>
    <col min="12594" max="12594" width="4.42578125" customWidth="1"/>
    <col min="12595" max="12595" width="5.5703125" customWidth="1"/>
    <col min="12596" max="12596" width="7.7109375" customWidth="1"/>
    <col min="12597" max="12597" width="5.5703125" customWidth="1"/>
    <col min="12598" max="12598" width="4.42578125" customWidth="1"/>
    <col min="12599" max="12599" width="5.5703125" customWidth="1"/>
    <col min="12600" max="12600" width="7.7109375" customWidth="1"/>
    <col min="12601" max="12601" width="5.5703125" customWidth="1"/>
    <col min="12602" max="12602" width="4.42578125" customWidth="1"/>
    <col min="12603" max="12603" width="5.5703125" customWidth="1"/>
    <col min="12604" max="12604" width="7.7109375" customWidth="1"/>
    <col min="12605" max="12605" width="5.5703125" customWidth="1"/>
    <col min="12606" max="12606" width="4.42578125" customWidth="1"/>
    <col min="12607" max="12607" width="5.5703125" customWidth="1"/>
    <col min="12608" max="12608" width="7.7109375" customWidth="1"/>
    <col min="12609" max="12609" width="5.5703125" customWidth="1"/>
    <col min="12610" max="12610" width="4.42578125" customWidth="1"/>
    <col min="12611" max="12611" width="5.5703125" customWidth="1"/>
    <col min="12612" max="12612" width="7.7109375" customWidth="1"/>
    <col min="12613" max="12613" width="5.5703125" customWidth="1"/>
    <col min="12614" max="12614" width="4.42578125" customWidth="1"/>
    <col min="12615" max="12615" width="5.5703125" customWidth="1"/>
    <col min="12616" max="12616" width="7.7109375" customWidth="1"/>
    <col min="12617" max="12617" width="5.5703125" customWidth="1"/>
    <col min="12618" max="12618" width="4.42578125" customWidth="1"/>
    <col min="12619" max="12619" width="5.5703125" customWidth="1"/>
    <col min="12620" max="12620" width="9.7109375" customWidth="1"/>
    <col min="12621" max="12621" width="27.85546875" customWidth="1"/>
    <col min="12622" max="12632" width="7.7109375" customWidth="1"/>
    <col min="12816" max="12817" width="4" customWidth="1"/>
    <col min="12818" max="12818" width="47" bestFit="1" customWidth="1"/>
    <col min="12819" max="12819" width="38.42578125" customWidth="1"/>
    <col min="12820" max="12820" width="7.7109375" customWidth="1"/>
    <col min="12821" max="12821" width="4.42578125" bestFit="1" customWidth="1"/>
    <col min="12822" max="12822" width="4.42578125" customWidth="1"/>
    <col min="12823" max="12823" width="4.42578125" bestFit="1" customWidth="1"/>
    <col min="12824" max="12824" width="7.7109375" customWidth="1"/>
    <col min="12825" max="12825" width="4.42578125" bestFit="1" customWidth="1"/>
    <col min="12826" max="12826" width="4.42578125" customWidth="1"/>
    <col min="12827" max="12827" width="4.42578125" bestFit="1" customWidth="1"/>
    <col min="12828" max="12828" width="7.7109375" customWidth="1"/>
    <col min="12829" max="12829" width="4.42578125" bestFit="1" customWidth="1"/>
    <col min="12830" max="12830" width="4.42578125" customWidth="1"/>
    <col min="12831" max="12831" width="4.42578125" bestFit="1" customWidth="1"/>
    <col min="12832" max="12832" width="7.7109375" customWidth="1"/>
    <col min="12833" max="12833" width="4.42578125" bestFit="1" customWidth="1"/>
    <col min="12834" max="12834" width="4.42578125" customWidth="1"/>
    <col min="12835" max="12835" width="4.42578125" bestFit="1" customWidth="1"/>
    <col min="12836" max="12836" width="7.7109375" customWidth="1"/>
    <col min="12837" max="12837" width="4.42578125" bestFit="1" customWidth="1"/>
    <col min="12838" max="12838" width="4.42578125" customWidth="1"/>
    <col min="12839" max="12839" width="4.42578125" bestFit="1" customWidth="1"/>
    <col min="12840" max="12840" width="9.85546875" customWidth="1"/>
    <col min="12841" max="12841" width="4.42578125" bestFit="1" customWidth="1"/>
    <col min="12842" max="12842" width="4.42578125" customWidth="1"/>
    <col min="12843" max="12843" width="4.42578125" bestFit="1" customWidth="1"/>
    <col min="12844" max="12844" width="7.7109375" customWidth="1"/>
    <col min="12845" max="12845" width="4.42578125" bestFit="1" customWidth="1"/>
    <col min="12846" max="12846" width="4.42578125" customWidth="1"/>
    <col min="12847" max="12847" width="4.42578125" bestFit="1" customWidth="1"/>
    <col min="12848" max="12848" width="7.7109375" customWidth="1"/>
    <col min="12849" max="12849" width="5.5703125" customWidth="1"/>
    <col min="12850" max="12850" width="4.42578125" customWidth="1"/>
    <col min="12851" max="12851" width="5.5703125" customWidth="1"/>
    <col min="12852" max="12852" width="7.7109375" customWidth="1"/>
    <col min="12853" max="12853" width="5.5703125" customWidth="1"/>
    <col min="12854" max="12854" width="4.42578125" customWidth="1"/>
    <col min="12855" max="12855" width="5.5703125" customWidth="1"/>
    <col min="12856" max="12856" width="7.7109375" customWidth="1"/>
    <col min="12857" max="12857" width="5.5703125" customWidth="1"/>
    <col min="12858" max="12858" width="4.42578125" customWidth="1"/>
    <col min="12859" max="12859" width="5.5703125" customWidth="1"/>
    <col min="12860" max="12860" width="7.7109375" customWidth="1"/>
    <col min="12861" max="12861" width="5.5703125" customWidth="1"/>
    <col min="12862" max="12862" width="4.42578125" customWidth="1"/>
    <col min="12863" max="12863" width="5.5703125" customWidth="1"/>
    <col min="12864" max="12864" width="7.7109375" customWidth="1"/>
    <col min="12865" max="12865" width="5.5703125" customWidth="1"/>
    <col min="12866" max="12866" width="4.42578125" customWidth="1"/>
    <col min="12867" max="12867" width="5.5703125" customWidth="1"/>
    <col min="12868" max="12868" width="7.7109375" customWidth="1"/>
    <col min="12869" max="12869" width="5.5703125" customWidth="1"/>
    <col min="12870" max="12870" width="4.42578125" customWidth="1"/>
    <col min="12871" max="12871" width="5.5703125" customWidth="1"/>
    <col min="12872" max="12872" width="7.7109375" customWidth="1"/>
    <col min="12873" max="12873" width="5.5703125" customWidth="1"/>
    <col min="12874" max="12874" width="4.42578125" customWidth="1"/>
    <col min="12875" max="12875" width="5.5703125" customWidth="1"/>
    <col min="12876" max="12876" width="9.7109375" customWidth="1"/>
    <col min="12877" max="12877" width="27.85546875" customWidth="1"/>
    <col min="12878" max="12888" width="7.7109375" customWidth="1"/>
    <col min="13072" max="13073" width="4" customWidth="1"/>
    <col min="13074" max="13074" width="47" bestFit="1" customWidth="1"/>
    <col min="13075" max="13075" width="38.42578125" customWidth="1"/>
    <col min="13076" max="13076" width="7.7109375" customWidth="1"/>
    <col min="13077" max="13077" width="4.42578125" bestFit="1" customWidth="1"/>
    <col min="13078" max="13078" width="4.42578125" customWidth="1"/>
    <col min="13079" max="13079" width="4.42578125" bestFit="1" customWidth="1"/>
    <col min="13080" max="13080" width="7.7109375" customWidth="1"/>
    <col min="13081" max="13081" width="4.42578125" bestFit="1" customWidth="1"/>
    <col min="13082" max="13082" width="4.42578125" customWidth="1"/>
    <col min="13083" max="13083" width="4.42578125" bestFit="1" customWidth="1"/>
    <col min="13084" max="13084" width="7.7109375" customWidth="1"/>
    <col min="13085" max="13085" width="4.42578125" bestFit="1" customWidth="1"/>
    <col min="13086" max="13086" width="4.42578125" customWidth="1"/>
    <col min="13087" max="13087" width="4.42578125" bestFit="1" customWidth="1"/>
    <col min="13088" max="13088" width="7.7109375" customWidth="1"/>
    <col min="13089" max="13089" width="4.42578125" bestFit="1" customWidth="1"/>
    <col min="13090" max="13090" width="4.42578125" customWidth="1"/>
    <col min="13091" max="13091" width="4.42578125" bestFit="1" customWidth="1"/>
    <col min="13092" max="13092" width="7.7109375" customWidth="1"/>
    <col min="13093" max="13093" width="4.42578125" bestFit="1" customWidth="1"/>
    <col min="13094" max="13094" width="4.42578125" customWidth="1"/>
    <col min="13095" max="13095" width="4.42578125" bestFit="1" customWidth="1"/>
    <col min="13096" max="13096" width="9.85546875" customWidth="1"/>
    <col min="13097" max="13097" width="4.42578125" bestFit="1" customWidth="1"/>
    <col min="13098" max="13098" width="4.42578125" customWidth="1"/>
    <col min="13099" max="13099" width="4.42578125" bestFit="1" customWidth="1"/>
    <col min="13100" max="13100" width="7.7109375" customWidth="1"/>
    <col min="13101" max="13101" width="4.42578125" bestFit="1" customWidth="1"/>
    <col min="13102" max="13102" width="4.42578125" customWidth="1"/>
    <col min="13103" max="13103" width="4.42578125" bestFit="1" customWidth="1"/>
    <col min="13104" max="13104" width="7.7109375" customWidth="1"/>
    <col min="13105" max="13105" width="5.5703125" customWidth="1"/>
    <col min="13106" max="13106" width="4.42578125" customWidth="1"/>
    <col min="13107" max="13107" width="5.5703125" customWidth="1"/>
    <col min="13108" max="13108" width="7.7109375" customWidth="1"/>
    <col min="13109" max="13109" width="5.5703125" customWidth="1"/>
    <col min="13110" max="13110" width="4.42578125" customWidth="1"/>
    <col min="13111" max="13111" width="5.5703125" customWidth="1"/>
    <col min="13112" max="13112" width="7.7109375" customWidth="1"/>
    <col min="13113" max="13113" width="5.5703125" customWidth="1"/>
    <col min="13114" max="13114" width="4.42578125" customWidth="1"/>
    <col min="13115" max="13115" width="5.5703125" customWidth="1"/>
    <col min="13116" max="13116" width="7.7109375" customWidth="1"/>
    <col min="13117" max="13117" width="5.5703125" customWidth="1"/>
    <col min="13118" max="13118" width="4.42578125" customWidth="1"/>
    <col min="13119" max="13119" width="5.5703125" customWidth="1"/>
    <col min="13120" max="13120" width="7.7109375" customWidth="1"/>
    <col min="13121" max="13121" width="5.5703125" customWidth="1"/>
    <col min="13122" max="13122" width="4.42578125" customWidth="1"/>
    <col min="13123" max="13123" width="5.5703125" customWidth="1"/>
    <col min="13124" max="13124" width="7.7109375" customWidth="1"/>
    <col min="13125" max="13125" width="5.5703125" customWidth="1"/>
    <col min="13126" max="13126" width="4.42578125" customWidth="1"/>
    <col min="13127" max="13127" width="5.5703125" customWidth="1"/>
    <col min="13128" max="13128" width="7.7109375" customWidth="1"/>
    <col min="13129" max="13129" width="5.5703125" customWidth="1"/>
    <col min="13130" max="13130" width="4.42578125" customWidth="1"/>
    <col min="13131" max="13131" width="5.5703125" customWidth="1"/>
    <col min="13132" max="13132" width="9.7109375" customWidth="1"/>
    <col min="13133" max="13133" width="27.85546875" customWidth="1"/>
    <col min="13134" max="13144" width="7.7109375" customWidth="1"/>
    <col min="13328" max="13329" width="4" customWidth="1"/>
    <col min="13330" max="13330" width="47" bestFit="1" customWidth="1"/>
    <col min="13331" max="13331" width="38.42578125" customWidth="1"/>
    <col min="13332" max="13332" width="7.7109375" customWidth="1"/>
    <col min="13333" max="13333" width="4.42578125" bestFit="1" customWidth="1"/>
    <col min="13334" max="13334" width="4.42578125" customWidth="1"/>
    <col min="13335" max="13335" width="4.42578125" bestFit="1" customWidth="1"/>
    <col min="13336" max="13336" width="7.7109375" customWidth="1"/>
    <col min="13337" max="13337" width="4.42578125" bestFit="1" customWidth="1"/>
    <col min="13338" max="13338" width="4.42578125" customWidth="1"/>
    <col min="13339" max="13339" width="4.42578125" bestFit="1" customWidth="1"/>
    <col min="13340" max="13340" width="7.7109375" customWidth="1"/>
    <col min="13341" max="13341" width="4.42578125" bestFit="1" customWidth="1"/>
    <col min="13342" max="13342" width="4.42578125" customWidth="1"/>
    <col min="13343" max="13343" width="4.42578125" bestFit="1" customWidth="1"/>
    <col min="13344" max="13344" width="7.7109375" customWidth="1"/>
    <col min="13345" max="13345" width="4.42578125" bestFit="1" customWidth="1"/>
    <col min="13346" max="13346" width="4.42578125" customWidth="1"/>
    <col min="13347" max="13347" width="4.42578125" bestFit="1" customWidth="1"/>
    <col min="13348" max="13348" width="7.7109375" customWidth="1"/>
    <col min="13349" max="13349" width="4.42578125" bestFit="1" customWidth="1"/>
    <col min="13350" max="13350" width="4.42578125" customWidth="1"/>
    <col min="13351" max="13351" width="4.42578125" bestFit="1" customWidth="1"/>
    <col min="13352" max="13352" width="9.85546875" customWidth="1"/>
    <col min="13353" max="13353" width="4.42578125" bestFit="1" customWidth="1"/>
    <col min="13354" max="13354" width="4.42578125" customWidth="1"/>
    <col min="13355" max="13355" width="4.42578125" bestFit="1" customWidth="1"/>
    <col min="13356" max="13356" width="7.7109375" customWidth="1"/>
    <col min="13357" max="13357" width="4.42578125" bestFit="1" customWidth="1"/>
    <col min="13358" max="13358" width="4.42578125" customWidth="1"/>
    <col min="13359" max="13359" width="4.42578125" bestFit="1" customWidth="1"/>
    <col min="13360" max="13360" width="7.7109375" customWidth="1"/>
    <col min="13361" max="13361" width="5.5703125" customWidth="1"/>
    <col min="13362" max="13362" width="4.42578125" customWidth="1"/>
    <col min="13363" max="13363" width="5.5703125" customWidth="1"/>
    <col min="13364" max="13364" width="7.7109375" customWidth="1"/>
    <col min="13365" max="13365" width="5.5703125" customWidth="1"/>
    <col min="13366" max="13366" width="4.42578125" customWidth="1"/>
    <col min="13367" max="13367" width="5.5703125" customWidth="1"/>
    <col min="13368" max="13368" width="7.7109375" customWidth="1"/>
    <col min="13369" max="13369" width="5.5703125" customWidth="1"/>
    <col min="13370" max="13370" width="4.42578125" customWidth="1"/>
    <col min="13371" max="13371" width="5.5703125" customWidth="1"/>
    <col min="13372" max="13372" width="7.7109375" customWidth="1"/>
    <col min="13373" max="13373" width="5.5703125" customWidth="1"/>
    <col min="13374" max="13374" width="4.42578125" customWidth="1"/>
    <col min="13375" max="13375" width="5.5703125" customWidth="1"/>
    <col min="13376" max="13376" width="7.7109375" customWidth="1"/>
    <col min="13377" max="13377" width="5.5703125" customWidth="1"/>
    <col min="13378" max="13378" width="4.42578125" customWidth="1"/>
    <col min="13379" max="13379" width="5.5703125" customWidth="1"/>
    <col min="13380" max="13380" width="7.7109375" customWidth="1"/>
    <col min="13381" max="13381" width="5.5703125" customWidth="1"/>
    <col min="13382" max="13382" width="4.42578125" customWidth="1"/>
    <col min="13383" max="13383" width="5.5703125" customWidth="1"/>
    <col min="13384" max="13384" width="7.7109375" customWidth="1"/>
    <col min="13385" max="13385" width="5.5703125" customWidth="1"/>
    <col min="13386" max="13386" width="4.42578125" customWidth="1"/>
    <col min="13387" max="13387" width="5.5703125" customWidth="1"/>
    <col min="13388" max="13388" width="9.7109375" customWidth="1"/>
    <col min="13389" max="13389" width="27.85546875" customWidth="1"/>
    <col min="13390" max="13400" width="7.7109375" customWidth="1"/>
    <col min="13584" max="13585" width="4" customWidth="1"/>
    <col min="13586" max="13586" width="47" bestFit="1" customWidth="1"/>
    <col min="13587" max="13587" width="38.42578125" customWidth="1"/>
    <col min="13588" max="13588" width="7.7109375" customWidth="1"/>
    <col min="13589" max="13589" width="4.42578125" bestFit="1" customWidth="1"/>
    <col min="13590" max="13590" width="4.42578125" customWidth="1"/>
    <col min="13591" max="13591" width="4.42578125" bestFit="1" customWidth="1"/>
    <col min="13592" max="13592" width="7.7109375" customWidth="1"/>
    <col min="13593" max="13593" width="4.42578125" bestFit="1" customWidth="1"/>
    <col min="13594" max="13594" width="4.42578125" customWidth="1"/>
    <col min="13595" max="13595" width="4.42578125" bestFit="1" customWidth="1"/>
    <col min="13596" max="13596" width="7.7109375" customWidth="1"/>
    <col min="13597" max="13597" width="4.42578125" bestFit="1" customWidth="1"/>
    <col min="13598" max="13598" width="4.42578125" customWidth="1"/>
    <col min="13599" max="13599" width="4.42578125" bestFit="1" customWidth="1"/>
    <col min="13600" max="13600" width="7.7109375" customWidth="1"/>
    <col min="13601" max="13601" width="4.42578125" bestFit="1" customWidth="1"/>
    <col min="13602" max="13602" width="4.42578125" customWidth="1"/>
    <col min="13603" max="13603" width="4.42578125" bestFit="1" customWidth="1"/>
    <col min="13604" max="13604" width="7.7109375" customWidth="1"/>
    <col min="13605" max="13605" width="4.42578125" bestFit="1" customWidth="1"/>
    <col min="13606" max="13606" width="4.42578125" customWidth="1"/>
    <col min="13607" max="13607" width="4.42578125" bestFit="1" customWidth="1"/>
    <col min="13608" max="13608" width="9.85546875" customWidth="1"/>
    <col min="13609" max="13609" width="4.42578125" bestFit="1" customWidth="1"/>
    <col min="13610" max="13610" width="4.42578125" customWidth="1"/>
    <col min="13611" max="13611" width="4.42578125" bestFit="1" customWidth="1"/>
    <col min="13612" max="13612" width="7.7109375" customWidth="1"/>
    <col min="13613" max="13613" width="4.42578125" bestFit="1" customWidth="1"/>
    <col min="13614" max="13614" width="4.42578125" customWidth="1"/>
    <col min="13615" max="13615" width="4.42578125" bestFit="1" customWidth="1"/>
    <col min="13616" max="13616" width="7.7109375" customWidth="1"/>
    <col min="13617" max="13617" width="5.5703125" customWidth="1"/>
    <col min="13618" max="13618" width="4.42578125" customWidth="1"/>
    <col min="13619" max="13619" width="5.5703125" customWidth="1"/>
    <col min="13620" max="13620" width="7.7109375" customWidth="1"/>
    <col min="13621" max="13621" width="5.5703125" customWidth="1"/>
    <col min="13622" max="13622" width="4.42578125" customWidth="1"/>
    <col min="13623" max="13623" width="5.5703125" customWidth="1"/>
    <col min="13624" max="13624" width="7.7109375" customWidth="1"/>
    <col min="13625" max="13625" width="5.5703125" customWidth="1"/>
    <col min="13626" max="13626" width="4.42578125" customWidth="1"/>
    <col min="13627" max="13627" width="5.5703125" customWidth="1"/>
    <col min="13628" max="13628" width="7.7109375" customWidth="1"/>
    <col min="13629" max="13629" width="5.5703125" customWidth="1"/>
    <col min="13630" max="13630" width="4.42578125" customWidth="1"/>
    <col min="13631" max="13631" width="5.5703125" customWidth="1"/>
    <col min="13632" max="13632" width="7.7109375" customWidth="1"/>
    <col min="13633" max="13633" width="5.5703125" customWidth="1"/>
    <col min="13634" max="13634" width="4.42578125" customWidth="1"/>
    <col min="13635" max="13635" width="5.5703125" customWidth="1"/>
    <col min="13636" max="13636" width="7.7109375" customWidth="1"/>
    <col min="13637" max="13637" width="5.5703125" customWidth="1"/>
    <col min="13638" max="13638" width="4.42578125" customWidth="1"/>
    <col min="13639" max="13639" width="5.5703125" customWidth="1"/>
    <col min="13640" max="13640" width="7.7109375" customWidth="1"/>
    <col min="13641" max="13641" width="5.5703125" customWidth="1"/>
    <col min="13642" max="13642" width="4.42578125" customWidth="1"/>
    <col min="13643" max="13643" width="5.5703125" customWidth="1"/>
    <col min="13644" max="13644" width="9.7109375" customWidth="1"/>
    <col min="13645" max="13645" width="27.85546875" customWidth="1"/>
    <col min="13646" max="13656" width="7.7109375" customWidth="1"/>
    <col min="13840" max="13841" width="4" customWidth="1"/>
    <col min="13842" max="13842" width="47" bestFit="1" customWidth="1"/>
    <col min="13843" max="13843" width="38.42578125" customWidth="1"/>
    <col min="13844" max="13844" width="7.7109375" customWidth="1"/>
    <col min="13845" max="13845" width="4.42578125" bestFit="1" customWidth="1"/>
    <col min="13846" max="13846" width="4.42578125" customWidth="1"/>
    <col min="13847" max="13847" width="4.42578125" bestFit="1" customWidth="1"/>
    <col min="13848" max="13848" width="7.7109375" customWidth="1"/>
    <col min="13849" max="13849" width="4.42578125" bestFit="1" customWidth="1"/>
    <col min="13850" max="13850" width="4.42578125" customWidth="1"/>
    <col min="13851" max="13851" width="4.42578125" bestFit="1" customWidth="1"/>
    <col min="13852" max="13852" width="7.7109375" customWidth="1"/>
    <col min="13853" max="13853" width="4.42578125" bestFit="1" customWidth="1"/>
    <col min="13854" max="13854" width="4.42578125" customWidth="1"/>
    <col min="13855" max="13855" width="4.42578125" bestFit="1" customWidth="1"/>
    <col min="13856" max="13856" width="7.7109375" customWidth="1"/>
    <col min="13857" max="13857" width="4.42578125" bestFit="1" customWidth="1"/>
    <col min="13858" max="13858" width="4.42578125" customWidth="1"/>
    <col min="13859" max="13859" width="4.42578125" bestFit="1" customWidth="1"/>
    <col min="13860" max="13860" width="7.7109375" customWidth="1"/>
    <col min="13861" max="13861" width="4.42578125" bestFit="1" customWidth="1"/>
    <col min="13862" max="13862" width="4.42578125" customWidth="1"/>
    <col min="13863" max="13863" width="4.42578125" bestFit="1" customWidth="1"/>
    <col min="13864" max="13864" width="9.85546875" customWidth="1"/>
    <col min="13865" max="13865" width="4.42578125" bestFit="1" customWidth="1"/>
    <col min="13866" max="13866" width="4.42578125" customWidth="1"/>
    <col min="13867" max="13867" width="4.42578125" bestFit="1" customWidth="1"/>
    <col min="13868" max="13868" width="7.7109375" customWidth="1"/>
    <col min="13869" max="13869" width="4.42578125" bestFit="1" customWidth="1"/>
    <col min="13870" max="13870" width="4.42578125" customWidth="1"/>
    <col min="13871" max="13871" width="4.42578125" bestFit="1" customWidth="1"/>
    <col min="13872" max="13872" width="7.7109375" customWidth="1"/>
    <col min="13873" max="13873" width="5.5703125" customWidth="1"/>
    <col min="13874" max="13874" width="4.42578125" customWidth="1"/>
    <col min="13875" max="13875" width="5.5703125" customWidth="1"/>
    <col min="13876" max="13876" width="7.7109375" customWidth="1"/>
    <col min="13877" max="13877" width="5.5703125" customWidth="1"/>
    <col min="13878" max="13878" width="4.42578125" customWidth="1"/>
    <col min="13879" max="13879" width="5.5703125" customWidth="1"/>
    <col min="13880" max="13880" width="7.7109375" customWidth="1"/>
    <col min="13881" max="13881" width="5.5703125" customWidth="1"/>
    <col min="13882" max="13882" width="4.42578125" customWidth="1"/>
    <col min="13883" max="13883" width="5.5703125" customWidth="1"/>
    <col min="13884" max="13884" width="7.7109375" customWidth="1"/>
    <col min="13885" max="13885" width="5.5703125" customWidth="1"/>
    <col min="13886" max="13886" width="4.42578125" customWidth="1"/>
    <col min="13887" max="13887" width="5.5703125" customWidth="1"/>
    <col min="13888" max="13888" width="7.7109375" customWidth="1"/>
    <col min="13889" max="13889" width="5.5703125" customWidth="1"/>
    <col min="13890" max="13890" width="4.42578125" customWidth="1"/>
    <col min="13891" max="13891" width="5.5703125" customWidth="1"/>
    <col min="13892" max="13892" width="7.7109375" customWidth="1"/>
    <col min="13893" max="13893" width="5.5703125" customWidth="1"/>
    <col min="13894" max="13894" width="4.42578125" customWidth="1"/>
    <col min="13895" max="13895" width="5.5703125" customWidth="1"/>
    <col min="13896" max="13896" width="7.7109375" customWidth="1"/>
    <col min="13897" max="13897" width="5.5703125" customWidth="1"/>
    <col min="13898" max="13898" width="4.42578125" customWidth="1"/>
    <col min="13899" max="13899" width="5.5703125" customWidth="1"/>
    <col min="13900" max="13900" width="9.7109375" customWidth="1"/>
    <col min="13901" max="13901" width="27.85546875" customWidth="1"/>
    <col min="13902" max="13912" width="7.7109375" customWidth="1"/>
    <col min="14096" max="14097" width="4" customWidth="1"/>
    <col min="14098" max="14098" width="47" bestFit="1" customWidth="1"/>
    <col min="14099" max="14099" width="38.42578125" customWidth="1"/>
    <col min="14100" max="14100" width="7.7109375" customWidth="1"/>
    <col min="14101" max="14101" width="4.42578125" bestFit="1" customWidth="1"/>
    <col min="14102" max="14102" width="4.42578125" customWidth="1"/>
    <col min="14103" max="14103" width="4.42578125" bestFit="1" customWidth="1"/>
    <col min="14104" max="14104" width="7.7109375" customWidth="1"/>
    <col min="14105" max="14105" width="4.42578125" bestFit="1" customWidth="1"/>
    <col min="14106" max="14106" width="4.42578125" customWidth="1"/>
    <col min="14107" max="14107" width="4.42578125" bestFit="1" customWidth="1"/>
    <col min="14108" max="14108" width="7.7109375" customWidth="1"/>
    <col min="14109" max="14109" width="4.42578125" bestFit="1" customWidth="1"/>
    <col min="14110" max="14110" width="4.42578125" customWidth="1"/>
    <col min="14111" max="14111" width="4.42578125" bestFit="1" customWidth="1"/>
    <col min="14112" max="14112" width="7.7109375" customWidth="1"/>
    <col min="14113" max="14113" width="4.42578125" bestFit="1" customWidth="1"/>
    <col min="14114" max="14114" width="4.42578125" customWidth="1"/>
    <col min="14115" max="14115" width="4.42578125" bestFit="1" customWidth="1"/>
    <col min="14116" max="14116" width="7.7109375" customWidth="1"/>
    <col min="14117" max="14117" width="4.42578125" bestFit="1" customWidth="1"/>
    <col min="14118" max="14118" width="4.42578125" customWidth="1"/>
    <col min="14119" max="14119" width="4.42578125" bestFit="1" customWidth="1"/>
    <col min="14120" max="14120" width="9.85546875" customWidth="1"/>
    <col min="14121" max="14121" width="4.42578125" bestFit="1" customWidth="1"/>
    <col min="14122" max="14122" width="4.42578125" customWidth="1"/>
    <col min="14123" max="14123" width="4.42578125" bestFit="1" customWidth="1"/>
    <col min="14124" max="14124" width="7.7109375" customWidth="1"/>
    <col min="14125" max="14125" width="4.42578125" bestFit="1" customWidth="1"/>
    <col min="14126" max="14126" width="4.42578125" customWidth="1"/>
    <col min="14127" max="14127" width="4.42578125" bestFit="1" customWidth="1"/>
    <col min="14128" max="14128" width="7.7109375" customWidth="1"/>
    <col min="14129" max="14129" width="5.5703125" customWidth="1"/>
    <col min="14130" max="14130" width="4.42578125" customWidth="1"/>
    <col min="14131" max="14131" width="5.5703125" customWidth="1"/>
    <col min="14132" max="14132" width="7.7109375" customWidth="1"/>
    <col min="14133" max="14133" width="5.5703125" customWidth="1"/>
    <col min="14134" max="14134" width="4.42578125" customWidth="1"/>
    <col min="14135" max="14135" width="5.5703125" customWidth="1"/>
    <col min="14136" max="14136" width="7.7109375" customWidth="1"/>
    <col min="14137" max="14137" width="5.5703125" customWidth="1"/>
    <col min="14138" max="14138" width="4.42578125" customWidth="1"/>
    <col min="14139" max="14139" width="5.5703125" customWidth="1"/>
    <col min="14140" max="14140" width="7.7109375" customWidth="1"/>
    <col min="14141" max="14141" width="5.5703125" customWidth="1"/>
    <col min="14142" max="14142" width="4.42578125" customWidth="1"/>
    <col min="14143" max="14143" width="5.5703125" customWidth="1"/>
    <col min="14144" max="14144" width="7.7109375" customWidth="1"/>
    <col min="14145" max="14145" width="5.5703125" customWidth="1"/>
    <col min="14146" max="14146" width="4.42578125" customWidth="1"/>
    <col min="14147" max="14147" width="5.5703125" customWidth="1"/>
    <col min="14148" max="14148" width="7.7109375" customWidth="1"/>
    <col min="14149" max="14149" width="5.5703125" customWidth="1"/>
    <col min="14150" max="14150" width="4.42578125" customWidth="1"/>
    <col min="14151" max="14151" width="5.5703125" customWidth="1"/>
    <col min="14152" max="14152" width="7.7109375" customWidth="1"/>
    <col min="14153" max="14153" width="5.5703125" customWidth="1"/>
    <col min="14154" max="14154" width="4.42578125" customWidth="1"/>
    <col min="14155" max="14155" width="5.5703125" customWidth="1"/>
    <col min="14156" max="14156" width="9.7109375" customWidth="1"/>
    <col min="14157" max="14157" width="27.85546875" customWidth="1"/>
    <col min="14158" max="14168" width="7.7109375" customWidth="1"/>
    <col min="14352" max="14353" width="4" customWidth="1"/>
    <col min="14354" max="14354" width="47" bestFit="1" customWidth="1"/>
    <col min="14355" max="14355" width="38.42578125" customWidth="1"/>
    <col min="14356" max="14356" width="7.7109375" customWidth="1"/>
    <col min="14357" max="14357" width="4.42578125" bestFit="1" customWidth="1"/>
    <col min="14358" max="14358" width="4.42578125" customWidth="1"/>
    <col min="14359" max="14359" width="4.42578125" bestFit="1" customWidth="1"/>
    <col min="14360" max="14360" width="7.7109375" customWidth="1"/>
    <col min="14361" max="14361" width="4.42578125" bestFit="1" customWidth="1"/>
    <col min="14362" max="14362" width="4.42578125" customWidth="1"/>
    <col min="14363" max="14363" width="4.42578125" bestFit="1" customWidth="1"/>
    <col min="14364" max="14364" width="7.7109375" customWidth="1"/>
    <col min="14365" max="14365" width="4.42578125" bestFit="1" customWidth="1"/>
    <col min="14366" max="14366" width="4.42578125" customWidth="1"/>
    <col min="14367" max="14367" width="4.42578125" bestFit="1" customWidth="1"/>
    <col min="14368" max="14368" width="7.7109375" customWidth="1"/>
    <col min="14369" max="14369" width="4.42578125" bestFit="1" customWidth="1"/>
    <col min="14370" max="14370" width="4.42578125" customWidth="1"/>
    <col min="14371" max="14371" width="4.42578125" bestFit="1" customWidth="1"/>
    <col min="14372" max="14372" width="7.7109375" customWidth="1"/>
    <col min="14373" max="14373" width="4.42578125" bestFit="1" customWidth="1"/>
    <col min="14374" max="14374" width="4.42578125" customWidth="1"/>
    <col min="14375" max="14375" width="4.42578125" bestFit="1" customWidth="1"/>
    <col min="14376" max="14376" width="9.85546875" customWidth="1"/>
    <col min="14377" max="14377" width="4.42578125" bestFit="1" customWidth="1"/>
    <col min="14378" max="14378" width="4.42578125" customWidth="1"/>
    <col min="14379" max="14379" width="4.42578125" bestFit="1" customWidth="1"/>
    <col min="14380" max="14380" width="7.7109375" customWidth="1"/>
    <col min="14381" max="14381" width="4.42578125" bestFit="1" customWidth="1"/>
    <col min="14382" max="14382" width="4.42578125" customWidth="1"/>
    <col min="14383" max="14383" width="4.42578125" bestFit="1" customWidth="1"/>
    <col min="14384" max="14384" width="7.7109375" customWidth="1"/>
    <col min="14385" max="14385" width="5.5703125" customWidth="1"/>
    <col min="14386" max="14386" width="4.42578125" customWidth="1"/>
    <col min="14387" max="14387" width="5.5703125" customWidth="1"/>
    <col min="14388" max="14388" width="7.7109375" customWidth="1"/>
    <col min="14389" max="14389" width="5.5703125" customWidth="1"/>
    <col min="14390" max="14390" width="4.42578125" customWidth="1"/>
    <col min="14391" max="14391" width="5.5703125" customWidth="1"/>
    <col min="14392" max="14392" width="7.7109375" customWidth="1"/>
    <col min="14393" max="14393" width="5.5703125" customWidth="1"/>
    <col min="14394" max="14394" width="4.42578125" customWidth="1"/>
    <col min="14395" max="14395" width="5.5703125" customWidth="1"/>
    <col min="14396" max="14396" width="7.7109375" customWidth="1"/>
    <col min="14397" max="14397" width="5.5703125" customWidth="1"/>
    <col min="14398" max="14398" width="4.42578125" customWidth="1"/>
    <col min="14399" max="14399" width="5.5703125" customWidth="1"/>
    <col min="14400" max="14400" width="7.7109375" customWidth="1"/>
    <col min="14401" max="14401" width="5.5703125" customWidth="1"/>
    <col min="14402" max="14402" width="4.42578125" customWidth="1"/>
    <col min="14403" max="14403" width="5.5703125" customWidth="1"/>
    <col min="14404" max="14404" width="7.7109375" customWidth="1"/>
    <col min="14405" max="14405" width="5.5703125" customWidth="1"/>
    <col min="14406" max="14406" width="4.42578125" customWidth="1"/>
    <col min="14407" max="14407" width="5.5703125" customWidth="1"/>
    <col min="14408" max="14408" width="7.7109375" customWidth="1"/>
    <col min="14409" max="14409" width="5.5703125" customWidth="1"/>
    <col min="14410" max="14410" width="4.42578125" customWidth="1"/>
    <col min="14411" max="14411" width="5.5703125" customWidth="1"/>
    <col min="14412" max="14412" width="9.7109375" customWidth="1"/>
    <col min="14413" max="14413" width="27.85546875" customWidth="1"/>
    <col min="14414" max="14424" width="7.7109375" customWidth="1"/>
    <col min="14608" max="14609" width="4" customWidth="1"/>
    <col min="14610" max="14610" width="47" bestFit="1" customWidth="1"/>
    <col min="14611" max="14611" width="38.42578125" customWidth="1"/>
    <col min="14612" max="14612" width="7.7109375" customWidth="1"/>
    <col min="14613" max="14613" width="4.42578125" bestFit="1" customWidth="1"/>
    <col min="14614" max="14614" width="4.42578125" customWidth="1"/>
    <col min="14615" max="14615" width="4.42578125" bestFit="1" customWidth="1"/>
    <col min="14616" max="14616" width="7.7109375" customWidth="1"/>
    <col min="14617" max="14617" width="4.42578125" bestFit="1" customWidth="1"/>
    <col min="14618" max="14618" width="4.42578125" customWidth="1"/>
    <col min="14619" max="14619" width="4.42578125" bestFit="1" customWidth="1"/>
    <col min="14620" max="14620" width="7.7109375" customWidth="1"/>
    <col min="14621" max="14621" width="4.42578125" bestFit="1" customWidth="1"/>
    <col min="14622" max="14622" width="4.42578125" customWidth="1"/>
    <col min="14623" max="14623" width="4.42578125" bestFit="1" customWidth="1"/>
    <col min="14624" max="14624" width="7.7109375" customWidth="1"/>
    <col min="14625" max="14625" width="4.42578125" bestFit="1" customWidth="1"/>
    <col min="14626" max="14626" width="4.42578125" customWidth="1"/>
    <col min="14627" max="14627" width="4.42578125" bestFit="1" customWidth="1"/>
    <col min="14628" max="14628" width="7.7109375" customWidth="1"/>
    <col min="14629" max="14629" width="4.42578125" bestFit="1" customWidth="1"/>
    <col min="14630" max="14630" width="4.42578125" customWidth="1"/>
    <col min="14631" max="14631" width="4.42578125" bestFit="1" customWidth="1"/>
    <col min="14632" max="14632" width="9.85546875" customWidth="1"/>
    <col min="14633" max="14633" width="4.42578125" bestFit="1" customWidth="1"/>
    <col min="14634" max="14634" width="4.42578125" customWidth="1"/>
    <col min="14635" max="14635" width="4.42578125" bestFit="1" customWidth="1"/>
    <col min="14636" max="14636" width="7.7109375" customWidth="1"/>
    <col min="14637" max="14637" width="4.42578125" bestFit="1" customWidth="1"/>
    <col min="14638" max="14638" width="4.42578125" customWidth="1"/>
    <col min="14639" max="14639" width="4.42578125" bestFit="1" customWidth="1"/>
    <col min="14640" max="14640" width="7.7109375" customWidth="1"/>
    <col min="14641" max="14641" width="5.5703125" customWidth="1"/>
    <col min="14642" max="14642" width="4.42578125" customWidth="1"/>
    <col min="14643" max="14643" width="5.5703125" customWidth="1"/>
    <col min="14644" max="14644" width="7.7109375" customWidth="1"/>
    <col min="14645" max="14645" width="5.5703125" customWidth="1"/>
    <col min="14646" max="14646" width="4.42578125" customWidth="1"/>
    <col min="14647" max="14647" width="5.5703125" customWidth="1"/>
    <col min="14648" max="14648" width="7.7109375" customWidth="1"/>
    <col min="14649" max="14649" width="5.5703125" customWidth="1"/>
    <col min="14650" max="14650" width="4.42578125" customWidth="1"/>
    <col min="14651" max="14651" width="5.5703125" customWidth="1"/>
    <col min="14652" max="14652" width="7.7109375" customWidth="1"/>
    <col min="14653" max="14653" width="5.5703125" customWidth="1"/>
    <col min="14654" max="14654" width="4.42578125" customWidth="1"/>
    <col min="14655" max="14655" width="5.5703125" customWidth="1"/>
    <col min="14656" max="14656" width="7.7109375" customWidth="1"/>
    <col min="14657" max="14657" width="5.5703125" customWidth="1"/>
    <col min="14658" max="14658" width="4.42578125" customWidth="1"/>
    <col min="14659" max="14659" width="5.5703125" customWidth="1"/>
    <col min="14660" max="14660" width="7.7109375" customWidth="1"/>
    <col min="14661" max="14661" width="5.5703125" customWidth="1"/>
    <col min="14662" max="14662" width="4.42578125" customWidth="1"/>
    <col min="14663" max="14663" width="5.5703125" customWidth="1"/>
    <col min="14664" max="14664" width="7.7109375" customWidth="1"/>
    <col min="14665" max="14665" width="5.5703125" customWidth="1"/>
    <col min="14666" max="14666" width="4.42578125" customWidth="1"/>
    <col min="14667" max="14667" width="5.5703125" customWidth="1"/>
    <col min="14668" max="14668" width="9.7109375" customWidth="1"/>
    <col min="14669" max="14669" width="27.85546875" customWidth="1"/>
    <col min="14670" max="14680" width="7.7109375" customWidth="1"/>
    <col min="14864" max="14865" width="4" customWidth="1"/>
    <col min="14866" max="14866" width="47" bestFit="1" customWidth="1"/>
    <col min="14867" max="14867" width="38.42578125" customWidth="1"/>
    <col min="14868" max="14868" width="7.7109375" customWidth="1"/>
    <col min="14869" max="14869" width="4.42578125" bestFit="1" customWidth="1"/>
    <col min="14870" max="14870" width="4.42578125" customWidth="1"/>
    <col min="14871" max="14871" width="4.42578125" bestFit="1" customWidth="1"/>
    <col min="14872" max="14872" width="7.7109375" customWidth="1"/>
    <col min="14873" max="14873" width="4.42578125" bestFit="1" customWidth="1"/>
    <col min="14874" max="14874" width="4.42578125" customWidth="1"/>
    <col min="14875" max="14875" width="4.42578125" bestFit="1" customWidth="1"/>
    <col min="14876" max="14876" width="7.7109375" customWidth="1"/>
    <col min="14877" max="14877" width="4.42578125" bestFit="1" customWidth="1"/>
    <col min="14878" max="14878" width="4.42578125" customWidth="1"/>
    <col min="14879" max="14879" width="4.42578125" bestFit="1" customWidth="1"/>
    <col min="14880" max="14880" width="7.7109375" customWidth="1"/>
    <col min="14881" max="14881" width="4.42578125" bestFit="1" customWidth="1"/>
    <col min="14882" max="14882" width="4.42578125" customWidth="1"/>
    <col min="14883" max="14883" width="4.42578125" bestFit="1" customWidth="1"/>
    <col min="14884" max="14884" width="7.7109375" customWidth="1"/>
    <col min="14885" max="14885" width="4.42578125" bestFit="1" customWidth="1"/>
    <col min="14886" max="14886" width="4.42578125" customWidth="1"/>
    <col min="14887" max="14887" width="4.42578125" bestFit="1" customWidth="1"/>
    <col min="14888" max="14888" width="9.85546875" customWidth="1"/>
    <col min="14889" max="14889" width="4.42578125" bestFit="1" customWidth="1"/>
    <col min="14890" max="14890" width="4.42578125" customWidth="1"/>
    <col min="14891" max="14891" width="4.42578125" bestFit="1" customWidth="1"/>
    <col min="14892" max="14892" width="7.7109375" customWidth="1"/>
    <col min="14893" max="14893" width="4.42578125" bestFit="1" customWidth="1"/>
    <col min="14894" max="14894" width="4.42578125" customWidth="1"/>
    <col min="14895" max="14895" width="4.42578125" bestFit="1" customWidth="1"/>
    <col min="14896" max="14896" width="7.7109375" customWidth="1"/>
    <col min="14897" max="14897" width="5.5703125" customWidth="1"/>
    <col min="14898" max="14898" width="4.42578125" customWidth="1"/>
    <col min="14899" max="14899" width="5.5703125" customWidth="1"/>
    <col min="14900" max="14900" width="7.7109375" customWidth="1"/>
    <col min="14901" max="14901" width="5.5703125" customWidth="1"/>
    <col min="14902" max="14902" width="4.42578125" customWidth="1"/>
    <col min="14903" max="14903" width="5.5703125" customWidth="1"/>
    <col min="14904" max="14904" width="7.7109375" customWidth="1"/>
    <col min="14905" max="14905" width="5.5703125" customWidth="1"/>
    <col min="14906" max="14906" width="4.42578125" customWidth="1"/>
    <col min="14907" max="14907" width="5.5703125" customWidth="1"/>
    <col min="14908" max="14908" width="7.7109375" customWidth="1"/>
    <col min="14909" max="14909" width="5.5703125" customWidth="1"/>
    <col min="14910" max="14910" width="4.42578125" customWidth="1"/>
    <col min="14911" max="14911" width="5.5703125" customWidth="1"/>
    <col min="14912" max="14912" width="7.7109375" customWidth="1"/>
    <col min="14913" max="14913" width="5.5703125" customWidth="1"/>
    <col min="14914" max="14914" width="4.42578125" customWidth="1"/>
    <col min="14915" max="14915" width="5.5703125" customWidth="1"/>
    <col min="14916" max="14916" width="7.7109375" customWidth="1"/>
    <col min="14917" max="14917" width="5.5703125" customWidth="1"/>
    <col min="14918" max="14918" width="4.42578125" customWidth="1"/>
    <col min="14919" max="14919" width="5.5703125" customWidth="1"/>
    <col min="14920" max="14920" width="7.7109375" customWidth="1"/>
    <col min="14921" max="14921" width="5.5703125" customWidth="1"/>
    <col min="14922" max="14922" width="4.42578125" customWidth="1"/>
    <col min="14923" max="14923" width="5.5703125" customWidth="1"/>
    <col min="14924" max="14924" width="9.7109375" customWidth="1"/>
    <col min="14925" max="14925" width="27.85546875" customWidth="1"/>
    <col min="14926" max="14936" width="7.7109375" customWidth="1"/>
    <col min="15120" max="15121" width="4" customWidth="1"/>
    <col min="15122" max="15122" width="47" bestFit="1" customWidth="1"/>
    <col min="15123" max="15123" width="38.42578125" customWidth="1"/>
    <col min="15124" max="15124" width="7.7109375" customWidth="1"/>
    <col min="15125" max="15125" width="4.42578125" bestFit="1" customWidth="1"/>
    <col min="15126" max="15126" width="4.42578125" customWidth="1"/>
    <col min="15127" max="15127" width="4.42578125" bestFit="1" customWidth="1"/>
    <col min="15128" max="15128" width="7.7109375" customWidth="1"/>
    <col min="15129" max="15129" width="4.42578125" bestFit="1" customWidth="1"/>
    <col min="15130" max="15130" width="4.42578125" customWidth="1"/>
    <col min="15131" max="15131" width="4.42578125" bestFit="1" customWidth="1"/>
    <col min="15132" max="15132" width="7.7109375" customWidth="1"/>
    <col min="15133" max="15133" width="4.42578125" bestFit="1" customWidth="1"/>
    <col min="15134" max="15134" width="4.42578125" customWidth="1"/>
    <col min="15135" max="15135" width="4.42578125" bestFit="1" customWidth="1"/>
    <col min="15136" max="15136" width="7.7109375" customWidth="1"/>
    <col min="15137" max="15137" width="4.42578125" bestFit="1" customWidth="1"/>
    <col min="15138" max="15138" width="4.42578125" customWidth="1"/>
    <col min="15139" max="15139" width="4.42578125" bestFit="1" customWidth="1"/>
    <col min="15140" max="15140" width="7.7109375" customWidth="1"/>
    <col min="15141" max="15141" width="4.42578125" bestFit="1" customWidth="1"/>
    <col min="15142" max="15142" width="4.42578125" customWidth="1"/>
    <col min="15143" max="15143" width="4.42578125" bestFit="1" customWidth="1"/>
    <col min="15144" max="15144" width="9.85546875" customWidth="1"/>
    <col min="15145" max="15145" width="4.42578125" bestFit="1" customWidth="1"/>
    <col min="15146" max="15146" width="4.42578125" customWidth="1"/>
    <col min="15147" max="15147" width="4.42578125" bestFit="1" customWidth="1"/>
    <col min="15148" max="15148" width="7.7109375" customWidth="1"/>
    <col min="15149" max="15149" width="4.42578125" bestFit="1" customWidth="1"/>
    <col min="15150" max="15150" width="4.42578125" customWidth="1"/>
    <col min="15151" max="15151" width="4.42578125" bestFit="1" customWidth="1"/>
    <col min="15152" max="15152" width="7.7109375" customWidth="1"/>
    <col min="15153" max="15153" width="5.5703125" customWidth="1"/>
    <col min="15154" max="15154" width="4.42578125" customWidth="1"/>
    <col min="15155" max="15155" width="5.5703125" customWidth="1"/>
    <col min="15156" max="15156" width="7.7109375" customWidth="1"/>
    <col min="15157" max="15157" width="5.5703125" customWidth="1"/>
    <col min="15158" max="15158" width="4.42578125" customWidth="1"/>
    <col min="15159" max="15159" width="5.5703125" customWidth="1"/>
    <col min="15160" max="15160" width="7.7109375" customWidth="1"/>
    <col min="15161" max="15161" width="5.5703125" customWidth="1"/>
    <col min="15162" max="15162" width="4.42578125" customWidth="1"/>
    <col min="15163" max="15163" width="5.5703125" customWidth="1"/>
    <col min="15164" max="15164" width="7.7109375" customWidth="1"/>
    <col min="15165" max="15165" width="5.5703125" customWidth="1"/>
    <col min="15166" max="15166" width="4.42578125" customWidth="1"/>
    <col min="15167" max="15167" width="5.5703125" customWidth="1"/>
    <col min="15168" max="15168" width="7.7109375" customWidth="1"/>
    <col min="15169" max="15169" width="5.5703125" customWidth="1"/>
    <col min="15170" max="15170" width="4.42578125" customWidth="1"/>
    <col min="15171" max="15171" width="5.5703125" customWidth="1"/>
    <col min="15172" max="15172" width="7.7109375" customWidth="1"/>
    <col min="15173" max="15173" width="5.5703125" customWidth="1"/>
    <col min="15174" max="15174" width="4.42578125" customWidth="1"/>
    <col min="15175" max="15175" width="5.5703125" customWidth="1"/>
    <col min="15176" max="15176" width="7.7109375" customWidth="1"/>
    <col min="15177" max="15177" width="5.5703125" customWidth="1"/>
    <col min="15178" max="15178" width="4.42578125" customWidth="1"/>
    <col min="15179" max="15179" width="5.5703125" customWidth="1"/>
    <col min="15180" max="15180" width="9.7109375" customWidth="1"/>
    <col min="15181" max="15181" width="27.85546875" customWidth="1"/>
    <col min="15182" max="15192" width="7.7109375" customWidth="1"/>
    <col min="15376" max="15377" width="4" customWidth="1"/>
    <col min="15378" max="15378" width="47" bestFit="1" customWidth="1"/>
    <col min="15379" max="15379" width="38.42578125" customWidth="1"/>
    <col min="15380" max="15380" width="7.7109375" customWidth="1"/>
    <col min="15381" max="15381" width="4.42578125" bestFit="1" customWidth="1"/>
    <col min="15382" max="15382" width="4.42578125" customWidth="1"/>
    <col min="15383" max="15383" width="4.42578125" bestFit="1" customWidth="1"/>
    <col min="15384" max="15384" width="7.7109375" customWidth="1"/>
    <col min="15385" max="15385" width="4.42578125" bestFit="1" customWidth="1"/>
    <col min="15386" max="15386" width="4.42578125" customWidth="1"/>
    <col min="15387" max="15387" width="4.42578125" bestFit="1" customWidth="1"/>
    <col min="15388" max="15388" width="7.7109375" customWidth="1"/>
    <col min="15389" max="15389" width="4.42578125" bestFit="1" customWidth="1"/>
    <col min="15390" max="15390" width="4.42578125" customWidth="1"/>
    <col min="15391" max="15391" width="4.42578125" bestFit="1" customWidth="1"/>
    <col min="15392" max="15392" width="7.7109375" customWidth="1"/>
    <col min="15393" max="15393" width="4.42578125" bestFit="1" customWidth="1"/>
    <col min="15394" max="15394" width="4.42578125" customWidth="1"/>
    <col min="15395" max="15395" width="4.42578125" bestFit="1" customWidth="1"/>
    <col min="15396" max="15396" width="7.7109375" customWidth="1"/>
    <col min="15397" max="15397" width="4.42578125" bestFit="1" customWidth="1"/>
    <col min="15398" max="15398" width="4.42578125" customWidth="1"/>
    <col min="15399" max="15399" width="4.42578125" bestFit="1" customWidth="1"/>
    <col min="15400" max="15400" width="9.85546875" customWidth="1"/>
    <col min="15401" max="15401" width="4.42578125" bestFit="1" customWidth="1"/>
    <col min="15402" max="15402" width="4.42578125" customWidth="1"/>
    <col min="15403" max="15403" width="4.42578125" bestFit="1" customWidth="1"/>
    <col min="15404" max="15404" width="7.7109375" customWidth="1"/>
    <col min="15405" max="15405" width="4.42578125" bestFit="1" customWidth="1"/>
    <col min="15406" max="15406" width="4.42578125" customWidth="1"/>
    <col min="15407" max="15407" width="4.42578125" bestFit="1" customWidth="1"/>
    <col min="15408" max="15408" width="7.7109375" customWidth="1"/>
    <col min="15409" max="15409" width="5.5703125" customWidth="1"/>
    <col min="15410" max="15410" width="4.42578125" customWidth="1"/>
    <col min="15411" max="15411" width="5.5703125" customWidth="1"/>
    <col min="15412" max="15412" width="7.7109375" customWidth="1"/>
    <col min="15413" max="15413" width="5.5703125" customWidth="1"/>
    <col min="15414" max="15414" width="4.42578125" customWidth="1"/>
    <col min="15415" max="15415" width="5.5703125" customWidth="1"/>
    <col min="15416" max="15416" width="7.7109375" customWidth="1"/>
    <col min="15417" max="15417" width="5.5703125" customWidth="1"/>
    <col min="15418" max="15418" width="4.42578125" customWidth="1"/>
    <col min="15419" max="15419" width="5.5703125" customWidth="1"/>
    <col min="15420" max="15420" width="7.7109375" customWidth="1"/>
    <col min="15421" max="15421" width="5.5703125" customWidth="1"/>
    <col min="15422" max="15422" width="4.42578125" customWidth="1"/>
    <col min="15423" max="15423" width="5.5703125" customWidth="1"/>
    <col min="15424" max="15424" width="7.7109375" customWidth="1"/>
    <col min="15425" max="15425" width="5.5703125" customWidth="1"/>
    <col min="15426" max="15426" width="4.42578125" customWidth="1"/>
    <col min="15427" max="15427" width="5.5703125" customWidth="1"/>
    <col min="15428" max="15428" width="7.7109375" customWidth="1"/>
    <col min="15429" max="15429" width="5.5703125" customWidth="1"/>
    <col min="15430" max="15430" width="4.42578125" customWidth="1"/>
    <col min="15431" max="15431" width="5.5703125" customWidth="1"/>
    <col min="15432" max="15432" width="7.7109375" customWidth="1"/>
    <col min="15433" max="15433" width="5.5703125" customWidth="1"/>
    <col min="15434" max="15434" width="4.42578125" customWidth="1"/>
    <col min="15435" max="15435" width="5.5703125" customWidth="1"/>
    <col min="15436" max="15436" width="9.7109375" customWidth="1"/>
    <col min="15437" max="15437" width="27.85546875" customWidth="1"/>
    <col min="15438" max="15448" width="7.7109375" customWidth="1"/>
    <col min="15632" max="15633" width="4" customWidth="1"/>
    <col min="15634" max="15634" width="47" bestFit="1" customWidth="1"/>
    <col min="15635" max="15635" width="38.42578125" customWidth="1"/>
    <col min="15636" max="15636" width="7.7109375" customWidth="1"/>
    <col min="15637" max="15637" width="4.42578125" bestFit="1" customWidth="1"/>
    <col min="15638" max="15638" width="4.42578125" customWidth="1"/>
    <col min="15639" max="15639" width="4.42578125" bestFit="1" customWidth="1"/>
    <col min="15640" max="15640" width="7.7109375" customWidth="1"/>
    <col min="15641" max="15641" width="4.42578125" bestFit="1" customWidth="1"/>
    <col min="15642" max="15642" width="4.42578125" customWidth="1"/>
    <col min="15643" max="15643" width="4.42578125" bestFit="1" customWidth="1"/>
    <col min="15644" max="15644" width="7.7109375" customWidth="1"/>
    <col min="15645" max="15645" width="4.42578125" bestFit="1" customWidth="1"/>
    <col min="15646" max="15646" width="4.42578125" customWidth="1"/>
    <col min="15647" max="15647" width="4.42578125" bestFit="1" customWidth="1"/>
    <col min="15648" max="15648" width="7.7109375" customWidth="1"/>
    <col min="15649" max="15649" width="4.42578125" bestFit="1" customWidth="1"/>
    <col min="15650" max="15650" width="4.42578125" customWidth="1"/>
    <col min="15651" max="15651" width="4.42578125" bestFit="1" customWidth="1"/>
    <col min="15652" max="15652" width="7.7109375" customWidth="1"/>
    <col min="15653" max="15653" width="4.42578125" bestFit="1" customWidth="1"/>
    <col min="15654" max="15654" width="4.42578125" customWidth="1"/>
    <col min="15655" max="15655" width="4.42578125" bestFit="1" customWidth="1"/>
    <col min="15656" max="15656" width="9.85546875" customWidth="1"/>
    <col min="15657" max="15657" width="4.42578125" bestFit="1" customWidth="1"/>
    <col min="15658" max="15658" width="4.42578125" customWidth="1"/>
    <col min="15659" max="15659" width="4.42578125" bestFit="1" customWidth="1"/>
    <col min="15660" max="15660" width="7.7109375" customWidth="1"/>
    <col min="15661" max="15661" width="4.42578125" bestFit="1" customWidth="1"/>
    <col min="15662" max="15662" width="4.42578125" customWidth="1"/>
    <col min="15663" max="15663" width="4.42578125" bestFit="1" customWidth="1"/>
    <col min="15664" max="15664" width="7.7109375" customWidth="1"/>
    <col min="15665" max="15665" width="5.5703125" customWidth="1"/>
    <col min="15666" max="15666" width="4.42578125" customWidth="1"/>
    <col min="15667" max="15667" width="5.5703125" customWidth="1"/>
    <col min="15668" max="15668" width="7.7109375" customWidth="1"/>
    <col min="15669" max="15669" width="5.5703125" customWidth="1"/>
    <col min="15670" max="15670" width="4.42578125" customWidth="1"/>
    <col min="15671" max="15671" width="5.5703125" customWidth="1"/>
    <col min="15672" max="15672" width="7.7109375" customWidth="1"/>
    <col min="15673" max="15673" width="5.5703125" customWidth="1"/>
    <col min="15674" max="15674" width="4.42578125" customWidth="1"/>
    <col min="15675" max="15675" width="5.5703125" customWidth="1"/>
    <col min="15676" max="15676" width="7.7109375" customWidth="1"/>
    <col min="15677" max="15677" width="5.5703125" customWidth="1"/>
    <col min="15678" max="15678" width="4.42578125" customWidth="1"/>
    <col min="15679" max="15679" width="5.5703125" customWidth="1"/>
    <col min="15680" max="15680" width="7.7109375" customWidth="1"/>
    <col min="15681" max="15681" width="5.5703125" customWidth="1"/>
    <col min="15682" max="15682" width="4.42578125" customWidth="1"/>
    <col min="15683" max="15683" width="5.5703125" customWidth="1"/>
    <col min="15684" max="15684" width="7.7109375" customWidth="1"/>
    <col min="15685" max="15685" width="5.5703125" customWidth="1"/>
    <col min="15686" max="15686" width="4.42578125" customWidth="1"/>
    <col min="15687" max="15687" width="5.5703125" customWidth="1"/>
    <col min="15688" max="15688" width="7.7109375" customWidth="1"/>
    <col min="15689" max="15689" width="5.5703125" customWidth="1"/>
    <col min="15690" max="15690" width="4.42578125" customWidth="1"/>
    <col min="15691" max="15691" width="5.5703125" customWidth="1"/>
    <col min="15692" max="15692" width="9.7109375" customWidth="1"/>
    <col min="15693" max="15693" width="27.85546875" customWidth="1"/>
    <col min="15694" max="15704" width="7.7109375" customWidth="1"/>
    <col min="15888" max="15889" width="4" customWidth="1"/>
    <col min="15890" max="15890" width="47" bestFit="1" customWidth="1"/>
    <col min="15891" max="15891" width="38.42578125" customWidth="1"/>
    <col min="15892" max="15892" width="7.7109375" customWidth="1"/>
    <col min="15893" max="15893" width="4.42578125" bestFit="1" customWidth="1"/>
    <col min="15894" max="15894" width="4.42578125" customWidth="1"/>
    <col min="15895" max="15895" width="4.42578125" bestFit="1" customWidth="1"/>
    <col min="15896" max="15896" width="7.7109375" customWidth="1"/>
    <col min="15897" max="15897" width="4.42578125" bestFit="1" customWidth="1"/>
    <col min="15898" max="15898" width="4.42578125" customWidth="1"/>
    <col min="15899" max="15899" width="4.42578125" bestFit="1" customWidth="1"/>
    <col min="15900" max="15900" width="7.7109375" customWidth="1"/>
    <col min="15901" max="15901" width="4.42578125" bestFit="1" customWidth="1"/>
    <col min="15902" max="15902" width="4.42578125" customWidth="1"/>
    <col min="15903" max="15903" width="4.42578125" bestFit="1" customWidth="1"/>
    <col min="15904" max="15904" width="7.7109375" customWidth="1"/>
    <col min="15905" max="15905" width="4.42578125" bestFit="1" customWidth="1"/>
    <col min="15906" max="15906" width="4.42578125" customWidth="1"/>
    <col min="15907" max="15907" width="4.42578125" bestFit="1" customWidth="1"/>
    <col min="15908" max="15908" width="7.7109375" customWidth="1"/>
    <col min="15909" max="15909" width="4.42578125" bestFit="1" customWidth="1"/>
    <col min="15910" max="15910" width="4.42578125" customWidth="1"/>
    <col min="15911" max="15911" width="4.42578125" bestFit="1" customWidth="1"/>
    <col min="15912" max="15912" width="9.85546875" customWidth="1"/>
    <col min="15913" max="15913" width="4.42578125" bestFit="1" customWidth="1"/>
    <col min="15914" max="15914" width="4.42578125" customWidth="1"/>
    <col min="15915" max="15915" width="4.42578125" bestFit="1" customWidth="1"/>
    <col min="15916" max="15916" width="7.7109375" customWidth="1"/>
    <col min="15917" max="15917" width="4.42578125" bestFit="1" customWidth="1"/>
    <col min="15918" max="15918" width="4.42578125" customWidth="1"/>
    <col min="15919" max="15919" width="4.42578125" bestFit="1" customWidth="1"/>
    <col min="15920" max="15920" width="7.7109375" customWidth="1"/>
    <col min="15921" max="15921" width="5.5703125" customWidth="1"/>
    <col min="15922" max="15922" width="4.42578125" customWidth="1"/>
    <col min="15923" max="15923" width="5.5703125" customWidth="1"/>
    <col min="15924" max="15924" width="7.7109375" customWidth="1"/>
    <col min="15925" max="15925" width="5.5703125" customWidth="1"/>
    <col min="15926" max="15926" width="4.42578125" customWidth="1"/>
    <col min="15927" max="15927" width="5.5703125" customWidth="1"/>
    <col min="15928" max="15928" width="7.7109375" customWidth="1"/>
    <col min="15929" max="15929" width="5.5703125" customWidth="1"/>
    <col min="15930" max="15930" width="4.42578125" customWidth="1"/>
    <col min="15931" max="15931" width="5.5703125" customWidth="1"/>
    <col min="15932" max="15932" width="7.7109375" customWidth="1"/>
    <col min="15933" max="15933" width="5.5703125" customWidth="1"/>
    <col min="15934" max="15934" width="4.42578125" customWidth="1"/>
    <col min="15935" max="15935" width="5.5703125" customWidth="1"/>
    <col min="15936" max="15936" width="7.7109375" customWidth="1"/>
    <col min="15937" max="15937" width="5.5703125" customWidth="1"/>
    <col min="15938" max="15938" width="4.42578125" customWidth="1"/>
    <col min="15939" max="15939" width="5.5703125" customWidth="1"/>
    <col min="15940" max="15940" width="7.7109375" customWidth="1"/>
    <col min="15941" max="15941" width="5.5703125" customWidth="1"/>
    <col min="15942" max="15942" width="4.42578125" customWidth="1"/>
    <col min="15943" max="15943" width="5.5703125" customWidth="1"/>
    <col min="15944" max="15944" width="7.7109375" customWidth="1"/>
    <col min="15945" max="15945" width="5.5703125" customWidth="1"/>
    <col min="15946" max="15946" width="4.42578125" customWidth="1"/>
    <col min="15947" max="15947" width="5.5703125" customWidth="1"/>
    <col min="15948" max="15948" width="9.7109375" customWidth="1"/>
    <col min="15949" max="15949" width="27.85546875" customWidth="1"/>
    <col min="15950" max="15960" width="7.7109375" customWidth="1"/>
    <col min="16144" max="16145" width="4" customWidth="1"/>
    <col min="16146" max="16146" width="47" bestFit="1" customWidth="1"/>
    <col min="16147" max="16147" width="38.42578125" customWidth="1"/>
    <col min="16148" max="16148" width="7.7109375" customWidth="1"/>
    <col min="16149" max="16149" width="4.42578125" bestFit="1" customWidth="1"/>
    <col min="16150" max="16150" width="4.42578125" customWidth="1"/>
    <col min="16151" max="16151" width="4.42578125" bestFit="1" customWidth="1"/>
    <col min="16152" max="16152" width="7.7109375" customWidth="1"/>
    <col min="16153" max="16153" width="4.42578125" bestFit="1" customWidth="1"/>
    <col min="16154" max="16154" width="4.42578125" customWidth="1"/>
    <col min="16155" max="16155" width="4.42578125" bestFit="1" customWidth="1"/>
    <col min="16156" max="16156" width="7.7109375" customWidth="1"/>
    <col min="16157" max="16157" width="4.42578125" bestFit="1" customWidth="1"/>
    <col min="16158" max="16158" width="4.42578125" customWidth="1"/>
    <col min="16159" max="16159" width="4.42578125" bestFit="1" customWidth="1"/>
    <col min="16160" max="16160" width="7.7109375" customWidth="1"/>
    <col min="16161" max="16161" width="4.42578125" bestFit="1" customWidth="1"/>
    <col min="16162" max="16162" width="4.42578125" customWidth="1"/>
    <col min="16163" max="16163" width="4.42578125" bestFit="1" customWidth="1"/>
    <col min="16164" max="16164" width="7.7109375" customWidth="1"/>
    <col min="16165" max="16165" width="4.42578125" bestFit="1" customWidth="1"/>
    <col min="16166" max="16166" width="4.42578125" customWidth="1"/>
    <col min="16167" max="16167" width="4.42578125" bestFit="1" customWidth="1"/>
    <col min="16168" max="16168" width="9.85546875" customWidth="1"/>
    <col min="16169" max="16169" width="4.42578125" bestFit="1" customWidth="1"/>
    <col min="16170" max="16170" width="4.42578125" customWidth="1"/>
    <col min="16171" max="16171" width="4.42578125" bestFit="1" customWidth="1"/>
    <col min="16172" max="16172" width="7.7109375" customWidth="1"/>
    <col min="16173" max="16173" width="4.42578125" bestFit="1" customWidth="1"/>
    <col min="16174" max="16174" width="4.42578125" customWidth="1"/>
    <col min="16175" max="16175" width="4.42578125" bestFit="1" customWidth="1"/>
    <col min="16176" max="16176" width="7.7109375" customWidth="1"/>
    <col min="16177" max="16177" width="5.5703125" customWidth="1"/>
    <col min="16178" max="16178" width="4.42578125" customWidth="1"/>
    <col min="16179" max="16179" width="5.5703125" customWidth="1"/>
    <col min="16180" max="16180" width="7.7109375" customWidth="1"/>
    <col min="16181" max="16181" width="5.5703125" customWidth="1"/>
    <col min="16182" max="16182" width="4.42578125" customWidth="1"/>
    <col min="16183" max="16183" width="5.5703125" customWidth="1"/>
    <col min="16184" max="16184" width="7.7109375" customWidth="1"/>
    <col min="16185" max="16185" width="5.5703125" customWidth="1"/>
    <col min="16186" max="16186" width="4.42578125" customWidth="1"/>
    <col min="16187" max="16187" width="5.5703125" customWidth="1"/>
    <col min="16188" max="16188" width="7.7109375" customWidth="1"/>
    <col min="16189" max="16189" width="5.5703125" customWidth="1"/>
    <col min="16190" max="16190" width="4.42578125" customWidth="1"/>
    <col min="16191" max="16191" width="5.5703125" customWidth="1"/>
    <col min="16192" max="16192" width="7.7109375" customWidth="1"/>
    <col min="16193" max="16193" width="5.5703125" customWidth="1"/>
    <col min="16194" max="16194" width="4.42578125" customWidth="1"/>
    <col min="16195" max="16195" width="5.5703125" customWidth="1"/>
    <col min="16196" max="16196" width="7.7109375" customWidth="1"/>
    <col min="16197" max="16197" width="5.5703125" customWidth="1"/>
    <col min="16198" max="16198" width="4.42578125" customWidth="1"/>
    <col min="16199" max="16199" width="5.5703125" customWidth="1"/>
    <col min="16200" max="16200" width="7.7109375" customWidth="1"/>
    <col min="16201" max="16201" width="5.5703125" customWidth="1"/>
    <col min="16202" max="16202" width="4.42578125" customWidth="1"/>
    <col min="16203" max="16203" width="5.5703125" customWidth="1"/>
    <col min="16204" max="16204" width="9.7109375" customWidth="1"/>
    <col min="16205" max="16205" width="27.85546875" customWidth="1"/>
    <col min="16206" max="16216" width="7.7109375" customWidth="1"/>
  </cols>
  <sheetData>
    <row r="1" spans="1:77" ht="26.25" x14ac:dyDescent="0.4">
      <c r="A1" s="29" t="s">
        <v>78</v>
      </c>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c r="BV1" s="29"/>
      <c r="BW1" s="29"/>
      <c r="BX1" s="29"/>
    </row>
    <row r="2" spans="1:77" ht="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M2" s="1"/>
      <c r="AQ2" s="1"/>
      <c r="AR2" s="1"/>
      <c r="AV2" s="1"/>
      <c r="BB2" s="1"/>
      <c r="BC2" s="1"/>
      <c r="BH2" s="1"/>
      <c r="BI2" s="1"/>
      <c r="BN2" s="1"/>
      <c r="BR2" s="1"/>
      <c r="BV2" s="1"/>
    </row>
    <row r="3" spans="1:77" ht="18" x14ac:dyDescent="0.25">
      <c r="C3" s="2"/>
      <c r="E3" s="3"/>
      <c r="F3" s="2"/>
      <c r="G3" s="2"/>
      <c r="H3" s="2"/>
      <c r="I3" s="3"/>
      <c r="J3" s="2"/>
      <c r="K3" s="2"/>
      <c r="L3" s="2"/>
      <c r="M3" s="3"/>
      <c r="N3" s="2"/>
      <c r="O3" s="2"/>
      <c r="P3" s="2"/>
      <c r="Q3" s="2"/>
      <c r="R3" s="3"/>
      <c r="S3" s="2"/>
      <c r="T3" s="2"/>
      <c r="U3" s="2"/>
      <c r="V3" s="2"/>
      <c r="W3" s="2"/>
      <c r="X3" s="3"/>
      <c r="Y3" s="2"/>
      <c r="Z3" s="2"/>
      <c r="AA3" s="2"/>
      <c r="AB3" s="2"/>
      <c r="AC3" s="2"/>
      <c r="AD3" s="3"/>
      <c r="AE3" s="2"/>
      <c r="AF3" s="2"/>
      <c r="AG3" s="2"/>
      <c r="AH3" s="2"/>
      <c r="AI3" s="2"/>
      <c r="AJ3" s="3"/>
      <c r="AK3" s="2"/>
      <c r="AL3" s="2"/>
      <c r="AM3" s="2"/>
      <c r="AN3" s="2"/>
      <c r="AO3" s="3"/>
      <c r="AP3" s="2"/>
      <c r="AQ3" s="2"/>
      <c r="AR3" s="2"/>
      <c r="AS3" s="2"/>
      <c r="AT3" s="3"/>
      <c r="AU3" s="2"/>
      <c r="AV3" s="2"/>
      <c r="AW3" s="2"/>
      <c r="AX3" s="2"/>
      <c r="AY3" s="3"/>
      <c r="AZ3" s="2"/>
      <c r="BA3" s="2"/>
      <c r="BB3" s="2"/>
      <c r="BC3" s="2"/>
      <c r="BD3" s="2"/>
      <c r="BE3" s="3"/>
      <c r="BF3" s="2"/>
      <c r="BG3" s="2"/>
      <c r="BH3" s="2"/>
      <c r="BI3" s="2"/>
      <c r="BJ3" s="2"/>
      <c r="BK3" s="3"/>
      <c r="BL3" s="2"/>
      <c r="BM3" s="2"/>
      <c r="BN3" s="2"/>
      <c r="BO3" s="2"/>
      <c r="BP3" s="3"/>
      <c r="BQ3" s="2"/>
      <c r="BR3" s="2"/>
      <c r="BS3" s="2"/>
      <c r="BT3" s="3"/>
      <c r="BU3" s="2"/>
      <c r="BV3" s="2"/>
      <c r="BW3" s="2"/>
      <c r="BX3" s="3"/>
    </row>
    <row r="4" spans="1:77" ht="100.5" customHeight="1" x14ac:dyDescent="0.25">
      <c r="A4" s="2"/>
      <c r="B4" s="4"/>
      <c r="C4" s="3" t="s">
        <v>0</v>
      </c>
      <c r="D4" s="3" t="s">
        <v>1</v>
      </c>
      <c r="E4" s="19" t="s">
        <v>2</v>
      </c>
      <c r="F4" s="12" t="s">
        <v>3</v>
      </c>
      <c r="G4" s="12" t="s">
        <v>48</v>
      </c>
      <c r="H4" s="12" t="s">
        <v>5</v>
      </c>
      <c r="I4" s="19" t="s">
        <v>6</v>
      </c>
      <c r="J4" s="12" t="s">
        <v>3</v>
      </c>
      <c r="K4" s="12" t="s">
        <v>48</v>
      </c>
      <c r="L4" s="12" t="s">
        <v>5</v>
      </c>
      <c r="M4" s="19" t="s">
        <v>7</v>
      </c>
      <c r="N4" s="12" t="s">
        <v>3</v>
      </c>
      <c r="O4" s="12" t="s">
        <v>66</v>
      </c>
      <c r="P4" s="12" t="s">
        <v>48</v>
      </c>
      <c r="Q4" s="12" t="s">
        <v>5</v>
      </c>
      <c r="R4" s="19" t="s">
        <v>8</v>
      </c>
      <c r="S4" s="12" t="s">
        <v>3</v>
      </c>
      <c r="T4" s="12" t="s">
        <v>47</v>
      </c>
      <c r="U4" s="12" t="s">
        <v>4</v>
      </c>
      <c r="V4" s="12" t="s">
        <v>48</v>
      </c>
      <c r="W4" s="12" t="s">
        <v>5</v>
      </c>
      <c r="X4" s="19" t="s">
        <v>9</v>
      </c>
      <c r="Y4" s="12" t="s">
        <v>3</v>
      </c>
      <c r="Z4" s="12" t="s">
        <v>47</v>
      </c>
      <c r="AA4" s="12" t="s">
        <v>107</v>
      </c>
      <c r="AB4" s="12" t="s">
        <v>48</v>
      </c>
      <c r="AC4" s="12" t="s">
        <v>5</v>
      </c>
      <c r="AD4" s="19" t="s">
        <v>49</v>
      </c>
      <c r="AE4" s="12" t="s">
        <v>3</v>
      </c>
      <c r="AF4" s="12" t="s">
        <v>47</v>
      </c>
      <c r="AG4" s="12" t="s">
        <v>105</v>
      </c>
      <c r="AH4" s="12" t="s">
        <v>48</v>
      </c>
      <c r="AI4" s="12" t="s">
        <v>5</v>
      </c>
      <c r="AJ4" s="19" t="s">
        <v>10</v>
      </c>
      <c r="AK4" s="12" t="s">
        <v>3</v>
      </c>
      <c r="AL4" s="12" t="s">
        <v>47</v>
      </c>
      <c r="AM4" s="12" t="s">
        <v>48</v>
      </c>
      <c r="AN4" s="12" t="s">
        <v>5</v>
      </c>
      <c r="AO4" s="19" t="s">
        <v>11</v>
      </c>
      <c r="AP4" s="12" t="s">
        <v>3</v>
      </c>
      <c r="AQ4" s="12" t="s">
        <v>4</v>
      </c>
      <c r="AR4" s="12" t="s">
        <v>48</v>
      </c>
      <c r="AS4" s="12" t="s">
        <v>5</v>
      </c>
      <c r="AT4" s="19" t="s">
        <v>12</v>
      </c>
      <c r="AU4" s="12" t="s">
        <v>3</v>
      </c>
      <c r="AV4" s="12" t="s">
        <v>4</v>
      </c>
      <c r="AW4" s="12" t="s">
        <v>48</v>
      </c>
      <c r="AX4" s="12" t="s">
        <v>5</v>
      </c>
      <c r="AY4" s="19" t="s">
        <v>13</v>
      </c>
      <c r="AZ4" s="12" t="s">
        <v>3</v>
      </c>
      <c r="BA4" s="12" t="s">
        <v>47</v>
      </c>
      <c r="BB4" s="12" t="s">
        <v>108</v>
      </c>
      <c r="BC4" s="12" t="s">
        <v>48</v>
      </c>
      <c r="BD4" s="12" t="s">
        <v>5</v>
      </c>
      <c r="BE4" s="19" t="s">
        <v>14</v>
      </c>
      <c r="BF4" s="12" t="s">
        <v>3</v>
      </c>
      <c r="BG4" s="12" t="s">
        <v>47</v>
      </c>
      <c r="BH4" s="12" t="s">
        <v>4</v>
      </c>
      <c r="BI4" s="12" t="s">
        <v>48</v>
      </c>
      <c r="BJ4" s="12" t="s">
        <v>5</v>
      </c>
      <c r="BK4" s="19" t="s">
        <v>15</v>
      </c>
      <c r="BL4" s="12" t="s">
        <v>3</v>
      </c>
      <c r="BM4" s="12" t="s">
        <v>47</v>
      </c>
      <c r="BN4" s="12" t="s">
        <v>4</v>
      </c>
      <c r="BO4" s="12" t="s">
        <v>5</v>
      </c>
      <c r="BP4" s="19" t="s">
        <v>16</v>
      </c>
      <c r="BQ4" s="12" t="s">
        <v>3</v>
      </c>
      <c r="BR4" s="12" t="s">
        <v>4</v>
      </c>
      <c r="BS4" s="12" t="s">
        <v>5</v>
      </c>
      <c r="BT4" s="19" t="s">
        <v>17</v>
      </c>
      <c r="BU4" s="12" t="s">
        <v>18</v>
      </c>
      <c r="BV4" s="12" t="s">
        <v>4</v>
      </c>
      <c r="BW4" s="12" t="s">
        <v>5</v>
      </c>
      <c r="BX4" s="19" t="s">
        <v>19</v>
      </c>
      <c r="BY4" s="5" t="s">
        <v>20</v>
      </c>
    </row>
    <row r="5" spans="1:77" ht="23.1" customHeight="1" x14ac:dyDescent="0.25">
      <c r="A5" s="2"/>
      <c r="B5" s="4"/>
      <c r="C5" s="10" t="s">
        <v>80</v>
      </c>
      <c r="D5" s="3" t="s">
        <v>81</v>
      </c>
      <c r="E5" s="3">
        <v>1</v>
      </c>
      <c r="F5" s="3">
        <v>0</v>
      </c>
      <c r="G5" s="3"/>
      <c r="H5" s="3"/>
      <c r="I5" s="3">
        <v>0</v>
      </c>
      <c r="J5" s="3">
        <v>0</v>
      </c>
      <c r="K5" s="3"/>
      <c r="L5" s="3"/>
      <c r="M5" s="3">
        <v>2</v>
      </c>
      <c r="N5" s="3">
        <v>0</v>
      </c>
      <c r="O5" s="3">
        <v>0</v>
      </c>
      <c r="P5" s="3"/>
      <c r="Q5" s="3"/>
      <c r="R5" s="3">
        <v>1</v>
      </c>
      <c r="S5" s="3">
        <v>0</v>
      </c>
      <c r="T5" s="3"/>
      <c r="U5" s="3"/>
      <c r="V5" s="3"/>
      <c r="W5" s="3"/>
      <c r="X5" s="3">
        <v>0</v>
      </c>
      <c r="Y5" s="3">
        <v>0</v>
      </c>
      <c r="Z5" s="3"/>
      <c r="AA5" s="3">
        <v>0</v>
      </c>
      <c r="AB5" s="3"/>
      <c r="AC5" s="3"/>
      <c r="AD5" s="3">
        <v>2</v>
      </c>
      <c r="AE5" s="3">
        <v>0</v>
      </c>
      <c r="AF5" s="3"/>
      <c r="AG5" s="3">
        <v>0</v>
      </c>
      <c r="AH5" s="3"/>
      <c r="AI5" s="3"/>
      <c r="AJ5" s="5">
        <v>2</v>
      </c>
      <c r="AK5" s="3">
        <v>0</v>
      </c>
      <c r="AL5" s="3"/>
      <c r="AM5" s="3"/>
      <c r="AN5" s="3"/>
      <c r="AO5" s="3">
        <v>0</v>
      </c>
      <c r="AP5" s="3">
        <v>0</v>
      </c>
      <c r="AQ5" s="3"/>
      <c r="AR5" s="3"/>
      <c r="AS5" s="3"/>
      <c r="AT5" s="3">
        <v>3</v>
      </c>
      <c r="AU5" s="3">
        <v>0</v>
      </c>
      <c r="AV5" s="3"/>
      <c r="AW5" s="3"/>
      <c r="AX5" s="3">
        <v>1</v>
      </c>
      <c r="AY5" s="3">
        <v>0</v>
      </c>
      <c r="AZ5" s="3">
        <v>0</v>
      </c>
      <c r="BA5" s="3"/>
      <c r="BB5" s="3">
        <v>0</v>
      </c>
      <c r="BC5" s="3"/>
      <c r="BD5" s="3"/>
      <c r="BE5" s="3">
        <v>0</v>
      </c>
      <c r="BF5" s="3">
        <v>0</v>
      </c>
      <c r="BG5" s="3"/>
      <c r="BH5" s="3"/>
      <c r="BI5" s="3"/>
      <c r="BJ5" s="3"/>
      <c r="BK5" s="3">
        <v>1</v>
      </c>
      <c r="BL5" s="3">
        <v>0</v>
      </c>
      <c r="BM5" s="3"/>
      <c r="BN5" s="3"/>
      <c r="BO5" s="3"/>
      <c r="BP5" s="3">
        <v>0</v>
      </c>
      <c r="BQ5" s="3">
        <v>0</v>
      </c>
      <c r="BR5" s="3"/>
      <c r="BS5" s="3"/>
      <c r="BT5" s="3">
        <v>0</v>
      </c>
      <c r="BU5" s="3">
        <v>0</v>
      </c>
      <c r="BV5" s="3"/>
      <c r="BW5" s="3"/>
      <c r="BX5" s="3">
        <f>SUM(E5:BW5)</f>
        <v>13</v>
      </c>
      <c r="BY5" s="6"/>
    </row>
    <row r="6" spans="1:77" ht="23.1" customHeight="1" x14ac:dyDescent="0.25">
      <c r="A6" s="2"/>
      <c r="B6" s="4"/>
      <c r="C6" s="10"/>
      <c r="D6" s="3" t="s">
        <v>82</v>
      </c>
      <c r="E6" s="3">
        <v>143</v>
      </c>
      <c r="F6" s="3">
        <v>49</v>
      </c>
      <c r="G6" s="3">
        <v>4</v>
      </c>
      <c r="H6" s="3">
        <v>6</v>
      </c>
      <c r="I6" s="3">
        <v>150</v>
      </c>
      <c r="J6" s="3">
        <v>56</v>
      </c>
      <c r="K6" s="3">
        <v>1</v>
      </c>
      <c r="L6" s="3">
        <v>1</v>
      </c>
      <c r="M6" s="3">
        <v>294</v>
      </c>
      <c r="N6" s="3">
        <v>100</v>
      </c>
      <c r="O6" s="3">
        <v>1</v>
      </c>
      <c r="P6" s="3">
        <v>2</v>
      </c>
      <c r="Q6" s="3">
        <v>15</v>
      </c>
      <c r="R6" s="3">
        <v>256</v>
      </c>
      <c r="S6" s="3">
        <v>70</v>
      </c>
      <c r="T6" s="3"/>
      <c r="U6" s="3"/>
      <c r="V6" s="3">
        <v>3</v>
      </c>
      <c r="W6" s="3">
        <v>15</v>
      </c>
      <c r="X6" s="3">
        <v>163</v>
      </c>
      <c r="Y6" s="3">
        <v>41</v>
      </c>
      <c r="Z6" s="3"/>
      <c r="AA6" s="3">
        <v>2</v>
      </c>
      <c r="AB6" s="3">
        <v>2</v>
      </c>
      <c r="AC6" s="3">
        <v>4</v>
      </c>
      <c r="AD6" s="3">
        <v>300</v>
      </c>
      <c r="AE6" s="3">
        <v>170</v>
      </c>
      <c r="AF6" s="3"/>
      <c r="AG6" s="3">
        <v>1</v>
      </c>
      <c r="AH6" s="3">
        <v>1</v>
      </c>
      <c r="AI6" s="3">
        <v>7</v>
      </c>
      <c r="AJ6" s="5">
        <v>249</v>
      </c>
      <c r="AK6" s="3">
        <v>329</v>
      </c>
      <c r="AL6" s="3"/>
      <c r="AM6" s="3"/>
      <c r="AN6" s="3">
        <v>8</v>
      </c>
      <c r="AO6" s="3">
        <v>122</v>
      </c>
      <c r="AP6" s="3">
        <v>108</v>
      </c>
      <c r="AQ6" s="3"/>
      <c r="AR6" s="3">
        <v>3</v>
      </c>
      <c r="AS6" s="3">
        <v>4</v>
      </c>
      <c r="AT6" s="3">
        <v>233</v>
      </c>
      <c r="AU6" s="3">
        <v>111</v>
      </c>
      <c r="AV6" s="3"/>
      <c r="AW6" s="3"/>
      <c r="AX6" s="3">
        <v>6</v>
      </c>
      <c r="AY6" s="3">
        <v>247</v>
      </c>
      <c r="AZ6" s="3">
        <v>120</v>
      </c>
      <c r="BA6" s="3"/>
      <c r="BB6" s="3">
        <v>2</v>
      </c>
      <c r="BC6" s="3">
        <v>2</v>
      </c>
      <c r="BD6" s="3">
        <v>9</v>
      </c>
      <c r="BE6" s="3">
        <v>242</v>
      </c>
      <c r="BF6" s="3">
        <v>103</v>
      </c>
      <c r="BG6" s="3"/>
      <c r="BH6" s="3"/>
      <c r="BI6" s="3">
        <v>4</v>
      </c>
      <c r="BJ6" s="3">
        <v>2</v>
      </c>
      <c r="BK6" s="3">
        <v>150</v>
      </c>
      <c r="BL6" s="3">
        <v>40</v>
      </c>
      <c r="BM6" s="3"/>
      <c r="BN6" s="3"/>
      <c r="BO6" s="3">
        <v>3</v>
      </c>
      <c r="BP6" s="3">
        <v>46</v>
      </c>
      <c r="BQ6" s="3">
        <v>40</v>
      </c>
      <c r="BR6" s="3"/>
      <c r="BS6" s="3">
        <v>3</v>
      </c>
      <c r="BT6" s="3">
        <v>35</v>
      </c>
      <c r="BU6" s="3">
        <v>15</v>
      </c>
      <c r="BV6" s="3"/>
      <c r="BW6" s="3"/>
      <c r="BX6" s="3">
        <f t="shared" ref="BX6:BX8" si="0">SUM(E6:BW6)</f>
        <v>4093</v>
      </c>
      <c r="BY6" s="6" t="s">
        <v>212</v>
      </c>
    </row>
    <row r="7" spans="1:77" ht="23.1" customHeight="1" x14ac:dyDescent="0.25">
      <c r="A7" s="2"/>
      <c r="B7" s="4"/>
      <c r="C7" s="10"/>
      <c r="D7" s="3" t="s">
        <v>83</v>
      </c>
      <c r="E7" s="3">
        <v>7</v>
      </c>
      <c r="F7" s="3">
        <v>11</v>
      </c>
      <c r="G7" s="3"/>
      <c r="H7" s="3"/>
      <c r="I7" s="3">
        <v>30</v>
      </c>
      <c r="J7" s="3">
        <v>12</v>
      </c>
      <c r="K7" s="3"/>
      <c r="L7" s="3"/>
      <c r="M7" s="3">
        <v>56</v>
      </c>
      <c r="N7" s="3">
        <v>23</v>
      </c>
      <c r="O7" s="3">
        <v>0</v>
      </c>
      <c r="P7" s="3"/>
      <c r="Q7" s="3"/>
      <c r="R7" s="3">
        <v>55</v>
      </c>
      <c r="S7" s="3">
        <v>19</v>
      </c>
      <c r="T7" s="3"/>
      <c r="U7" s="3"/>
      <c r="V7" s="3">
        <v>1</v>
      </c>
      <c r="W7" s="3">
        <v>3</v>
      </c>
      <c r="X7" s="3">
        <v>46</v>
      </c>
      <c r="Y7" s="3">
        <v>11</v>
      </c>
      <c r="Z7" s="3"/>
      <c r="AA7" s="3">
        <v>0</v>
      </c>
      <c r="AB7" s="3"/>
      <c r="AC7" s="3"/>
      <c r="AD7" s="3">
        <v>87</v>
      </c>
      <c r="AE7" s="3">
        <v>32</v>
      </c>
      <c r="AF7" s="3"/>
      <c r="AG7" s="3">
        <v>0</v>
      </c>
      <c r="AH7" s="3">
        <v>1</v>
      </c>
      <c r="AI7" s="3">
        <v>1</v>
      </c>
      <c r="AJ7" s="5">
        <v>54</v>
      </c>
      <c r="AK7" s="3">
        <v>81</v>
      </c>
      <c r="AL7" s="3"/>
      <c r="AM7" s="3">
        <v>1</v>
      </c>
      <c r="AN7" s="3">
        <v>1</v>
      </c>
      <c r="AO7" s="3">
        <v>11</v>
      </c>
      <c r="AP7" s="3">
        <v>35</v>
      </c>
      <c r="AQ7" s="3"/>
      <c r="AR7" s="3"/>
      <c r="AS7" s="3"/>
      <c r="AT7" s="3">
        <v>48</v>
      </c>
      <c r="AU7" s="3">
        <v>31</v>
      </c>
      <c r="AV7" s="3"/>
      <c r="AW7" s="3">
        <v>3</v>
      </c>
      <c r="AX7" s="3"/>
      <c r="AY7" s="3">
        <v>29</v>
      </c>
      <c r="AZ7" s="3">
        <v>24</v>
      </c>
      <c r="BA7" s="3"/>
      <c r="BB7" s="3">
        <v>0</v>
      </c>
      <c r="BC7" s="3"/>
      <c r="BD7" s="3"/>
      <c r="BE7" s="3">
        <v>58</v>
      </c>
      <c r="BF7" s="3">
        <v>26</v>
      </c>
      <c r="BG7" s="3"/>
      <c r="BH7" s="3"/>
      <c r="BI7" s="3">
        <v>1</v>
      </c>
      <c r="BJ7" s="3"/>
      <c r="BK7" s="3">
        <v>32</v>
      </c>
      <c r="BL7" s="3">
        <v>6</v>
      </c>
      <c r="BM7" s="3"/>
      <c r="BN7" s="3"/>
      <c r="BO7" s="3"/>
      <c r="BP7" s="3">
        <v>4</v>
      </c>
      <c r="BQ7" s="3">
        <v>1</v>
      </c>
      <c r="BR7" s="3"/>
      <c r="BS7" s="3"/>
      <c r="BT7" s="3">
        <v>5</v>
      </c>
      <c r="BU7" s="3">
        <v>8</v>
      </c>
      <c r="BV7" s="3"/>
      <c r="BW7" s="3"/>
      <c r="BX7" s="3">
        <f t="shared" si="0"/>
        <v>854</v>
      </c>
      <c r="BY7" s="6"/>
    </row>
    <row r="8" spans="1:77" ht="23.1" customHeight="1" x14ac:dyDescent="0.25">
      <c r="A8" s="2"/>
      <c r="B8" s="4"/>
      <c r="C8" s="10"/>
      <c r="D8" s="3" t="s">
        <v>84</v>
      </c>
      <c r="E8" s="3">
        <v>2</v>
      </c>
      <c r="F8" s="3">
        <v>1</v>
      </c>
      <c r="G8" s="3"/>
      <c r="H8" s="3"/>
      <c r="I8" s="3">
        <v>2</v>
      </c>
      <c r="J8" s="3">
        <v>0</v>
      </c>
      <c r="K8" s="3"/>
      <c r="L8" s="3"/>
      <c r="M8" s="3">
        <v>6</v>
      </c>
      <c r="N8" s="3">
        <v>0</v>
      </c>
      <c r="O8" s="3">
        <v>0</v>
      </c>
      <c r="P8" s="3"/>
      <c r="Q8" s="3"/>
      <c r="R8" s="3">
        <v>7</v>
      </c>
      <c r="S8" s="3">
        <v>1</v>
      </c>
      <c r="T8" s="3"/>
      <c r="U8" s="3"/>
      <c r="V8" s="3"/>
      <c r="W8" s="3"/>
      <c r="X8" s="3">
        <v>2</v>
      </c>
      <c r="Y8" s="3">
        <v>0</v>
      </c>
      <c r="Z8" s="3"/>
      <c r="AA8" s="3">
        <v>0</v>
      </c>
      <c r="AB8" s="3"/>
      <c r="AC8" s="3"/>
      <c r="AD8" s="3">
        <v>4</v>
      </c>
      <c r="AE8" s="3">
        <v>1</v>
      </c>
      <c r="AF8" s="3"/>
      <c r="AG8" s="3">
        <v>0</v>
      </c>
      <c r="AH8" s="3"/>
      <c r="AI8" s="3">
        <v>1</v>
      </c>
      <c r="AJ8" s="5">
        <v>5</v>
      </c>
      <c r="AK8" s="3">
        <v>1</v>
      </c>
      <c r="AL8" s="3"/>
      <c r="AM8" s="3">
        <v>1</v>
      </c>
      <c r="AN8" s="3"/>
      <c r="AO8" s="3">
        <v>0</v>
      </c>
      <c r="AP8" s="3">
        <v>1</v>
      </c>
      <c r="AQ8" s="3"/>
      <c r="AR8" s="3"/>
      <c r="AS8" s="3"/>
      <c r="AT8" s="3">
        <v>5</v>
      </c>
      <c r="AU8" s="3">
        <v>0</v>
      </c>
      <c r="AV8" s="3"/>
      <c r="AW8" s="3"/>
      <c r="AX8" s="3"/>
      <c r="AY8" s="3">
        <v>3</v>
      </c>
      <c r="AZ8" s="3">
        <v>1</v>
      </c>
      <c r="BA8" s="3"/>
      <c r="BB8" s="3">
        <v>0</v>
      </c>
      <c r="BC8" s="3"/>
      <c r="BD8" s="3"/>
      <c r="BE8" s="3">
        <v>6</v>
      </c>
      <c r="BF8" s="3">
        <v>1</v>
      </c>
      <c r="BG8" s="3"/>
      <c r="BH8" s="3"/>
      <c r="BI8" s="3"/>
      <c r="BJ8" s="3">
        <v>1</v>
      </c>
      <c r="BK8" s="3">
        <v>3</v>
      </c>
      <c r="BL8" s="3">
        <v>0</v>
      </c>
      <c r="BM8" s="3"/>
      <c r="BN8" s="3"/>
      <c r="BO8" s="3"/>
      <c r="BP8" s="3">
        <v>0</v>
      </c>
      <c r="BQ8" s="3">
        <v>0</v>
      </c>
      <c r="BR8" s="3"/>
      <c r="BS8" s="3"/>
      <c r="BT8" s="18">
        <v>1</v>
      </c>
      <c r="BU8" s="3">
        <v>0</v>
      </c>
      <c r="BV8" s="3"/>
      <c r="BW8" s="3"/>
      <c r="BX8" s="3">
        <f t="shared" si="0"/>
        <v>56</v>
      </c>
      <c r="BY8" s="6"/>
    </row>
    <row r="9" spans="1:77" ht="23.1" customHeight="1" x14ac:dyDescent="0.25">
      <c r="A9" s="2"/>
      <c r="B9" s="4"/>
      <c r="C9" s="10"/>
      <c r="D9" s="3" t="s">
        <v>118</v>
      </c>
      <c r="E9" s="3"/>
      <c r="F9" s="3"/>
      <c r="G9" s="3"/>
      <c r="H9" s="3"/>
      <c r="I9" s="3"/>
      <c r="J9" s="3"/>
      <c r="K9" s="3"/>
      <c r="L9" s="3"/>
      <c r="M9" s="3"/>
      <c r="N9" s="3"/>
      <c r="O9" s="3"/>
      <c r="P9" s="3"/>
      <c r="Q9" s="3"/>
      <c r="R9" s="3"/>
      <c r="S9" s="3"/>
      <c r="T9" s="3"/>
      <c r="U9" s="3"/>
      <c r="V9" s="3"/>
      <c r="W9" s="3"/>
      <c r="X9" s="3">
        <v>1</v>
      </c>
      <c r="Y9" s="3"/>
      <c r="Z9" s="3"/>
      <c r="AA9" s="3"/>
      <c r="AB9" s="3"/>
      <c r="AC9" s="3"/>
      <c r="AD9" s="3"/>
      <c r="AE9" s="3"/>
      <c r="AF9" s="3"/>
      <c r="AG9" s="3"/>
      <c r="AH9" s="3"/>
      <c r="AI9" s="3"/>
      <c r="AJ9" s="5"/>
      <c r="AK9" s="3"/>
      <c r="AL9" s="3"/>
      <c r="AM9" s="3"/>
      <c r="AN9" s="3"/>
      <c r="AO9" s="3"/>
      <c r="AP9" s="3"/>
      <c r="AQ9" s="3"/>
      <c r="AR9" s="3"/>
      <c r="AS9" s="3"/>
      <c r="AT9" s="3">
        <v>2</v>
      </c>
      <c r="AU9" s="3"/>
      <c r="AV9" s="3"/>
      <c r="AW9" s="3"/>
      <c r="AX9" s="3"/>
      <c r="AY9" s="3"/>
      <c r="AZ9" s="3"/>
      <c r="BA9" s="3"/>
      <c r="BB9" s="3"/>
      <c r="BC9" s="3"/>
      <c r="BD9" s="3"/>
      <c r="BE9" s="3"/>
      <c r="BF9" s="3"/>
      <c r="BG9" s="3"/>
      <c r="BH9" s="3"/>
      <c r="BI9" s="3"/>
      <c r="BJ9" s="3"/>
      <c r="BK9" s="3"/>
      <c r="BL9" s="3">
        <v>1</v>
      </c>
      <c r="BM9" s="3"/>
      <c r="BN9" s="3"/>
      <c r="BO9" s="3"/>
      <c r="BP9" s="3"/>
      <c r="BQ9" s="3"/>
      <c r="BR9" s="3"/>
      <c r="BS9" s="3"/>
      <c r="BT9" s="3"/>
      <c r="BU9" s="3"/>
      <c r="BV9" s="3"/>
      <c r="BW9" s="3"/>
      <c r="BX9" s="3">
        <f>SUM(E9:BW9)</f>
        <v>4</v>
      </c>
      <c r="BY9" s="6"/>
    </row>
    <row r="10" spans="1:77" ht="23.1" customHeight="1" x14ac:dyDescent="0.25">
      <c r="A10" s="2"/>
      <c r="B10" s="4"/>
      <c r="C10" s="10"/>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5"/>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6"/>
    </row>
    <row r="11" spans="1:77" ht="23.1" customHeight="1" x14ac:dyDescent="0.25">
      <c r="A11" s="2"/>
      <c r="B11" s="4"/>
      <c r="C11" s="10" t="s">
        <v>27</v>
      </c>
      <c r="D11" s="3" t="s">
        <v>58</v>
      </c>
      <c r="E11" s="3">
        <v>9</v>
      </c>
      <c r="F11" s="3">
        <v>12</v>
      </c>
      <c r="G11" s="3"/>
      <c r="H11" s="3"/>
      <c r="I11" s="3">
        <v>32</v>
      </c>
      <c r="J11" s="3">
        <v>10</v>
      </c>
      <c r="K11" s="3"/>
      <c r="L11" s="3"/>
      <c r="M11" s="3">
        <v>61</v>
      </c>
      <c r="N11" s="3">
        <v>23</v>
      </c>
      <c r="O11" s="3">
        <v>0</v>
      </c>
      <c r="P11" s="3"/>
      <c r="Q11" s="3">
        <v>1</v>
      </c>
      <c r="R11" s="3">
        <v>61</v>
      </c>
      <c r="S11" s="3">
        <v>20</v>
      </c>
      <c r="T11" s="3"/>
      <c r="U11" s="3"/>
      <c r="V11" s="3">
        <v>1</v>
      </c>
      <c r="W11" s="3">
        <v>3</v>
      </c>
      <c r="X11" s="3">
        <v>46</v>
      </c>
      <c r="Y11" s="3">
        <v>11</v>
      </c>
      <c r="Z11" s="3"/>
      <c r="AA11" s="3">
        <v>0</v>
      </c>
      <c r="AB11" s="3"/>
      <c r="AC11" s="3"/>
      <c r="AD11" s="3">
        <v>89</v>
      </c>
      <c r="AE11" s="3">
        <v>33</v>
      </c>
      <c r="AF11" s="3"/>
      <c r="AG11" s="3">
        <v>0</v>
      </c>
      <c r="AH11" s="3">
        <v>1</v>
      </c>
      <c r="AI11" s="3">
        <v>1</v>
      </c>
      <c r="AJ11" s="5">
        <v>56</v>
      </c>
      <c r="AK11" s="3">
        <v>92</v>
      </c>
      <c r="AL11" s="3"/>
      <c r="AM11" s="3"/>
      <c r="AN11" s="3">
        <v>2</v>
      </c>
      <c r="AO11" s="3">
        <v>15</v>
      </c>
      <c r="AP11" s="3">
        <v>41</v>
      </c>
      <c r="AQ11" s="3"/>
      <c r="AR11" s="3">
        <v>1</v>
      </c>
      <c r="AS11" s="3"/>
      <c r="AT11" s="3">
        <v>56</v>
      </c>
      <c r="AU11" s="3">
        <v>31</v>
      </c>
      <c r="AV11" s="3"/>
      <c r="AW11" s="3">
        <v>3</v>
      </c>
      <c r="AX11" s="3"/>
      <c r="AY11" s="3">
        <v>33</v>
      </c>
      <c r="AZ11" s="3">
        <v>24</v>
      </c>
      <c r="BA11" s="3"/>
      <c r="BB11" s="3">
        <v>0</v>
      </c>
      <c r="BC11" s="3"/>
      <c r="BD11" s="3">
        <v>1</v>
      </c>
      <c r="BE11" s="3">
        <v>55</v>
      </c>
      <c r="BF11" s="3">
        <v>29</v>
      </c>
      <c r="BG11" s="3"/>
      <c r="BH11" s="3"/>
      <c r="BI11" s="3">
        <v>3</v>
      </c>
      <c r="BJ11" s="3"/>
      <c r="BK11" s="3">
        <v>37</v>
      </c>
      <c r="BL11" s="3">
        <v>7</v>
      </c>
      <c r="BM11" s="3"/>
      <c r="BN11" s="3"/>
      <c r="BO11" s="3"/>
      <c r="BP11" s="3">
        <v>5</v>
      </c>
      <c r="BQ11" s="3">
        <v>4</v>
      </c>
      <c r="BR11" s="3"/>
      <c r="BS11" s="3">
        <v>1</v>
      </c>
      <c r="BT11" s="3">
        <v>6</v>
      </c>
      <c r="BU11" s="3">
        <v>7</v>
      </c>
      <c r="BV11" s="3"/>
      <c r="BW11" s="3"/>
      <c r="BX11" s="3">
        <f t="shared" ref="BX11:BX60" si="1">SUM(E11:BW11)</f>
        <v>923</v>
      </c>
      <c r="BY11" s="6"/>
    </row>
    <row r="12" spans="1:77" ht="23.1" customHeight="1" x14ac:dyDescent="0.25">
      <c r="A12" s="2"/>
      <c r="B12" s="4"/>
      <c r="C12" s="10"/>
      <c r="D12" s="3" t="s">
        <v>85</v>
      </c>
      <c r="E12" s="3">
        <v>7</v>
      </c>
      <c r="F12" s="3">
        <v>0</v>
      </c>
      <c r="G12" s="3"/>
      <c r="H12" s="3">
        <v>1</v>
      </c>
      <c r="I12" s="3">
        <v>5</v>
      </c>
      <c r="J12" s="3">
        <v>2</v>
      </c>
      <c r="K12" s="3"/>
      <c r="L12" s="3"/>
      <c r="M12" s="3">
        <v>16</v>
      </c>
      <c r="N12" s="3">
        <v>1</v>
      </c>
      <c r="O12" s="3">
        <v>0</v>
      </c>
      <c r="P12" s="3">
        <v>1</v>
      </c>
      <c r="Q12" s="3">
        <v>1</v>
      </c>
      <c r="R12" s="3">
        <v>15</v>
      </c>
      <c r="S12" s="3">
        <v>2</v>
      </c>
      <c r="T12" s="3"/>
      <c r="U12" s="3"/>
      <c r="V12" s="3"/>
      <c r="W12" s="3"/>
      <c r="X12" s="3">
        <v>8</v>
      </c>
      <c r="Y12" s="3">
        <v>2</v>
      </c>
      <c r="Z12" s="3"/>
      <c r="AA12" s="3">
        <v>0</v>
      </c>
      <c r="AB12" s="3"/>
      <c r="AC12" s="3"/>
      <c r="AD12" s="3">
        <v>13</v>
      </c>
      <c r="AE12" s="3">
        <v>4</v>
      </c>
      <c r="AF12" s="3"/>
      <c r="AG12" s="3">
        <v>0</v>
      </c>
      <c r="AH12" s="3"/>
      <c r="AI12" s="3"/>
      <c r="AJ12" s="5">
        <v>18</v>
      </c>
      <c r="AK12" s="3">
        <v>9</v>
      </c>
      <c r="AL12" s="3"/>
      <c r="AM12" s="3"/>
      <c r="AN12" s="3"/>
      <c r="AO12" s="3">
        <v>4</v>
      </c>
      <c r="AP12" s="3">
        <v>2</v>
      </c>
      <c r="AQ12" s="3"/>
      <c r="AR12" s="3"/>
      <c r="AS12" s="3"/>
      <c r="AT12" s="3">
        <v>12</v>
      </c>
      <c r="AU12" s="3">
        <v>5</v>
      </c>
      <c r="AV12" s="3"/>
      <c r="AW12" s="3"/>
      <c r="AX12" s="3">
        <v>1</v>
      </c>
      <c r="AY12" s="3">
        <v>9</v>
      </c>
      <c r="AZ12" s="3">
        <v>5</v>
      </c>
      <c r="BA12" s="3"/>
      <c r="BB12" s="3">
        <v>0</v>
      </c>
      <c r="BC12" s="3"/>
      <c r="BD12" s="3">
        <v>1</v>
      </c>
      <c r="BE12" s="3">
        <v>20</v>
      </c>
      <c r="BF12" s="3">
        <v>2</v>
      </c>
      <c r="BG12" s="3"/>
      <c r="BH12" s="3"/>
      <c r="BI12" s="3"/>
      <c r="BJ12" s="3">
        <v>1</v>
      </c>
      <c r="BK12" s="3">
        <v>3</v>
      </c>
      <c r="BL12" s="3">
        <v>0</v>
      </c>
      <c r="BM12" s="3"/>
      <c r="BN12" s="3"/>
      <c r="BO12" s="3"/>
      <c r="BP12" s="3">
        <v>1</v>
      </c>
      <c r="BQ12" s="3">
        <v>0</v>
      </c>
      <c r="BR12" s="3"/>
      <c r="BS12" s="3"/>
      <c r="BT12" s="3">
        <v>3</v>
      </c>
      <c r="BU12" s="3">
        <v>1</v>
      </c>
      <c r="BV12" s="3"/>
      <c r="BW12" s="3"/>
      <c r="BX12" s="3">
        <f t="shared" si="1"/>
        <v>175</v>
      </c>
      <c r="BY12" s="6"/>
    </row>
    <row r="13" spans="1:77" ht="23.1" customHeight="1" x14ac:dyDescent="0.25">
      <c r="A13" s="2"/>
      <c r="B13" s="4"/>
      <c r="C13" s="10"/>
      <c r="D13" s="3" t="s">
        <v>50</v>
      </c>
      <c r="E13" s="3">
        <v>136</v>
      </c>
      <c r="F13" s="3">
        <v>48</v>
      </c>
      <c r="G13" s="3">
        <v>3</v>
      </c>
      <c r="H13" s="3">
        <v>5</v>
      </c>
      <c r="I13" s="3">
        <v>137</v>
      </c>
      <c r="J13" s="3">
        <v>53</v>
      </c>
      <c r="K13" s="3">
        <v>1</v>
      </c>
      <c r="L13" s="3">
        <v>1</v>
      </c>
      <c r="M13" s="3">
        <v>274</v>
      </c>
      <c r="N13" s="3">
        <v>98</v>
      </c>
      <c r="O13" s="3">
        <v>1</v>
      </c>
      <c r="P13" s="3">
        <v>1</v>
      </c>
      <c r="Q13" s="3">
        <v>12</v>
      </c>
      <c r="R13" s="3">
        <v>238</v>
      </c>
      <c r="S13" s="3">
        <v>70</v>
      </c>
      <c r="T13" s="3"/>
      <c r="U13" s="3"/>
      <c r="V13" s="3">
        <v>3</v>
      </c>
      <c r="W13" s="3">
        <v>14</v>
      </c>
      <c r="X13" s="3">
        <v>152</v>
      </c>
      <c r="Y13" s="3">
        <v>39</v>
      </c>
      <c r="Z13" s="3"/>
      <c r="AA13" s="3">
        <v>2</v>
      </c>
      <c r="AB13" s="3">
        <v>1</v>
      </c>
      <c r="AC13" s="3">
        <v>4</v>
      </c>
      <c r="AD13" s="3">
        <v>282</v>
      </c>
      <c r="AE13" s="3">
        <v>162</v>
      </c>
      <c r="AF13" s="3"/>
      <c r="AG13" s="3">
        <v>1</v>
      </c>
      <c r="AH13" s="3">
        <v>1</v>
      </c>
      <c r="AI13" s="3">
        <v>8</v>
      </c>
      <c r="AJ13" s="5">
        <v>230</v>
      </c>
      <c r="AK13" s="3">
        <v>302</v>
      </c>
      <c r="AL13" s="3"/>
      <c r="AM13" s="3">
        <v>2</v>
      </c>
      <c r="AN13" s="3">
        <v>7</v>
      </c>
      <c r="AO13" s="3">
        <v>112</v>
      </c>
      <c r="AP13" s="3">
        <v>104</v>
      </c>
      <c r="AQ13" s="3"/>
      <c r="AR13" s="3">
        <v>2</v>
      </c>
      <c r="AS13" s="3">
        <v>4</v>
      </c>
      <c r="AT13" s="3">
        <v>216</v>
      </c>
      <c r="AU13" s="3">
        <v>104</v>
      </c>
      <c r="AV13" s="3"/>
      <c r="AW13" s="3"/>
      <c r="AX13" s="3">
        <v>6</v>
      </c>
      <c r="AY13" s="3">
        <v>237</v>
      </c>
      <c r="AZ13" s="3">
        <v>108</v>
      </c>
      <c r="BA13" s="3"/>
      <c r="BB13" s="3">
        <v>2</v>
      </c>
      <c r="BC13" s="3">
        <v>2</v>
      </c>
      <c r="BD13" s="3">
        <v>7</v>
      </c>
      <c r="BE13" s="3">
        <v>227</v>
      </c>
      <c r="BF13" s="3">
        <v>97</v>
      </c>
      <c r="BG13" s="3"/>
      <c r="BH13" s="3"/>
      <c r="BI13" s="3">
        <v>2</v>
      </c>
      <c r="BJ13" s="3">
        <v>2</v>
      </c>
      <c r="BK13" s="3">
        <v>141</v>
      </c>
      <c r="BL13" s="3">
        <v>39</v>
      </c>
      <c r="BM13" s="3"/>
      <c r="BN13" s="3"/>
      <c r="BO13" s="3">
        <v>3</v>
      </c>
      <c r="BP13" s="3">
        <v>43</v>
      </c>
      <c r="BQ13" s="3">
        <v>37</v>
      </c>
      <c r="BR13" s="3"/>
      <c r="BS13" s="3">
        <v>2</v>
      </c>
      <c r="BT13" s="3">
        <v>31</v>
      </c>
      <c r="BU13" s="3">
        <v>14</v>
      </c>
      <c r="BV13" s="3"/>
      <c r="BW13" s="3"/>
      <c r="BX13" s="3">
        <f t="shared" si="1"/>
        <v>3830</v>
      </c>
      <c r="BY13" s="6" t="s">
        <v>212</v>
      </c>
    </row>
    <row r="14" spans="1:77" ht="23.1" customHeight="1" x14ac:dyDescent="0.25">
      <c r="A14" s="2"/>
      <c r="B14" s="4"/>
      <c r="C14" s="10"/>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5"/>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18"/>
      <c r="BU14" s="3"/>
      <c r="BV14" s="3"/>
      <c r="BW14" s="3"/>
      <c r="BX14" s="3"/>
      <c r="BY14" s="6"/>
    </row>
    <row r="15" spans="1:77" ht="23.1" customHeight="1" x14ac:dyDescent="0.25">
      <c r="A15" s="2"/>
      <c r="B15" s="4"/>
      <c r="C15" s="10" t="s">
        <v>26</v>
      </c>
      <c r="D15" s="3" t="s">
        <v>86</v>
      </c>
      <c r="E15" s="3">
        <v>10</v>
      </c>
      <c r="F15" s="3">
        <v>8</v>
      </c>
      <c r="G15" s="3"/>
      <c r="H15" s="3">
        <v>1</v>
      </c>
      <c r="I15" s="3">
        <v>24</v>
      </c>
      <c r="J15" s="3">
        <v>9</v>
      </c>
      <c r="K15" s="3"/>
      <c r="L15" s="3"/>
      <c r="M15" s="3">
        <v>42</v>
      </c>
      <c r="N15" s="3">
        <v>13</v>
      </c>
      <c r="O15" s="3">
        <v>0</v>
      </c>
      <c r="P15" s="3"/>
      <c r="Q15" s="3"/>
      <c r="R15" s="3">
        <v>43</v>
      </c>
      <c r="S15" s="3">
        <v>13</v>
      </c>
      <c r="T15" s="3"/>
      <c r="U15" s="3"/>
      <c r="V15" s="3"/>
      <c r="W15" s="3">
        <v>1</v>
      </c>
      <c r="X15" s="3">
        <v>34</v>
      </c>
      <c r="Y15" s="3">
        <v>8</v>
      </c>
      <c r="Z15" s="3"/>
      <c r="AA15" s="3">
        <v>0</v>
      </c>
      <c r="AB15" s="3"/>
      <c r="AC15" s="3"/>
      <c r="AD15" s="3">
        <v>60</v>
      </c>
      <c r="AE15" s="3">
        <v>25</v>
      </c>
      <c r="AF15" s="3"/>
      <c r="AG15" s="3">
        <v>0</v>
      </c>
      <c r="AH15" s="3">
        <v>1</v>
      </c>
      <c r="AI15" s="3">
        <v>2</v>
      </c>
      <c r="AJ15" s="5">
        <v>42</v>
      </c>
      <c r="AK15" s="3">
        <v>55</v>
      </c>
      <c r="AL15" s="3"/>
      <c r="AM15" s="3">
        <v>1</v>
      </c>
      <c r="AN15" s="3"/>
      <c r="AO15" s="3">
        <v>12</v>
      </c>
      <c r="AP15" s="3">
        <v>20</v>
      </c>
      <c r="AQ15" s="3"/>
      <c r="AR15" s="3"/>
      <c r="AS15" s="3"/>
      <c r="AT15" s="3">
        <v>50</v>
      </c>
      <c r="AU15" s="3">
        <v>20</v>
      </c>
      <c r="AV15" s="3"/>
      <c r="AW15" s="3">
        <v>2</v>
      </c>
      <c r="AX15" s="3">
        <v>1</v>
      </c>
      <c r="AY15" s="3">
        <v>26</v>
      </c>
      <c r="AZ15" s="3">
        <v>16</v>
      </c>
      <c r="BA15" s="3"/>
      <c r="BB15" s="3">
        <v>0</v>
      </c>
      <c r="BC15" s="3"/>
      <c r="BD15" s="3"/>
      <c r="BE15" s="3">
        <v>44</v>
      </c>
      <c r="BF15" s="3">
        <v>23</v>
      </c>
      <c r="BG15" s="3"/>
      <c r="BH15" s="3"/>
      <c r="BI15" s="3">
        <v>1</v>
      </c>
      <c r="BJ15" s="3">
        <v>1</v>
      </c>
      <c r="BK15" s="3">
        <v>26</v>
      </c>
      <c r="BL15" s="3">
        <v>2</v>
      </c>
      <c r="BM15" s="3"/>
      <c r="BN15" s="3"/>
      <c r="BO15" s="3"/>
      <c r="BP15" s="3">
        <v>4</v>
      </c>
      <c r="BQ15" s="3">
        <v>0</v>
      </c>
      <c r="BR15" s="3"/>
      <c r="BS15" s="3"/>
      <c r="BT15" s="18">
        <v>4</v>
      </c>
      <c r="BU15" s="3">
        <v>1</v>
      </c>
      <c r="BV15" s="3"/>
      <c r="BW15" s="3"/>
      <c r="BX15" s="3">
        <f t="shared" si="1"/>
        <v>645</v>
      </c>
      <c r="BY15" s="6"/>
    </row>
    <row r="16" spans="1:77" ht="23.1" customHeight="1" x14ac:dyDescent="0.25">
      <c r="A16" s="2"/>
      <c r="B16" s="4"/>
      <c r="C16" s="10"/>
      <c r="D16" s="3" t="s">
        <v>21</v>
      </c>
      <c r="E16" s="3">
        <v>137</v>
      </c>
      <c r="F16" s="3">
        <v>51</v>
      </c>
      <c r="G16" s="3">
        <v>3</v>
      </c>
      <c r="H16" s="3">
        <v>5</v>
      </c>
      <c r="I16" s="3">
        <v>152</v>
      </c>
      <c r="J16" s="3">
        <v>57</v>
      </c>
      <c r="K16" s="3">
        <v>1</v>
      </c>
      <c r="L16" s="3">
        <v>1</v>
      </c>
      <c r="M16" s="3">
        <v>307</v>
      </c>
      <c r="N16" s="3">
        <v>107</v>
      </c>
      <c r="O16" s="3">
        <v>1</v>
      </c>
      <c r="P16" s="3">
        <v>2</v>
      </c>
      <c r="Q16" s="3">
        <v>14</v>
      </c>
      <c r="R16" s="3">
        <v>261</v>
      </c>
      <c r="S16" s="3">
        <v>75</v>
      </c>
      <c r="T16" s="3"/>
      <c r="U16" s="3"/>
      <c r="V16" s="3">
        <v>4</v>
      </c>
      <c r="W16" s="3">
        <v>16</v>
      </c>
      <c r="X16" s="3">
        <v>169</v>
      </c>
      <c r="Y16" s="3">
        <v>42</v>
      </c>
      <c r="Z16" s="3"/>
      <c r="AA16" s="3">
        <v>2</v>
      </c>
      <c r="AB16" s="3">
        <v>1</v>
      </c>
      <c r="AC16" s="3">
        <v>4</v>
      </c>
      <c r="AD16" s="3">
        <v>308</v>
      </c>
      <c r="AE16" s="3">
        <v>171</v>
      </c>
      <c r="AF16" s="3"/>
      <c r="AG16" s="3">
        <v>1</v>
      </c>
      <c r="AH16" s="3">
        <v>1</v>
      </c>
      <c r="AI16" s="3">
        <v>7</v>
      </c>
      <c r="AJ16" s="5">
        <v>260</v>
      </c>
      <c r="AK16" s="3">
        <v>332</v>
      </c>
      <c r="AL16" s="3"/>
      <c r="AM16" s="3">
        <v>1</v>
      </c>
      <c r="AN16" s="3">
        <v>9</v>
      </c>
      <c r="AO16" s="3">
        <v>119</v>
      </c>
      <c r="AP16" s="3">
        <v>117</v>
      </c>
      <c r="AQ16" s="3"/>
      <c r="AR16" s="3">
        <v>3</v>
      </c>
      <c r="AS16" s="3">
        <v>4</v>
      </c>
      <c r="AT16" s="3">
        <v>226</v>
      </c>
      <c r="AU16" s="3">
        <v>113</v>
      </c>
      <c r="AV16" s="3"/>
      <c r="AW16" s="3">
        <v>1</v>
      </c>
      <c r="AX16" s="3">
        <v>5</v>
      </c>
      <c r="AY16" s="3">
        <v>248</v>
      </c>
      <c r="AZ16" s="3">
        <v>122</v>
      </c>
      <c r="BA16" s="3"/>
      <c r="BB16" s="3">
        <v>2</v>
      </c>
      <c r="BC16" s="3">
        <v>2</v>
      </c>
      <c r="BD16" s="3">
        <v>9</v>
      </c>
      <c r="BE16" s="3">
        <v>251</v>
      </c>
      <c r="BF16" s="3">
        <v>104</v>
      </c>
      <c r="BG16" s="3"/>
      <c r="BH16" s="3"/>
      <c r="BI16" s="3">
        <v>4</v>
      </c>
      <c r="BJ16" s="3">
        <v>2</v>
      </c>
      <c r="BK16" s="3">
        <v>151</v>
      </c>
      <c r="BL16" s="3">
        <v>43</v>
      </c>
      <c r="BM16" s="3"/>
      <c r="BN16" s="3"/>
      <c r="BO16" s="3">
        <v>3</v>
      </c>
      <c r="BP16" s="3">
        <v>45</v>
      </c>
      <c r="BQ16" s="3">
        <v>39</v>
      </c>
      <c r="BR16" s="3"/>
      <c r="BS16" s="3">
        <v>3</v>
      </c>
      <c r="BT16" s="18">
        <v>35</v>
      </c>
      <c r="BU16" s="3">
        <v>21</v>
      </c>
      <c r="BV16" s="3"/>
      <c r="BW16" s="3"/>
      <c r="BX16" s="3">
        <f t="shared" si="1"/>
        <v>4174</v>
      </c>
      <c r="BY16" s="6" t="s">
        <v>212</v>
      </c>
    </row>
    <row r="17" spans="1:77" ht="23.1" customHeight="1" x14ac:dyDescent="0.25">
      <c r="A17" s="2"/>
      <c r="B17" s="4"/>
      <c r="C17" s="10"/>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5"/>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18"/>
      <c r="BU17" s="3"/>
      <c r="BV17" s="3"/>
      <c r="BW17" s="3"/>
      <c r="BX17" s="3"/>
      <c r="BY17" s="6"/>
    </row>
    <row r="18" spans="1:77" ht="23.1" customHeight="1" x14ac:dyDescent="0.25">
      <c r="A18" s="2"/>
      <c r="B18" s="4"/>
      <c r="C18" s="10" t="s">
        <v>28</v>
      </c>
      <c r="D18" s="3" t="s">
        <v>51</v>
      </c>
      <c r="E18" s="3">
        <v>139</v>
      </c>
      <c r="F18" s="3">
        <v>52</v>
      </c>
      <c r="G18" s="3">
        <v>3</v>
      </c>
      <c r="H18" s="3">
        <v>5</v>
      </c>
      <c r="I18" s="3">
        <v>158</v>
      </c>
      <c r="J18" s="3">
        <v>63</v>
      </c>
      <c r="K18" s="3"/>
      <c r="L18" s="3">
        <v>1</v>
      </c>
      <c r="M18" s="3"/>
      <c r="N18" s="3"/>
      <c r="O18" s="3"/>
      <c r="P18" s="3"/>
      <c r="Q18" s="3"/>
      <c r="R18" s="3">
        <v>294</v>
      </c>
      <c r="S18" s="3">
        <v>81</v>
      </c>
      <c r="T18" s="3"/>
      <c r="U18" s="3"/>
      <c r="V18" s="3">
        <v>4</v>
      </c>
      <c r="W18" s="3">
        <v>17</v>
      </c>
      <c r="X18" s="3">
        <v>192</v>
      </c>
      <c r="Y18" s="3">
        <v>46</v>
      </c>
      <c r="Z18" s="3"/>
      <c r="AA18" s="3">
        <v>2</v>
      </c>
      <c r="AB18" s="3">
        <v>1</v>
      </c>
      <c r="AC18" s="3">
        <v>4</v>
      </c>
      <c r="AD18" s="3">
        <v>351</v>
      </c>
      <c r="AE18" s="3">
        <v>187</v>
      </c>
      <c r="AF18" s="3"/>
      <c r="AG18" s="3">
        <v>1</v>
      </c>
      <c r="AH18" s="3">
        <v>1</v>
      </c>
      <c r="AI18" s="3">
        <v>8</v>
      </c>
      <c r="AJ18" s="5">
        <v>272</v>
      </c>
      <c r="AK18" s="3">
        <v>344</v>
      </c>
      <c r="AL18" s="3"/>
      <c r="AM18" s="3">
        <v>2</v>
      </c>
      <c r="AN18" s="3">
        <v>9</v>
      </c>
      <c r="AO18" s="3">
        <v>121</v>
      </c>
      <c r="AP18" s="3">
        <v>117</v>
      </c>
      <c r="AQ18" s="3"/>
      <c r="AR18" s="3">
        <v>2</v>
      </c>
      <c r="AS18" s="3">
        <v>3</v>
      </c>
      <c r="AT18" s="3">
        <v>241</v>
      </c>
      <c r="AU18" s="3">
        <v>111</v>
      </c>
      <c r="AV18" s="3"/>
      <c r="AW18" s="3">
        <v>1</v>
      </c>
      <c r="AX18" s="3">
        <v>6</v>
      </c>
      <c r="AY18" s="3">
        <v>247</v>
      </c>
      <c r="AZ18" s="3">
        <v>124</v>
      </c>
      <c r="BA18" s="3"/>
      <c r="BB18" s="3">
        <v>2</v>
      </c>
      <c r="BC18" s="3">
        <v>2</v>
      </c>
      <c r="BD18" s="3">
        <v>8</v>
      </c>
      <c r="BE18" s="3">
        <v>273</v>
      </c>
      <c r="BF18" s="3">
        <v>113</v>
      </c>
      <c r="BG18" s="3"/>
      <c r="BH18" s="3"/>
      <c r="BI18" s="3">
        <v>3</v>
      </c>
      <c r="BJ18" s="3">
        <v>3</v>
      </c>
      <c r="BK18" s="3">
        <v>154</v>
      </c>
      <c r="BL18" s="3">
        <v>42</v>
      </c>
      <c r="BM18" s="3"/>
      <c r="BN18" s="3"/>
      <c r="BO18" s="3">
        <v>3</v>
      </c>
      <c r="BP18" s="3">
        <v>42</v>
      </c>
      <c r="BQ18" s="3">
        <v>38</v>
      </c>
      <c r="BR18" s="3"/>
      <c r="BS18" s="3">
        <v>3</v>
      </c>
      <c r="BT18" s="3">
        <v>39</v>
      </c>
      <c r="BU18" s="3">
        <v>20</v>
      </c>
      <c r="BV18" s="3"/>
      <c r="BW18" s="3"/>
      <c r="BX18" s="3">
        <f t="shared" si="1"/>
        <v>3955</v>
      </c>
      <c r="BY18" s="6" t="s">
        <v>212</v>
      </c>
    </row>
    <row r="19" spans="1:77" ht="23.1" customHeight="1" x14ac:dyDescent="0.25">
      <c r="A19" s="2"/>
      <c r="B19" s="4"/>
      <c r="C19" s="10"/>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5"/>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6"/>
    </row>
    <row r="20" spans="1:77" ht="23.1" customHeight="1" x14ac:dyDescent="0.25">
      <c r="A20" s="2"/>
      <c r="B20" s="4"/>
      <c r="C20" s="10" t="s">
        <v>59</v>
      </c>
      <c r="D20" s="3" t="s">
        <v>52</v>
      </c>
      <c r="E20" s="3"/>
      <c r="F20" s="3"/>
      <c r="G20" s="3"/>
      <c r="H20" s="3"/>
      <c r="I20" s="3"/>
      <c r="J20" s="3"/>
      <c r="K20" s="3"/>
      <c r="L20" s="3"/>
      <c r="M20" s="3">
        <v>325</v>
      </c>
      <c r="N20" s="3">
        <v>113</v>
      </c>
      <c r="O20" s="3">
        <v>1</v>
      </c>
      <c r="P20" s="3">
        <v>1</v>
      </c>
      <c r="Q20" s="3">
        <v>15</v>
      </c>
      <c r="R20" s="3"/>
      <c r="S20" s="3"/>
      <c r="T20" s="3"/>
      <c r="U20" s="3"/>
      <c r="V20" s="3"/>
      <c r="W20" s="3"/>
      <c r="X20" s="3"/>
      <c r="Y20" s="3"/>
      <c r="Z20" s="3"/>
      <c r="AA20" s="3"/>
      <c r="AB20" s="3"/>
      <c r="AC20" s="3"/>
      <c r="AD20" s="3"/>
      <c r="AE20" s="3"/>
      <c r="AF20" s="3"/>
      <c r="AG20" s="3"/>
      <c r="AH20" s="3"/>
      <c r="AI20" s="3"/>
      <c r="AJ20" s="5"/>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f t="shared" si="1"/>
        <v>455</v>
      </c>
      <c r="BY20" s="6" t="s">
        <v>212</v>
      </c>
    </row>
    <row r="21" spans="1:77" ht="23.1" customHeight="1" x14ac:dyDescent="0.25">
      <c r="A21" s="2"/>
      <c r="B21" s="4"/>
      <c r="C21" s="10"/>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5"/>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6"/>
    </row>
    <row r="22" spans="1:77" ht="23.1" customHeight="1" x14ac:dyDescent="0.25">
      <c r="A22" s="2"/>
      <c r="B22" s="4"/>
      <c r="C22" s="10" t="s">
        <v>29</v>
      </c>
      <c r="D22" s="3" t="s">
        <v>53</v>
      </c>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5"/>
      <c r="AK22" s="3"/>
      <c r="AL22" s="3"/>
      <c r="AM22" s="3"/>
      <c r="AN22" s="3"/>
      <c r="AO22" s="3">
        <v>102</v>
      </c>
      <c r="AP22" s="3">
        <v>88</v>
      </c>
      <c r="AQ22" s="3"/>
      <c r="AR22" s="3">
        <v>1</v>
      </c>
      <c r="AS22" s="3">
        <v>2</v>
      </c>
      <c r="AT22" s="3">
        <v>210</v>
      </c>
      <c r="AU22" s="3">
        <v>99</v>
      </c>
      <c r="AV22" s="3"/>
      <c r="AW22" s="3">
        <v>1</v>
      </c>
      <c r="AX22" s="3">
        <v>5</v>
      </c>
      <c r="AY22" s="3">
        <v>196</v>
      </c>
      <c r="AZ22" s="3">
        <v>93</v>
      </c>
      <c r="BA22" s="3"/>
      <c r="BB22" s="3">
        <v>1</v>
      </c>
      <c r="BC22" s="3">
        <v>1</v>
      </c>
      <c r="BD22" s="3">
        <v>7</v>
      </c>
      <c r="BE22" s="3"/>
      <c r="BF22" s="3"/>
      <c r="BG22" s="3"/>
      <c r="BH22" s="3"/>
      <c r="BI22" s="3"/>
      <c r="BJ22" s="3"/>
      <c r="BK22" s="3">
        <v>125</v>
      </c>
      <c r="BL22" s="3">
        <v>30</v>
      </c>
      <c r="BM22" s="3"/>
      <c r="BN22" s="3"/>
      <c r="BO22" s="3">
        <v>1</v>
      </c>
      <c r="BP22" s="3">
        <v>32</v>
      </c>
      <c r="BQ22" s="3">
        <v>31</v>
      </c>
      <c r="BR22" s="3"/>
      <c r="BS22" s="3">
        <v>2</v>
      </c>
      <c r="BT22" s="3">
        <v>37</v>
      </c>
      <c r="BU22" s="3">
        <v>17</v>
      </c>
      <c r="BV22" s="3"/>
      <c r="BW22" s="3"/>
      <c r="BX22" s="3">
        <f t="shared" si="1"/>
        <v>1081</v>
      </c>
      <c r="BY22" s="6" t="s">
        <v>213</v>
      </c>
    </row>
    <row r="23" spans="1:77" ht="23.1" customHeight="1" x14ac:dyDescent="0.25">
      <c r="A23" s="2"/>
      <c r="B23" s="4"/>
      <c r="C23" s="10"/>
      <c r="D23" s="3" t="s">
        <v>87</v>
      </c>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5"/>
      <c r="AK23" s="3"/>
      <c r="AL23" s="3"/>
      <c r="AM23" s="3"/>
      <c r="AN23" s="3"/>
      <c r="AO23" s="3">
        <v>12</v>
      </c>
      <c r="AP23" s="3">
        <v>31</v>
      </c>
      <c r="AQ23" s="3"/>
      <c r="AR23" s="3"/>
      <c r="AS23" s="3"/>
      <c r="AT23" s="3">
        <v>78</v>
      </c>
      <c r="AU23" s="3">
        <v>20</v>
      </c>
      <c r="AV23" s="3"/>
      <c r="AW23" s="3">
        <v>2</v>
      </c>
      <c r="AX23" s="3"/>
      <c r="AY23" s="3"/>
      <c r="AZ23" s="3">
        <v>28</v>
      </c>
      <c r="BA23" s="3"/>
      <c r="BB23" s="3"/>
      <c r="BC23" s="3">
        <v>2</v>
      </c>
      <c r="BD23" s="3"/>
      <c r="BE23" s="3"/>
      <c r="BF23" s="3"/>
      <c r="BG23" s="3"/>
      <c r="BH23" s="3"/>
      <c r="BI23" s="3"/>
      <c r="BJ23" s="3"/>
      <c r="BK23" s="3">
        <v>20</v>
      </c>
      <c r="BL23" s="3">
        <v>5</v>
      </c>
      <c r="BM23" s="3"/>
      <c r="BN23" s="3"/>
      <c r="BO23" s="3"/>
      <c r="BP23" s="3">
        <v>3</v>
      </c>
      <c r="BQ23" s="3">
        <v>1</v>
      </c>
      <c r="BR23" s="3"/>
      <c r="BS23" s="3"/>
      <c r="BT23" s="3">
        <v>2</v>
      </c>
      <c r="BU23" s="3">
        <v>2</v>
      </c>
      <c r="BV23" s="3"/>
      <c r="BW23" s="3"/>
      <c r="BX23" s="3">
        <f t="shared" si="1"/>
        <v>206</v>
      </c>
      <c r="BY23" s="6"/>
    </row>
    <row r="24" spans="1:77" ht="23.1" customHeight="1" x14ac:dyDescent="0.25">
      <c r="A24" s="2"/>
      <c r="B24" s="4"/>
      <c r="C24" s="10"/>
      <c r="D24" s="3" t="s">
        <v>68</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5"/>
      <c r="AK24" s="3"/>
      <c r="AL24" s="3"/>
      <c r="AM24" s="3"/>
      <c r="AN24" s="3"/>
      <c r="AO24" s="3">
        <v>9</v>
      </c>
      <c r="AP24" s="3">
        <v>10</v>
      </c>
      <c r="AQ24" s="3"/>
      <c r="AR24" s="3"/>
      <c r="AS24" s="3"/>
      <c r="AT24" s="3">
        <v>57</v>
      </c>
      <c r="AU24" s="3">
        <v>9</v>
      </c>
      <c r="AV24" s="3"/>
      <c r="AW24" s="3">
        <v>2</v>
      </c>
      <c r="AX24" s="3"/>
      <c r="AY24" s="3"/>
      <c r="AZ24" s="3">
        <v>12</v>
      </c>
      <c r="BA24" s="3"/>
      <c r="BB24" s="3">
        <v>1</v>
      </c>
      <c r="BC24" s="3">
        <v>2</v>
      </c>
      <c r="BD24" s="3"/>
      <c r="BE24" s="3"/>
      <c r="BF24" s="3"/>
      <c r="BG24" s="3"/>
      <c r="BH24" s="3"/>
      <c r="BI24" s="3"/>
      <c r="BJ24" s="3"/>
      <c r="BK24" s="3">
        <v>26</v>
      </c>
      <c r="BL24" s="3">
        <v>6</v>
      </c>
      <c r="BM24" s="3"/>
      <c r="BN24" s="3"/>
      <c r="BO24" s="3"/>
      <c r="BP24" s="3">
        <v>10</v>
      </c>
      <c r="BQ24" s="3">
        <v>5</v>
      </c>
      <c r="BR24" s="3"/>
      <c r="BS24" s="3"/>
      <c r="BT24" s="3">
        <v>2</v>
      </c>
      <c r="BU24" s="3">
        <v>2</v>
      </c>
      <c r="BV24" s="3"/>
      <c r="BW24" s="3"/>
      <c r="BX24" s="3">
        <f t="shared" si="1"/>
        <v>153</v>
      </c>
      <c r="BY24" s="6"/>
    </row>
    <row r="25" spans="1:77" ht="23.1" customHeight="1" x14ac:dyDescent="0.25">
      <c r="A25" s="2"/>
      <c r="B25" s="4"/>
      <c r="C25" s="10"/>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5"/>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6"/>
    </row>
    <row r="26" spans="1:77" ht="23.1" customHeight="1" x14ac:dyDescent="0.25">
      <c r="A26" s="2"/>
      <c r="B26" s="4"/>
      <c r="C26" s="10" t="s">
        <v>30</v>
      </c>
      <c r="D26" s="3" t="s">
        <v>54</v>
      </c>
      <c r="E26" s="3">
        <v>127</v>
      </c>
      <c r="F26" s="3">
        <v>48</v>
      </c>
      <c r="G26" s="3">
        <v>3</v>
      </c>
      <c r="H26" s="3">
        <v>3</v>
      </c>
      <c r="I26" s="3">
        <v>138</v>
      </c>
      <c r="J26" s="3">
        <v>52</v>
      </c>
      <c r="K26" s="3"/>
      <c r="L26" s="3">
        <v>1</v>
      </c>
      <c r="M26" s="3">
        <v>251</v>
      </c>
      <c r="N26" s="3">
        <v>89</v>
      </c>
      <c r="O26" s="3">
        <v>1</v>
      </c>
      <c r="P26" s="3">
        <v>1</v>
      </c>
      <c r="Q26" s="3">
        <v>10</v>
      </c>
      <c r="R26" s="3"/>
      <c r="S26" s="3"/>
      <c r="T26" s="3"/>
      <c r="U26" s="3"/>
      <c r="V26" s="3"/>
      <c r="W26" s="3"/>
      <c r="X26" s="3"/>
      <c r="Y26" s="3"/>
      <c r="Z26" s="3"/>
      <c r="AA26" s="3"/>
      <c r="AB26" s="3"/>
      <c r="AC26" s="3"/>
      <c r="AD26" s="3"/>
      <c r="AE26" s="3"/>
      <c r="AF26" s="3"/>
      <c r="AG26" s="3"/>
      <c r="AH26" s="3"/>
      <c r="AI26" s="3"/>
      <c r="AJ26" s="5">
        <v>251</v>
      </c>
      <c r="AK26" s="3">
        <v>285</v>
      </c>
      <c r="AL26" s="3"/>
      <c r="AM26" s="3"/>
      <c r="AN26" s="3">
        <v>8</v>
      </c>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f t="shared" si="1"/>
        <v>1268</v>
      </c>
      <c r="BY26" s="6" t="s">
        <v>213</v>
      </c>
    </row>
    <row r="27" spans="1:77" ht="23.1" customHeight="1" x14ac:dyDescent="0.25">
      <c r="A27" s="2"/>
      <c r="B27" s="4"/>
      <c r="C27" s="10"/>
      <c r="D27" s="3" t="s">
        <v>67</v>
      </c>
      <c r="E27" s="3">
        <v>7</v>
      </c>
      <c r="F27" s="3">
        <v>5</v>
      </c>
      <c r="G27" s="3">
        <v>3</v>
      </c>
      <c r="H27" s="3"/>
      <c r="I27" s="3">
        <v>25</v>
      </c>
      <c r="J27" s="3">
        <v>8</v>
      </c>
      <c r="K27" s="3">
        <v>1</v>
      </c>
      <c r="L27" s="3"/>
      <c r="M27" s="3">
        <v>68</v>
      </c>
      <c r="N27" s="3">
        <v>20</v>
      </c>
      <c r="O27" s="3"/>
      <c r="P27" s="3"/>
      <c r="Q27" s="3"/>
      <c r="R27" s="3"/>
      <c r="S27" s="3"/>
      <c r="T27" s="3"/>
      <c r="U27" s="3"/>
      <c r="V27" s="3"/>
      <c r="W27" s="3"/>
      <c r="X27" s="3"/>
      <c r="Y27" s="3"/>
      <c r="Z27" s="3"/>
      <c r="AA27" s="3"/>
      <c r="AB27" s="3"/>
      <c r="AC27" s="3"/>
      <c r="AD27" s="3"/>
      <c r="AE27" s="3"/>
      <c r="AF27" s="3"/>
      <c r="AG27" s="3"/>
      <c r="AH27" s="3"/>
      <c r="AI27" s="3"/>
      <c r="AJ27" s="5">
        <v>28</v>
      </c>
      <c r="AK27" s="3">
        <v>43</v>
      </c>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f t="shared" si="1"/>
        <v>208</v>
      </c>
      <c r="BY27" s="6"/>
    </row>
    <row r="28" spans="1:77" ht="23.1" customHeight="1" x14ac:dyDescent="0.25">
      <c r="A28" s="2"/>
      <c r="B28" s="4"/>
      <c r="C28" s="10"/>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5"/>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6"/>
    </row>
    <row r="29" spans="1:77" ht="23.1" customHeight="1" x14ac:dyDescent="0.25">
      <c r="A29" s="2"/>
      <c r="B29" s="4"/>
      <c r="C29" s="10" t="s">
        <v>31</v>
      </c>
      <c r="D29" s="3" t="s">
        <v>32</v>
      </c>
      <c r="E29" s="3">
        <v>144</v>
      </c>
      <c r="F29" s="3">
        <v>54</v>
      </c>
      <c r="G29" s="3">
        <v>3</v>
      </c>
      <c r="H29" s="3">
        <v>5</v>
      </c>
      <c r="I29" s="3">
        <v>160</v>
      </c>
      <c r="J29" s="3">
        <v>62</v>
      </c>
      <c r="K29" s="3"/>
      <c r="L29" s="3">
        <v>1</v>
      </c>
      <c r="M29" s="3">
        <v>325</v>
      </c>
      <c r="N29" s="3">
        <v>115</v>
      </c>
      <c r="O29" s="3">
        <v>1</v>
      </c>
      <c r="P29" s="3">
        <v>2</v>
      </c>
      <c r="Q29" s="3">
        <v>14</v>
      </c>
      <c r="R29" s="3">
        <v>293</v>
      </c>
      <c r="S29" s="3">
        <v>82</v>
      </c>
      <c r="T29" s="3"/>
      <c r="U29" s="3"/>
      <c r="V29" s="3">
        <v>4</v>
      </c>
      <c r="W29" s="3">
        <v>17</v>
      </c>
      <c r="X29" s="3">
        <v>191</v>
      </c>
      <c r="Y29" s="3">
        <v>46</v>
      </c>
      <c r="Z29" s="3"/>
      <c r="AA29" s="3">
        <v>2</v>
      </c>
      <c r="AB29" s="3">
        <v>2</v>
      </c>
      <c r="AC29" s="3">
        <v>4</v>
      </c>
      <c r="AD29" s="3">
        <v>359</v>
      </c>
      <c r="AE29" s="3">
        <v>186</v>
      </c>
      <c r="AF29" s="3"/>
      <c r="AG29" s="3">
        <v>1</v>
      </c>
      <c r="AH29" s="3">
        <v>1</v>
      </c>
      <c r="AI29" s="3">
        <v>7</v>
      </c>
      <c r="AJ29" s="5">
        <v>284</v>
      </c>
      <c r="AK29" s="3">
        <v>377</v>
      </c>
      <c r="AL29" s="3"/>
      <c r="AM29" s="3">
        <v>2</v>
      </c>
      <c r="AN29" s="3">
        <v>9</v>
      </c>
      <c r="AO29" s="3">
        <v>123</v>
      </c>
      <c r="AP29" s="3">
        <v>128</v>
      </c>
      <c r="AQ29" s="3"/>
      <c r="AR29" s="3">
        <v>3</v>
      </c>
      <c r="AS29" s="3">
        <v>3</v>
      </c>
      <c r="AT29" s="3">
        <v>258</v>
      </c>
      <c r="AU29" s="3">
        <v>119</v>
      </c>
      <c r="AV29" s="3"/>
      <c r="AW29" s="3">
        <v>1</v>
      </c>
      <c r="AX29" s="3">
        <v>6</v>
      </c>
      <c r="AY29" s="3">
        <v>263</v>
      </c>
      <c r="AZ29" s="3">
        <v>126</v>
      </c>
      <c r="BA29" s="3"/>
      <c r="BB29" s="3">
        <v>2</v>
      </c>
      <c r="BC29" s="3">
        <v>1</v>
      </c>
      <c r="BD29" s="3">
        <v>8</v>
      </c>
      <c r="BE29" s="3">
        <v>286</v>
      </c>
      <c r="BF29" s="3">
        <v>122</v>
      </c>
      <c r="BG29" s="3"/>
      <c r="BH29" s="3"/>
      <c r="BI29" s="3">
        <v>3</v>
      </c>
      <c r="BJ29" s="3">
        <v>3</v>
      </c>
      <c r="BK29" s="3">
        <v>170</v>
      </c>
      <c r="BL29" s="3">
        <v>39</v>
      </c>
      <c r="BM29" s="3"/>
      <c r="BN29" s="3"/>
      <c r="BO29" s="3">
        <v>3</v>
      </c>
      <c r="BP29" s="3">
        <v>45</v>
      </c>
      <c r="BQ29" s="3">
        <v>38</v>
      </c>
      <c r="BR29" s="3"/>
      <c r="BS29" s="3">
        <v>3</v>
      </c>
      <c r="BT29" s="3">
        <v>37</v>
      </c>
      <c r="BU29" s="3">
        <v>20</v>
      </c>
      <c r="BV29" s="3"/>
      <c r="BW29" s="3"/>
      <c r="BX29" s="3">
        <f t="shared" si="1"/>
        <v>4563</v>
      </c>
      <c r="BY29" s="6" t="s">
        <v>213</v>
      </c>
    </row>
    <row r="30" spans="1:77" ht="23.1" customHeight="1" x14ac:dyDescent="0.25">
      <c r="A30" s="2"/>
      <c r="B30" s="4"/>
      <c r="C30" s="10"/>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5"/>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6"/>
    </row>
    <row r="31" spans="1:77" ht="23.1" customHeight="1" x14ac:dyDescent="0.25">
      <c r="A31" s="2"/>
      <c r="B31" s="4"/>
      <c r="C31" s="10" t="s">
        <v>33</v>
      </c>
      <c r="D31" s="3" t="s">
        <v>55</v>
      </c>
      <c r="E31" s="3">
        <v>142</v>
      </c>
      <c r="F31" s="3">
        <v>54</v>
      </c>
      <c r="G31" s="3">
        <v>3</v>
      </c>
      <c r="H31" s="3">
        <v>5</v>
      </c>
      <c r="I31" s="3">
        <v>160</v>
      </c>
      <c r="J31" s="3">
        <v>64</v>
      </c>
      <c r="K31" s="3"/>
      <c r="L31" s="3">
        <v>1</v>
      </c>
      <c r="M31" s="3">
        <v>328</v>
      </c>
      <c r="N31" s="3">
        <v>112</v>
      </c>
      <c r="O31" s="3">
        <v>1</v>
      </c>
      <c r="P31" s="3">
        <v>2</v>
      </c>
      <c r="Q31" s="3">
        <v>14</v>
      </c>
      <c r="R31" s="3">
        <v>291</v>
      </c>
      <c r="S31" s="3">
        <v>83</v>
      </c>
      <c r="T31" s="3"/>
      <c r="U31" s="3"/>
      <c r="V31" s="3">
        <v>4</v>
      </c>
      <c r="W31" s="3">
        <v>17</v>
      </c>
      <c r="X31" s="3">
        <v>193</v>
      </c>
      <c r="Y31" s="3">
        <v>46</v>
      </c>
      <c r="Z31" s="3"/>
      <c r="AA31" s="3">
        <v>2</v>
      </c>
      <c r="AB31" s="3">
        <v>1</v>
      </c>
      <c r="AC31" s="3">
        <v>4</v>
      </c>
      <c r="AD31" s="3">
        <v>357</v>
      </c>
      <c r="AE31" s="3">
        <v>186</v>
      </c>
      <c r="AF31" s="3"/>
      <c r="AG31" s="3">
        <v>1</v>
      </c>
      <c r="AH31" s="3">
        <v>1</v>
      </c>
      <c r="AI31" s="3">
        <v>8</v>
      </c>
      <c r="AJ31" s="5">
        <v>284</v>
      </c>
      <c r="AK31" s="3">
        <v>368</v>
      </c>
      <c r="AL31" s="3"/>
      <c r="AM31" s="3">
        <v>2</v>
      </c>
      <c r="AN31" s="3">
        <v>9</v>
      </c>
      <c r="AO31" s="3">
        <v>121</v>
      </c>
      <c r="AP31" s="3">
        <v>126</v>
      </c>
      <c r="AQ31" s="3"/>
      <c r="AR31" s="3">
        <v>3</v>
      </c>
      <c r="AS31" s="3">
        <v>3</v>
      </c>
      <c r="AT31" s="3">
        <v>257</v>
      </c>
      <c r="AU31" s="3">
        <v>117</v>
      </c>
      <c r="AV31" s="3"/>
      <c r="AW31" s="3">
        <v>1</v>
      </c>
      <c r="AX31" s="3">
        <v>6</v>
      </c>
      <c r="AY31" s="3">
        <v>265</v>
      </c>
      <c r="AZ31" s="3">
        <v>123</v>
      </c>
      <c r="BA31" s="3"/>
      <c r="BB31" s="3">
        <v>2</v>
      </c>
      <c r="BC31" s="3">
        <v>1</v>
      </c>
      <c r="BD31" s="3">
        <v>8</v>
      </c>
      <c r="BE31" s="3">
        <v>281</v>
      </c>
      <c r="BF31" s="3">
        <v>118</v>
      </c>
      <c r="BG31" s="3"/>
      <c r="BH31" s="3"/>
      <c r="BI31" s="3">
        <v>4</v>
      </c>
      <c r="BJ31" s="3">
        <v>3</v>
      </c>
      <c r="BK31" s="3">
        <v>167</v>
      </c>
      <c r="BL31" s="3">
        <v>40</v>
      </c>
      <c r="BM31" s="3"/>
      <c r="BN31" s="3"/>
      <c r="BO31" s="3">
        <v>3</v>
      </c>
      <c r="BP31" s="3">
        <v>45</v>
      </c>
      <c r="BQ31" s="3">
        <v>37</v>
      </c>
      <c r="BR31" s="3"/>
      <c r="BS31" s="3">
        <v>2</v>
      </c>
      <c r="BT31" s="3">
        <v>38</v>
      </c>
      <c r="BU31" s="3">
        <v>21</v>
      </c>
      <c r="BV31" s="3"/>
      <c r="BW31" s="3"/>
      <c r="BX31" s="3">
        <f t="shared" si="1"/>
        <v>4535</v>
      </c>
      <c r="BY31" s="6" t="s">
        <v>213</v>
      </c>
    </row>
    <row r="32" spans="1:77" ht="23.1" customHeight="1" x14ac:dyDescent="0.25">
      <c r="A32" s="2"/>
      <c r="B32" s="4"/>
      <c r="C32" s="10"/>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5"/>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6"/>
    </row>
    <row r="33" spans="1:77" ht="23.1" customHeight="1" x14ac:dyDescent="0.25">
      <c r="A33" s="2"/>
      <c r="B33" s="4"/>
      <c r="C33" s="10" t="s">
        <v>34</v>
      </c>
      <c r="D33" s="3" t="s">
        <v>35</v>
      </c>
      <c r="E33" s="3">
        <v>140</v>
      </c>
      <c r="F33" s="3">
        <v>53</v>
      </c>
      <c r="G33" s="3">
        <v>3</v>
      </c>
      <c r="H33" s="3">
        <v>6</v>
      </c>
      <c r="I33" s="3">
        <v>171</v>
      </c>
      <c r="J33" s="3">
        <v>64</v>
      </c>
      <c r="K33" s="3"/>
      <c r="L33" s="3">
        <v>1</v>
      </c>
      <c r="M33" s="3">
        <v>337</v>
      </c>
      <c r="N33" s="3">
        <v>118</v>
      </c>
      <c r="O33" s="3">
        <v>1</v>
      </c>
      <c r="P33" s="3">
        <v>2</v>
      </c>
      <c r="Q33" s="3">
        <v>14</v>
      </c>
      <c r="R33" s="3">
        <v>292</v>
      </c>
      <c r="S33" s="3">
        <v>80</v>
      </c>
      <c r="T33" s="3"/>
      <c r="U33" s="3"/>
      <c r="V33" s="3">
        <v>4</v>
      </c>
      <c r="W33" s="3">
        <v>17</v>
      </c>
      <c r="X33" s="3">
        <v>196</v>
      </c>
      <c r="Y33" s="3">
        <v>47</v>
      </c>
      <c r="Z33" s="3"/>
      <c r="AA33" s="3">
        <v>2</v>
      </c>
      <c r="AB33" s="3">
        <v>1</v>
      </c>
      <c r="AC33" s="3">
        <v>4</v>
      </c>
      <c r="AD33" s="3">
        <v>358</v>
      </c>
      <c r="AE33" s="3">
        <v>184</v>
      </c>
      <c r="AF33" s="3"/>
      <c r="AG33" s="3">
        <v>1</v>
      </c>
      <c r="AH33" s="3">
        <v>1</v>
      </c>
      <c r="AI33" s="3">
        <v>8</v>
      </c>
      <c r="AJ33" s="5">
        <v>289</v>
      </c>
      <c r="AK33" s="3">
        <v>372</v>
      </c>
      <c r="AL33" s="3"/>
      <c r="AM33" s="3">
        <v>2</v>
      </c>
      <c r="AN33" s="3">
        <v>9</v>
      </c>
      <c r="AO33" s="3">
        <v>123</v>
      </c>
      <c r="AP33" s="3">
        <v>124</v>
      </c>
      <c r="AQ33" s="3"/>
      <c r="AR33" s="3">
        <v>3</v>
      </c>
      <c r="AS33" s="3">
        <v>3</v>
      </c>
      <c r="AT33" s="3">
        <v>260</v>
      </c>
      <c r="AU33" s="3">
        <v>122</v>
      </c>
      <c r="AV33" s="3"/>
      <c r="AW33" s="3">
        <v>1</v>
      </c>
      <c r="AX33" s="3">
        <v>6</v>
      </c>
      <c r="AY33" s="3">
        <v>265</v>
      </c>
      <c r="AZ33" s="3">
        <v>121</v>
      </c>
      <c r="BA33" s="3"/>
      <c r="BB33" s="3">
        <v>2</v>
      </c>
      <c r="BC33" s="3">
        <v>1</v>
      </c>
      <c r="BD33" s="3">
        <v>9</v>
      </c>
      <c r="BE33" s="3">
        <v>288</v>
      </c>
      <c r="BF33" s="3">
        <v>121</v>
      </c>
      <c r="BG33" s="3"/>
      <c r="BH33" s="3"/>
      <c r="BI33" s="3">
        <v>3</v>
      </c>
      <c r="BJ33" s="3">
        <v>3</v>
      </c>
      <c r="BK33" s="3">
        <v>170</v>
      </c>
      <c r="BL33" s="3">
        <v>41</v>
      </c>
      <c r="BM33" s="3"/>
      <c r="BN33" s="3"/>
      <c r="BO33" s="3">
        <v>3</v>
      </c>
      <c r="BP33" s="3">
        <v>45</v>
      </c>
      <c r="BQ33" s="3">
        <v>37</v>
      </c>
      <c r="BR33" s="3"/>
      <c r="BS33" s="3">
        <v>2</v>
      </c>
      <c r="BT33" s="3">
        <v>39</v>
      </c>
      <c r="BU33" s="3">
        <v>22</v>
      </c>
      <c r="BV33" s="3"/>
      <c r="BW33" s="3"/>
      <c r="BX33" s="3">
        <f t="shared" si="1"/>
        <v>4591</v>
      </c>
      <c r="BY33" s="6" t="s">
        <v>213</v>
      </c>
    </row>
    <row r="34" spans="1:77" ht="23.1" customHeight="1" x14ac:dyDescent="0.25">
      <c r="A34" s="2"/>
      <c r="B34" s="4"/>
      <c r="C34" s="10"/>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5"/>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6"/>
    </row>
    <row r="35" spans="1:77" ht="23.1" customHeight="1" x14ac:dyDescent="0.25">
      <c r="A35" s="2"/>
      <c r="B35" s="4"/>
      <c r="C35" s="10" t="s">
        <v>36</v>
      </c>
      <c r="D35" s="3" t="s">
        <v>56</v>
      </c>
      <c r="E35" s="3">
        <v>135</v>
      </c>
      <c r="F35" s="3">
        <v>54</v>
      </c>
      <c r="G35" s="3">
        <v>3</v>
      </c>
      <c r="H35" s="3">
        <v>6</v>
      </c>
      <c r="I35" s="3">
        <v>158</v>
      </c>
      <c r="J35" s="3">
        <v>58</v>
      </c>
      <c r="K35" s="3"/>
      <c r="L35" s="3">
        <v>1</v>
      </c>
      <c r="M35" s="3">
        <v>330</v>
      </c>
      <c r="N35" s="3">
        <v>108</v>
      </c>
      <c r="O35" s="3">
        <v>1</v>
      </c>
      <c r="P35" s="3">
        <v>2</v>
      </c>
      <c r="Q35" s="3">
        <v>12</v>
      </c>
      <c r="R35" s="3">
        <v>287</v>
      </c>
      <c r="S35" s="3">
        <v>80</v>
      </c>
      <c r="T35" s="3"/>
      <c r="U35" s="3"/>
      <c r="V35" s="3">
        <v>4</v>
      </c>
      <c r="W35" s="3">
        <v>17</v>
      </c>
      <c r="X35" s="3">
        <v>188</v>
      </c>
      <c r="Y35" s="3">
        <v>44</v>
      </c>
      <c r="Z35" s="3"/>
      <c r="AA35" s="3">
        <v>2</v>
      </c>
      <c r="AB35" s="3">
        <v>1</v>
      </c>
      <c r="AC35" s="3">
        <v>4</v>
      </c>
      <c r="AD35" s="3">
        <v>354</v>
      </c>
      <c r="AE35" s="3">
        <v>181</v>
      </c>
      <c r="AF35" s="3"/>
      <c r="AG35" s="3">
        <v>1</v>
      </c>
      <c r="AH35" s="3">
        <v>1</v>
      </c>
      <c r="AI35" s="3">
        <v>8</v>
      </c>
      <c r="AJ35" s="5">
        <v>276</v>
      </c>
      <c r="AK35" s="3">
        <v>356</v>
      </c>
      <c r="AL35" s="3"/>
      <c r="AM35" s="3">
        <v>2</v>
      </c>
      <c r="AN35" s="3">
        <v>9</v>
      </c>
      <c r="AO35" s="3">
        <v>121</v>
      </c>
      <c r="AP35" s="3">
        <v>116</v>
      </c>
      <c r="AQ35" s="3"/>
      <c r="AR35" s="3">
        <v>3</v>
      </c>
      <c r="AS35" s="3">
        <v>3</v>
      </c>
      <c r="AT35" s="3">
        <v>254</v>
      </c>
      <c r="AU35" s="3">
        <v>119</v>
      </c>
      <c r="AV35" s="3"/>
      <c r="AW35" s="3">
        <v>1</v>
      </c>
      <c r="AX35" s="3">
        <v>6</v>
      </c>
      <c r="AY35" s="3">
        <v>262</v>
      </c>
      <c r="AZ35" s="3">
        <v>122</v>
      </c>
      <c r="BA35" s="3"/>
      <c r="BB35" s="3">
        <v>2</v>
      </c>
      <c r="BC35" s="3">
        <v>1</v>
      </c>
      <c r="BD35" s="3">
        <v>9</v>
      </c>
      <c r="BE35" s="3">
        <v>281</v>
      </c>
      <c r="BF35" s="3">
        <v>117</v>
      </c>
      <c r="BG35" s="3"/>
      <c r="BH35" s="3"/>
      <c r="BI35" s="3">
        <v>3</v>
      </c>
      <c r="BJ35" s="3">
        <v>3</v>
      </c>
      <c r="BK35" s="3">
        <v>166</v>
      </c>
      <c r="BL35" s="3">
        <v>40</v>
      </c>
      <c r="BM35" s="3"/>
      <c r="BN35" s="3"/>
      <c r="BO35" s="3">
        <v>3</v>
      </c>
      <c r="BP35" s="3">
        <v>42</v>
      </c>
      <c r="BQ35" s="3">
        <v>35</v>
      </c>
      <c r="BR35" s="3"/>
      <c r="BS35" s="3">
        <v>2</v>
      </c>
      <c r="BT35" s="3">
        <v>38</v>
      </c>
      <c r="BU35" s="3">
        <v>19</v>
      </c>
      <c r="BV35" s="3"/>
      <c r="BW35" s="3"/>
      <c r="BX35" s="3">
        <f t="shared" si="1"/>
        <v>4451</v>
      </c>
      <c r="BY35" s="6" t="s">
        <v>213</v>
      </c>
    </row>
    <row r="36" spans="1:77" ht="23.1" customHeight="1" x14ac:dyDescent="0.25">
      <c r="A36" s="2"/>
      <c r="B36" s="4"/>
      <c r="C36" s="10"/>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5"/>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6"/>
    </row>
    <row r="37" spans="1:77" ht="23.1" customHeight="1" x14ac:dyDescent="0.25">
      <c r="A37" s="2"/>
      <c r="B37" s="4"/>
      <c r="C37" s="10" t="s">
        <v>37</v>
      </c>
      <c r="D37" s="3" t="s">
        <v>57</v>
      </c>
      <c r="E37" s="3">
        <v>142</v>
      </c>
      <c r="F37" s="3">
        <v>54</v>
      </c>
      <c r="G37" s="3">
        <v>3</v>
      </c>
      <c r="H37" s="3">
        <v>6</v>
      </c>
      <c r="I37" s="3">
        <v>173</v>
      </c>
      <c r="J37" s="3">
        <v>64</v>
      </c>
      <c r="K37" s="3"/>
      <c r="L37" s="3">
        <v>1</v>
      </c>
      <c r="M37" s="3">
        <v>317</v>
      </c>
      <c r="N37" s="3">
        <v>112</v>
      </c>
      <c r="O37" s="3">
        <v>1</v>
      </c>
      <c r="P37" s="3">
        <v>2</v>
      </c>
      <c r="Q37" s="3">
        <v>14</v>
      </c>
      <c r="R37" s="3">
        <v>291</v>
      </c>
      <c r="S37" s="3">
        <v>85</v>
      </c>
      <c r="T37" s="3"/>
      <c r="U37" s="3"/>
      <c r="V37" s="3">
        <v>4</v>
      </c>
      <c r="W37" s="3">
        <v>17</v>
      </c>
      <c r="X37" s="3">
        <v>200</v>
      </c>
      <c r="Y37" s="3">
        <v>43</v>
      </c>
      <c r="Z37" s="3"/>
      <c r="AA37" s="3">
        <v>2</v>
      </c>
      <c r="AB37" s="3">
        <v>1</v>
      </c>
      <c r="AC37" s="3">
        <v>4</v>
      </c>
      <c r="AD37" s="3">
        <v>359</v>
      </c>
      <c r="AE37" s="3">
        <v>180</v>
      </c>
      <c r="AF37" s="3"/>
      <c r="AG37" s="3">
        <v>1</v>
      </c>
      <c r="AH37" s="3">
        <v>1</v>
      </c>
      <c r="AI37" s="3">
        <v>7</v>
      </c>
      <c r="AJ37" s="5">
        <v>288</v>
      </c>
      <c r="AK37" s="3">
        <v>376</v>
      </c>
      <c r="AL37" s="3"/>
      <c r="AM37" s="3">
        <v>2</v>
      </c>
      <c r="AN37" s="3">
        <v>9</v>
      </c>
      <c r="AO37" s="3">
        <v>126</v>
      </c>
      <c r="AP37" s="3">
        <v>126</v>
      </c>
      <c r="AQ37" s="3"/>
      <c r="AR37" s="3">
        <v>3</v>
      </c>
      <c r="AS37" s="3">
        <v>3</v>
      </c>
      <c r="AT37" s="3">
        <v>258</v>
      </c>
      <c r="AU37" s="3">
        <v>121</v>
      </c>
      <c r="AV37" s="3"/>
      <c r="AW37" s="3">
        <v>1</v>
      </c>
      <c r="AX37" s="3">
        <v>6</v>
      </c>
      <c r="AY37" s="3">
        <v>265</v>
      </c>
      <c r="AZ37" s="3">
        <v>126</v>
      </c>
      <c r="BA37" s="3"/>
      <c r="BB37" s="3">
        <v>2</v>
      </c>
      <c r="BC37" s="3"/>
      <c r="BD37" s="3">
        <v>9</v>
      </c>
      <c r="BE37" s="3">
        <v>290</v>
      </c>
      <c r="BF37" s="3">
        <v>119</v>
      </c>
      <c r="BG37" s="3"/>
      <c r="BH37" s="3"/>
      <c r="BI37" s="3">
        <v>2</v>
      </c>
      <c r="BJ37" s="3">
        <v>3</v>
      </c>
      <c r="BK37" s="3">
        <v>167</v>
      </c>
      <c r="BL37" s="3">
        <v>41</v>
      </c>
      <c r="BM37" s="3"/>
      <c r="BN37" s="3"/>
      <c r="BO37" s="3">
        <v>3</v>
      </c>
      <c r="BP37" s="3">
        <v>43</v>
      </c>
      <c r="BQ37" s="3">
        <v>37</v>
      </c>
      <c r="BR37" s="3"/>
      <c r="BS37" s="3">
        <v>3</v>
      </c>
      <c r="BT37" s="3">
        <v>39</v>
      </c>
      <c r="BU37" s="3">
        <v>22</v>
      </c>
      <c r="BV37" s="3"/>
      <c r="BW37" s="3"/>
      <c r="BX37" s="3">
        <f t="shared" si="1"/>
        <v>4574</v>
      </c>
      <c r="BY37" s="6" t="s">
        <v>213</v>
      </c>
    </row>
    <row r="38" spans="1:77" ht="23.1" customHeight="1" x14ac:dyDescent="0.25">
      <c r="A38" s="2"/>
      <c r="B38" s="4"/>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5"/>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6"/>
    </row>
    <row r="39" spans="1:77" s="15" customFormat="1" ht="23.1" customHeight="1" x14ac:dyDescent="0.25">
      <c r="A39" s="13" t="s">
        <v>2</v>
      </c>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20"/>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4"/>
    </row>
    <row r="40" spans="1:77" ht="23.1" customHeight="1" x14ac:dyDescent="0.25">
      <c r="C40" s="3" t="s">
        <v>38</v>
      </c>
      <c r="D40" s="3" t="s">
        <v>60</v>
      </c>
      <c r="E40" s="3">
        <v>127</v>
      </c>
      <c r="F40" s="3">
        <v>53</v>
      </c>
      <c r="G40" s="3">
        <v>2</v>
      </c>
      <c r="H40" s="3">
        <v>5</v>
      </c>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5"/>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f t="shared" si="1"/>
        <v>187</v>
      </c>
      <c r="BY40" s="6" t="s">
        <v>213</v>
      </c>
    </row>
    <row r="41" spans="1:77" ht="23.1" customHeight="1" x14ac:dyDescent="0.25">
      <c r="C41" s="3"/>
      <c r="D41" s="3" t="s">
        <v>135</v>
      </c>
      <c r="E41" s="3">
        <v>2</v>
      </c>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5"/>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f t="shared" si="1"/>
        <v>2</v>
      </c>
      <c r="BY41" s="6"/>
    </row>
    <row r="42" spans="1:77" ht="23.1" customHeight="1" x14ac:dyDescent="0.25">
      <c r="C42" s="3"/>
      <c r="D42" s="3" t="s">
        <v>136</v>
      </c>
      <c r="E42" s="3">
        <v>2</v>
      </c>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5"/>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f t="shared" si="1"/>
        <v>2</v>
      </c>
      <c r="BY42" s="6"/>
    </row>
    <row r="43" spans="1:77" ht="23.1" customHeight="1" x14ac:dyDescent="0.25">
      <c r="C43" s="3"/>
      <c r="D43" s="3" t="s">
        <v>137</v>
      </c>
      <c r="E43" s="3">
        <v>1</v>
      </c>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5"/>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f t="shared" si="1"/>
        <v>1</v>
      </c>
      <c r="BY43" s="6"/>
    </row>
    <row r="44" spans="1:77" ht="23.1" customHeight="1" x14ac:dyDescent="0.25">
      <c r="C44" s="3"/>
      <c r="D44" s="3" t="s">
        <v>138</v>
      </c>
      <c r="E44" s="3">
        <v>1</v>
      </c>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5"/>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f t="shared" si="1"/>
        <v>1</v>
      </c>
      <c r="BY44" s="6"/>
    </row>
    <row r="45" spans="1:77" ht="23.1" customHeight="1" x14ac:dyDescent="0.25">
      <c r="C45" s="3"/>
      <c r="D45" s="3" t="s">
        <v>144</v>
      </c>
      <c r="E45" s="3"/>
      <c r="F45" s="3">
        <v>1</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5"/>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f t="shared" si="1"/>
        <v>1</v>
      </c>
      <c r="BY45" s="6"/>
    </row>
    <row r="46" spans="1:77" ht="23.1" customHeight="1" x14ac:dyDescent="0.25">
      <c r="C46" s="3"/>
      <c r="D46" s="3" t="s">
        <v>145</v>
      </c>
      <c r="E46" s="3"/>
      <c r="F46" s="3">
        <v>1</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5"/>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f t="shared" si="1"/>
        <v>1</v>
      </c>
      <c r="BY46" s="6"/>
    </row>
    <row r="47" spans="1:77" ht="23.1" customHeight="1" x14ac:dyDescent="0.25">
      <c r="C47" s="3"/>
      <c r="D47" s="3" t="s">
        <v>211</v>
      </c>
      <c r="E47" s="3"/>
      <c r="F47" s="3"/>
      <c r="G47" s="3">
        <v>1</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5"/>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f t="shared" si="1"/>
        <v>1</v>
      </c>
      <c r="BY47" s="6"/>
    </row>
    <row r="48" spans="1:77" ht="23.1" customHeight="1" x14ac:dyDescent="0.25">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5"/>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6"/>
    </row>
    <row r="49" spans="1:77" ht="23.1" customHeight="1" x14ac:dyDescent="0.25">
      <c r="C49" s="3" t="s">
        <v>39</v>
      </c>
      <c r="D49" s="3" t="s">
        <v>40</v>
      </c>
      <c r="E49" s="3">
        <v>140</v>
      </c>
      <c r="F49" s="3">
        <v>54</v>
      </c>
      <c r="G49" s="3">
        <v>2</v>
      </c>
      <c r="H49" s="3">
        <v>5</v>
      </c>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5"/>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f t="shared" si="1"/>
        <v>201</v>
      </c>
      <c r="BY49" s="6" t="s">
        <v>213</v>
      </c>
    </row>
    <row r="50" spans="1:77" ht="23.1" customHeight="1" x14ac:dyDescent="0.25">
      <c r="C50" s="3"/>
      <c r="D50" s="3" t="s">
        <v>139</v>
      </c>
      <c r="E50" s="3">
        <v>1</v>
      </c>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5"/>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f t="shared" si="1"/>
        <v>1</v>
      </c>
      <c r="BY50" s="6"/>
    </row>
    <row r="51" spans="1:77" ht="23.1" customHeight="1" x14ac:dyDescent="0.25">
      <c r="C51" s="3"/>
      <c r="D51" s="3" t="s">
        <v>140</v>
      </c>
      <c r="E51" s="3">
        <v>1</v>
      </c>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5"/>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f t="shared" si="1"/>
        <v>1</v>
      </c>
      <c r="BY51" s="6"/>
    </row>
    <row r="52" spans="1:77" ht="23.1" customHeight="1" x14ac:dyDescent="0.25">
      <c r="C52" s="3"/>
      <c r="D52" s="3" t="s">
        <v>137</v>
      </c>
      <c r="E52" s="3">
        <v>1</v>
      </c>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5"/>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f t="shared" si="1"/>
        <v>1</v>
      </c>
      <c r="BY52" s="6"/>
    </row>
    <row r="53" spans="1:77" ht="23.1" customHeight="1" x14ac:dyDescent="0.25">
      <c r="C53" s="3"/>
      <c r="D53" s="3" t="s">
        <v>171</v>
      </c>
      <c r="E53" s="3"/>
      <c r="F53" s="3">
        <v>1</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5"/>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f t="shared" si="1"/>
        <v>1</v>
      </c>
      <c r="BY53" s="6"/>
    </row>
    <row r="54" spans="1:77" ht="23.1" customHeight="1" x14ac:dyDescent="0.25">
      <c r="C54" s="3"/>
      <c r="D54" s="3" t="s">
        <v>211</v>
      </c>
      <c r="E54" s="3"/>
      <c r="F54" s="3"/>
      <c r="G54" s="3">
        <v>1</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5"/>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f t="shared" si="1"/>
        <v>1</v>
      </c>
      <c r="BY54" s="6"/>
    </row>
    <row r="55" spans="1:77" ht="23.1" customHeight="1" x14ac:dyDescent="0.25">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5"/>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6"/>
    </row>
    <row r="56" spans="1:77" s="15" customFormat="1" ht="23.1" customHeight="1" x14ac:dyDescent="0.25">
      <c r="A56" s="13" t="s">
        <v>6</v>
      </c>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20"/>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4"/>
    </row>
    <row r="57" spans="1:77" ht="23.1" customHeight="1" x14ac:dyDescent="0.25">
      <c r="C57" s="3" t="s">
        <v>38</v>
      </c>
      <c r="D57" s="3" t="s">
        <v>61</v>
      </c>
      <c r="E57" s="3"/>
      <c r="F57" s="3"/>
      <c r="G57" s="3"/>
      <c r="H57" s="3"/>
      <c r="I57" s="3">
        <v>169</v>
      </c>
      <c r="J57" s="3">
        <v>65</v>
      </c>
      <c r="K57" s="3"/>
      <c r="L57" s="3">
        <v>1</v>
      </c>
      <c r="M57" s="3"/>
      <c r="N57" s="3"/>
      <c r="O57" s="3"/>
      <c r="P57" s="3"/>
      <c r="Q57" s="3"/>
      <c r="R57" s="3"/>
      <c r="S57" s="3"/>
      <c r="T57" s="3"/>
      <c r="U57" s="3"/>
      <c r="V57" s="3"/>
      <c r="W57" s="3"/>
      <c r="X57" s="3"/>
      <c r="Y57" s="3"/>
      <c r="Z57" s="3"/>
      <c r="AA57" s="3"/>
      <c r="AB57" s="3"/>
      <c r="AC57" s="3"/>
      <c r="AD57" s="3"/>
      <c r="AE57" s="3"/>
      <c r="AF57" s="3"/>
      <c r="AG57" s="3"/>
      <c r="AH57" s="3"/>
      <c r="AI57" s="3"/>
      <c r="AJ57" s="5"/>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f t="shared" si="1"/>
        <v>235</v>
      </c>
      <c r="BY57" s="6" t="s">
        <v>213</v>
      </c>
    </row>
    <row r="58" spans="1:77" ht="23.1" customHeight="1" x14ac:dyDescent="0.25">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5"/>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6"/>
    </row>
    <row r="59" spans="1:77" ht="23.1" customHeight="1" x14ac:dyDescent="0.25">
      <c r="C59" s="3" t="s">
        <v>39</v>
      </c>
      <c r="D59" s="3" t="s">
        <v>41</v>
      </c>
      <c r="E59" s="3"/>
      <c r="F59" s="3"/>
      <c r="G59" s="3"/>
      <c r="H59" s="3"/>
      <c r="I59" s="3">
        <v>166</v>
      </c>
      <c r="J59" s="3">
        <v>63</v>
      </c>
      <c r="K59" s="3"/>
      <c r="L59" s="3">
        <v>1</v>
      </c>
      <c r="M59" s="3"/>
      <c r="N59" s="3"/>
      <c r="O59" s="3"/>
      <c r="P59" s="3"/>
      <c r="Q59" s="3"/>
      <c r="R59" s="3"/>
      <c r="S59" s="3"/>
      <c r="T59" s="3"/>
      <c r="U59" s="3"/>
      <c r="V59" s="3"/>
      <c r="W59" s="3"/>
      <c r="X59" s="3"/>
      <c r="Y59" s="3"/>
      <c r="Z59" s="3"/>
      <c r="AA59" s="3"/>
      <c r="AB59" s="3"/>
      <c r="AC59" s="3"/>
      <c r="AD59" s="3"/>
      <c r="AE59" s="3"/>
      <c r="AF59" s="3"/>
      <c r="AG59" s="3"/>
      <c r="AH59" s="3"/>
      <c r="AI59" s="3"/>
      <c r="AJ59" s="5"/>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f t="shared" si="1"/>
        <v>230</v>
      </c>
      <c r="BY59" s="6" t="s">
        <v>213</v>
      </c>
    </row>
    <row r="60" spans="1:77" ht="23.1" customHeight="1" x14ac:dyDescent="0.25">
      <c r="C60" s="3"/>
      <c r="D60" s="3" t="s">
        <v>67</v>
      </c>
      <c r="E60" s="3"/>
      <c r="F60" s="3"/>
      <c r="G60" s="3"/>
      <c r="H60" s="3"/>
      <c r="I60" s="3">
        <v>2</v>
      </c>
      <c r="J60" s="3"/>
      <c r="K60" s="3"/>
      <c r="L60" s="3"/>
      <c r="M60" s="3"/>
      <c r="N60" s="3"/>
      <c r="O60" s="3"/>
      <c r="P60" s="3"/>
      <c r="Q60" s="3"/>
      <c r="R60" s="3"/>
      <c r="S60" s="3"/>
      <c r="T60" s="3"/>
      <c r="U60" s="3"/>
      <c r="V60" s="3"/>
      <c r="W60" s="3"/>
      <c r="X60" s="3"/>
      <c r="Y60" s="3"/>
      <c r="Z60" s="3"/>
      <c r="AA60" s="3"/>
      <c r="AB60" s="3"/>
      <c r="AC60" s="3"/>
      <c r="AD60" s="3"/>
      <c r="AE60" s="3"/>
      <c r="AF60" s="3"/>
      <c r="AG60" s="3"/>
      <c r="AH60" s="3"/>
      <c r="AI60" s="3"/>
      <c r="AJ60" s="5"/>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f t="shared" si="1"/>
        <v>2</v>
      </c>
      <c r="BY60" s="6"/>
    </row>
    <row r="61" spans="1:77" ht="23.1" customHeight="1" x14ac:dyDescent="0.25">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5"/>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6"/>
    </row>
    <row r="62" spans="1:77" ht="23.1" customHeight="1" x14ac:dyDescent="0.25">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5"/>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6"/>
    </row>
    <row r="63" spans="1:77" ht="23.1" customHeight="1" x14ac:dyDescent="0.25">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5"/>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6"/>
    </row>
    <row r="64" spans="1:77" ht="23.1" customHeight="1" x14ac:dyDescent="0.25">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5"/>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6"/>
    </row>
    <row r="65" spans="1:77" ht="23.1" customHeight="1" x14ac:dyDescent="0.25">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5"/>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6"/>
    </row>
    <row r="66" spans="1:77" ht="23.1" customHeight="1" x14ac:dyDescent="0.25">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5"/>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6"/>
    </row>
    <row r="67" spans="1:77" ht="23.1" customHeight="1" x14ac:dyDescent="0.25">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5"/>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6"/>
    </row>
    <row r="68" spans="1:77" ht="23.1" customHeight="1" x14ac:dyDescent="0.25">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5"/>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6"/>
    </row>
    <row r="69" spans="1:77" ht="23.1" customHeight="1" x14ac:dyDescent="0.25">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5"/>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6"/>
    </row>
    <row r="70" spans="1:77" ht="24" customHeight="1" x14ac:dyDescent="0.25">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5"/>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6"/>
    </row>
    <row r="71" spans="1:77" ht="24" customHeight="1" x14ac:dyDescent="0.25">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5"/>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6"/>
    </row>
    <row r="72" spans="1:77" ht="100.5" customHeight="1" x14ac:dyDescent="0.25">
      <c r="A72" s="2"/>
      <c r="B72" s="4"/>
      <c r="C72" s="3" t="s">
        <v>0</v>
      </c>
      <c r="D72" s="3" t="s">
        <v>1</v>
      </c>
      <c r="E72" s="19" t="s">
        <v>2</v>
      </c>
      <c r="F72" s="12" t="s">
        <v>3</v>
      </c>
      <c r="G72" s="12" t="s">
        <v>48</v>
      </c>
      <c r="H72" s="12" t="s">
        <v>5</v>
      </c>
      <c r="I72" s="19" t="s">
        <v>6</v>
      </c>
      <c r="J72" s="12" t="s">
        <v>3</v>
      </c>
      <c r="K72" s="12" t="s">
        <v>48</v>
      </c>
      <c r="L72" s="12" t="s">
        <v>5</v>
      </c>
      <c r="M72" s="19" t="s">
        <v>7</v>
      </c>
      <c r="N72" s="12" t="s">
        <v>3</v>
      </c>
      <c r="O72" s="12" t="s">
        <v>66</v>
      </c>
      <c r="P72" s="12" t="s">
        <v>48</v>
      </c>
      <c r="Q72" s="12" t="s">
        <v>5</v>
      </c>
      <c r="R72" s="19" t="s">
        <v>8</v>
      </c>
      <c r="S72" s="12" t="s">
        <v>3</v>
      </c>
      <c r="T72" s="12" t="s">
        <v>47</v>
      </c>
      <c r="U72" s="12" t="s">
        <v>4</v>
      </c>
      <c r="V72" s="12" t="s">
        <v>48</v>
      </c>
      <c r="W72" s="12" t="s">
        <v>5</v>
      </c>
      <c r="X72" s="19" t="s">
        <v>9</v>
      </c>
      <c r="Y72" s="12" t="s">
        <v>3</v>
      </c>
      <c r="Z72" s="12" t="s">
        <v>47</v>
      </c>
      <c r="AA72" s="12" t="s">
        <v>107</v>
      </c>
      <c r="AB72" s="12" t="s">
        <v>48</v>
      </c>
      <c r="AC72" s="12" t="s">
        <v>5</v>
      </c>
      <c r="AD72" s="19" t="s">
        <v>49</v>
      </c>
      <c r="AE72" s="12" t="s">
        <v>3</v>
      </c>
      <c r="AF72" s="12" t="s">
        <v>47</v>
      </c>
      <c r="AG72" s="12" t="s">
        <v>105</v>
      </c>
      <c r="AH72" s="12" t="s">
        <v>48</v>
      </c>
      <c r="AI72" s="12" t="s">
        <v>5</v>
      </c>
      <c r="AJ72" s="19" t="s">
        <v>10</v>
      </c>
      <c r="AK72" s="12" t="s">
        <v>3</v>
      </c>
      <c r="AL72" s="12" t="s">
        <v>47</v>
      </c>
      <c r="AM72" s="12" t="s">
        <v>48</v>
      </c>
      <c r="AN72" s="12" t="s">
        <v>5</v>
      </c>
      <c r="AO72" s="19" t="s">
        <v>11</v>
      </c>
      <c r="AP72" s="12" t="s">
        <v>3</v>
      </c>
      <c r="AQ72" s="12" t="s">
        <v>4</v>
      </c>
      <c r="AR72" s="12" t="s">
        <v>48</v>
      </c>
      <c r="AS72" s="12" t="s">
        <v>5</v>
      </c>
      <c r="AT72" s="19" t="s">
        <v>12</v>
      </c>
      <c r="AU72" s="12" t="s">
        <v>3</v>
      </c>
      <c r="AV72" s="12" t="s">
        <v>4</v>
      </c>
      <c r="AW72" s="12" t="s">
        <v>48</v>
      </c>
      <c r="AX72" s="12" t="s">
        <v>5</v>
      </c>
      <c r="AY72" s="19" t="s">
        <v>13</v>
      </c>
      <c r="AZ72" s="12" t="s">
        <v>3</v>
      </c>
      <c r="BA72" s="12" t="s">
        <v>47</v>
      </c>
      <c r="BB72" s="12" t="s">
        <v>108</v>
      </c>
      <c r="BC72" s="12" t="s">
        <v>48</v>
      </c>
      <c r="BD72" s="12" t="s">
        <v>5</v>
      </c>
      <c r="BE72" s="19" t="s">
        <v>14</v>
      </c>
      <c r="BF72" s="12" t="s">
        <v>3</v>
      </c>
      <c r="BG72" s="12" t="s">
        <v>47</v>
      </c>
      <c r="BH72" s="12" t="s">
        <v>4</v>
      </c>
      <c r="BI72" s="12" t="s">
        <v>48</v>
      </c>
      <c r="BJ72" s="12" t="s">
        <v>5</v>
      </c>
      <c r="BK72" s="19" t="s">
        <v>15</v>
      </c>
      <c r="BL72" s="12" t="s">
        <v>3</v>
      </c>
      <c r="BM72" s="12" t="s">
        <v>47</v>
      </c>
      <c r="BN72" s="12" t="s">
        <v>4</v>
      </c>
      <c r="BO72" s="12" t="s">
        <v>5</v>
      </c>
      <c r="BP72" s="19" t="s">
        <v>16</v>
      </c>
      <c r="BQ72" s="12" t="s">
        <v>3</v>
      </c>
      <c r="BR72" s="12" t="s">
        <v>4</v>
      </c>
      <c r="BS72" s="12" t="s">
        <v>5</v>
      </c>
      <c r="BT72" s="19" t="s">
        <v>17</v>
      </c>
      <c r="BU72" s="12" t="s">
        <v>18</v>
      </c>
      <c r="BV72" s="12" t="s">
        <v>4</v>
      </c>
      <c r="BW72" s="12" t="s">
        <v>5</v>
      </c>
      <c r="BX72" s="19" t="s">
        <v>19</v>
      </c>
      <c r="BY72" s="5" t="s">
        <v>20</v>
      </c>
    </row>
    <row r="73" spans="1:77" s="15" customFormat="1" ht="24" customHeight="1" x14ac:dyDescent="0.25">
      <c r="A73" s="13" t="s">
        <v>7</v>
      </c>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20"/>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4"/>
    </row>
    <row r="74" spans="1:77" ht="24" customHeight="1" x14ac:dyDescent="0.25">
      <c r="C74" s="3" t="s">
        <v>38</v>
      </c>
      <c r="D74" s="3" t="s">
        <v>42</v>
      </c>
      <c r="E74" s="3"/>
      <c r="F74" s="3"/>
      <c r="G74" s="3"/>
      <c r="H74" s="3"/>
      <c r="I74" s="3"/>
      <c r="J74" s="3"/>
      <c r="K74" s="3"/>
      <c r="L74" s="3"/>
      <c r="M74" s="3">
        <v>331</v>
      </c>
      <c r="N74" s="3">
        <v>117</v>
      </c>
      <c r="O74" s="3">
        <v>1</v>
      </c>
      <c r="P74" s="3">
        <v>1</v>
      </c>
      <c r="Q74" s="3">
        <v>15</v>
      </c>
      <c r="R74" s="3"/>
      <c r="S74" s="3"/>
      <c r="T74" s="3"/>
      <c r="U74" s="3"/>
      <c r="V74" s="3"/>
      <c r="W74" s="3"/>
      <c r="X74" s="3"/>
      <c r="Y74" s="3"/>
      <c r="Z74" s="3"/>
      <c r="AA74" s="3"/>
      <c r="AB74" s="3"/>
      <c r="AC74" s="3"/>
      <c r="AD74" s="3"/>
      <c r="AE74" s="3"/>
      <c r="AF74" s="3"/>
      <c r="AG74" s="3"/>
      <c r="AH74" s="3"/>
      <c r="AI74" s="3"/>
      <c r="AJ74" s="5"/>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f>SUM(E74:BW74)</f>
        <v>465</v>
      </c>
      <c r="BY74" s="6" t="s">
        <v>213</v>
      </c>
    </row>
    <row r="75" spans="1:77" ht="24" customHeight="1" x14ac:dyDescent="0.25">
      <c r="C75" s="3"/>
      <c r="D75" s="3" t="s">
        <v>120</v>
      </c>
      <c r="E75" s="3"/>
      <c r="F75" s="3"/>
      <c r="G75" s="3"/>
      <c r="H75" s="3"/>
      <c r="I75" s="3"/>
      <c r="J75" s="3"/>
      <c r="K75" s="3"/>
      <c r="L75" s="3"/>
      <c r="M75" s="3">
        <v>1</v>
      </c>
      <c r="N75" s="3"/>
      <c r="O75" s="3"/>
      <c r="P75" s="3"/>
      <c r="Q75" s="3"/>
      <c r="R75" s="3"/>
      <c r="S75" s="3"/>
      <c r="T75" s="3"/>
      <c r="U75" s="3"/>
      <c r="V75" s="3"/>
      <c r="W75" s="3"/>
      <c r="X75" s="3"/>
      <c r="Y75" s="3"/>
      <c r="Z75" s="3"/>
      <c r="AA75" s="3"/>
      <c r="AB75" s="3"/>
      <c r="AC75" s="3"/>
      <c r="AD75" s="3"/>
      <c r="AE75" s="3"/>
      <c r="AF75" s="3"/>
      <c r="AG75" s="3"/>
      <c r="AH75" s="3"/>
      <c r="AI75" s="3"/>
      <c r="AJ75" s="5"/>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f t="shared" ref="BX75:BX78" si="2">SUM(E75:BW75)</f>
        <v>1</v>
      </c>
      <c r="BY75" s="6"/>
    </row>
    <row r="76" spans="1:77" ht="24" customHeight="1" x14ac:dyDescent="0.25">
      <c r="C76" s="3"/>
      <c r="D76" s="3" t="s">
        <v>121</v>
      </c>
      <c r="E76" s="3"/>
      <c r="F76" s="3"/>
      <c r="G76" s="3"/>
      <c r="H76" s="3"/>
      <c r="I76" s="3"/>
      <c r="J76" s="3"/>
      <c r="K76" s="3"/>
      <c r="L76" s="3"/>
      <c r="M76" s="3">
        <v>1</v>
      </c>
      <c r="N76" s="3"/>
      <c r="O76" s="3"/>
      <c r="P76" s="3"/>
      <c r="Q76" s="3"/>
      <c r="R76" s="3"/>
      <c r="S76" s="3"/>
      <c r="T76" s="3"/>
      <c r="U76" s="3"/>
      <c r="V76" s="3"/>
      <c r="W76" s="3"/>
      <c r="X76" s="3"/>
      <c r="Y76" s="3"/>
      <c r="Z76" s="3"/>
      <c r="AA76" s="3"/>
      <c r="AB76" s="3"/>
      <c r="AC76" s="3"/>
      <c r="AD76" s="3"/>
      <c r="AE76" s="3"/>
      <c r="AF76" s="3"/>
      <c r="AG76" s="3"/>
      <c r="AH76" s="3"/>
      <c r="AI76" s="3"/>
      <c r="AJ76" s="5"/>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f t="shared" si="2"/>
        <v>1</v>
      </c>
      <c r="BY76" s="6"/>
    </row>
    <row r="77" spans="1:77" ht="24" customHeight="1" x14ac:dyDescent="0.25">
      <c r="C77" s="3"/>
      <c r="D77" s="3" t="s">
        <v>122</v>
      </c>
      <c r="E77" s="3"/>
      <c r="F77" s="3"/>
      <c r="G77" s="3"/>
      <c r="H77" s="3"/>
      <c r="I77" s="3"/>
      <c r="J77" s="3"/>
      <c r="K77" s="3"/>
      <c r="L77" s="3"/>
      <c r="M77" s="3">
        <v>1</v>
      </c>
      <c r="N77" s="3"/>
      <c r="O77" s="3"/>
      <c r="P77" s="3"/>
      <c r="Q77" s="3"/>
      <c r="R77" s="3"/>
      <c r="S77" s="3"/>
      <c r="T77" s="3"/>
      <c r="U77" s="3"/>
      <c r="V77" s="3"/>
      <c r="W77" s="3"/>
      <c r="X77" s="3"/>
      <c r="Y77" s="3"/>
      <c r="Z77" s="3"/>
      <c r="AA77" s="3"/>
      <c r="AB77" s="3"/>
      <c r="AC77" s="3"/>
      <c r="AD77" s="3"/>
      <c r="AE77" s="3"/>
      <c r="AF77" s="3"/>
      <c r="AG77" s="3"/>
      <c r="AH77" s="3"/>
      <c r="AI77" s="3"/>
      <c r="AJ77" s="5"/>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f t="shared" si="2"/>
        <v>1</v>
      </c>
      <c r="BY77" s="6"/>
    </row>
    <row r="78" spans="1:77" ht="24" customHeight="1" x14ac:dyDescent="0.25">
      <c r="C78" s="3"/>
      <c r="D78" s="3" t="s">
        <v>146</v>
      </c>
      <c r="E78" s="3"/>
      <c r="F78" s="3"/>
      <c r="G78" s="3"/>
      <c r="H78" s="3"/>
      <c r="I78" s="3"/>
      <c r="J78" s="3"/>
      <c r="K78" s="3"/>
      <c r="L78" s="3"/>
      <c r="M78" s="3"/>
      <c r="N78" s="3">
        <v>1</v>
      </c>
      <c r="O78" s="3"/>
      <c r="P78" s="3"/>
      <c r="Q78" s="3"/>
      <c r="R78" s="3"/>
      <c r="S78" s="3"/>
      <c r="T78" s="3"/>
      <c r="U78" s="3"/>
      <c r="V78" s="3"/>
      <c r="W78" s="3"/>
      <c r="X78" s="3"/>
      <c r="Y78" s="3"/>
      <c r="Z78" s="3"/>
      <c r="AA78" s="3"/>
      <c r="AB78" s="3"/>
      <c r="AC78" s="3"/>
      <c r="AD78" s="3"/>
      <c r="AE78" s="3"/>
      <c r="AF78" s="3"/>
      <c r="AG78" s="3"/>
      <c r="AH78" s="3"/>
      <c r="AI78" s="3"/>
      <c r="AJ78" s="5"/>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f t="shared" si="2"/>
        <v>1</v>
      </c>
      <c r="BY78" s="6"/>
    </row>
    <row r="79" spans="1:77" ht="24" customHeight="1" x14ac:dyDescent="0.25">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5"/>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6"/>
    </row>
    <row r="80" spans="1:77" ht="24" customHeight="1" x14ac:dyDescent="0.25">
      <c r="C80" s="3" t="s">
        <v>39</v>
      </c>
      <c r="D80" s="3" t="s">
        <v>43</v>
      </c>
      <c r="E80" s="3"/>
      <c r="F80" s="3"/>
      <c r="G80" s="3"/>
      <c r="H80" s="3"/>
      <c r="I80" s="3"/>
      <c r="J80" s="3"/>
      <c r="K80" s="3"/>
      <c r="L80" s="3"/>
      <c r="M80" s="3">
        <v>322</v>
      </c>
      <c r="N80" s="3">
        <v>111</v>
      </c>
      <c r="O80" s="3">
        <v>1</v>
      </c>
      <c r="P80" s="3">
        <v>1</v>
      </c>
      <c r="Q80" s="3">
        <v>15</v>
      </c>
      <c r="R80" s="3"/>
      <c r="S80" s="3"/>
      <c r="T80" s="3"/>
      <c r="U80" s="3"/>
      <c r="V80" s="3"/>
      <c r="W80" s="3"/>
      <c r="X80" s="3"/>
      <c r="Y80" s="3"/>
      <c r="Z80" s="3"/>
      <c r="AA80" s="3"/>
      <c r="AB80" s="3"/>
      <c r="AC80" s="3"/>
      <c r="AD80" s="3"/>
      <c r="AE80" s="3"/>
      <c r="AF80" s="3"/>
      <c r="AG80" s="3"/>
      <c r="AH80" s="3"/>
      <c r="AI80" s="3"/>
      <c r="AJ80" s="5"/>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f>SUM(E80:BW80)</f>
        <v>450</v>
      </c>
      <c r="BY80" s="6" t="s">
        <v>213</v>
      </c>
    </row>
    <row r="81" spans="1:77" ht="24" customHeight="1" x14ac:dyDescent="0.25">
      <c r="C81" s="3"/>
      <c r="D81" s="3" t="s">
        <v>120</v>
      </c>
      <c r="E81" s="3"/>
      <c r="F81" s="3"/>
      <c r="G81" s="3"/>
      <c r="H81" s="3"/>
      <c r="I81" s="3"/>
      <c r="J81" s="3"/>
      <c r="K81" s="3"/>
      <c r="L81" s="3"/>
      <c r="M81" s="3">
        <v>1</v>
      </c>
      <c r="N81" s="3"/>
      <c r="O81" s="3"/>
      <c r="P81" s="3"/>
      <c r="Q81" s="3"/>
      <c r="R81" s="3"/>
      <c r="S81" s="3"/>
      <c r="T81" s="3"/>
      <c r="U81" s="3"/>
      <c r="V81" s="3"/>
      <c r="W81" s="3"/>
      <c r="X81" s="3"/>
      <c r="Y81" s="3"/>
      <c r="Z81" s="3"/>
      <c r="AA81" s="3"/>
      <c r="AB81" s="3"/>
      <c r="AC81" s="3"/>
      <c r="AD81" s="3"/>
      <c r="AE81" s="3"/>
      <c r="AF81" s="3"/>
      <c r="AG81" s="3"/>
      <c r="AH81" s="3"/>
      <c r="AI81" s="3"/>
      <c r="AJ81" s="5"/>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f t="shared" ref="BX81:BX85" si="3">SUM(E81:BW81)</f>
        <v>1</v>
      </c>
      <c r="BY81" s="6"/>
    </row>
    <row r="82" spans="1:77" ht="24" customHeight="1" x14ac:dyDescent="0.25">
      <c r="C82" s="3"/>
      <c r="D82" s="3" t="s">
        <v>123</v>
      </c>
      <c r="E82" s="3"/>
      <c r="F82" s="3"/>
      <c r="G82" s="3"/>
      <c r="H82" s="3"/>
      <c r="I82" s="3"/>
      <c r="J82" s="3"/>
      <c r="K82" s="3"/>
      <c r="L82" s="3"/>
      <c r="M82" s="3">
        <v>1</v>
      </c>
      <c r="N82" s="3"/>
      <c r="O82" s="3"/>
      <c r="P82" s="3"/>
      <c r="Q82" s="3"/>
      <c r="R82" s="3"/>
      <c r="S82" s="3"/>
      <c r="T82" s="3"/>
      <c r="U82" s="3"/>
      <c r="V82" s="3"/>
      <c r="W82" s="3"/>
      <c r="X82" s="3"/>
      <c r="Y82" s="3"/>
      <c r="Z82" s="3"/>
      <c r="AA82" s="3"/>
      <c r="AB82" s="3"/>
      <c r="AC82" s="3"/>
      <c r="AD82" s="3"/>
      <c r="AE82" s="3"/>
      <c r="AF82" s="3"/>
      <c r="AG82" s="3"/>
      <c r="AH82" s="3"/>
      <c r="AI82" s="3"/>
      <c r="AJ82" s="5"/>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f t="shared" si="3"/>
        <v>1</v>
      </c>
      <c r="BY82" s="6"/>
    </row>
    <row r="83" spans="1:77" ht="24" customHeight="1" x14ac:dyDescent="0.25">
      <c r="C83" s="3"/>
      <c r="D83" s="3" t="s">
        <v>124</v>
      </c>
      <c r="E83" s="3"/>
      <c r="F83" s="3"/>
      <c r="G83" s="3"/>
      <c r="H83" s="3"/>
      <c r="I83" s="3"/>
      <c r="J83" s="3"/>
      <c r="K83" s="3"/>
      <c r="L83" s="3"/>
      <c r="M83" s="3">
        <v>1</v>
      </c>
      <c r="N83" s="3"/>
      <c r="O83" s="3"/>
      <c r="P83" s="3"/>
      <c r="Q83" s="3"/>
      <c r="R83" s="3"/>
      <c r="S83" s="3"/>
      <c r="T83" s="3"/>
      <c r="U83" s="3"/>
      <c r="V83" s="3"/>
      <c r="W83" s="3"/>
      <c r="X83" s="3"/>
      <c r="Y83" s="3"/>
      <c r="Z83" s="3"/>
      <c r="AA83" s="3"/>
      <c r="AB83" s="3"/>
      <c r="AC83" s="3"/>
      <c r="AD83" s="3"/>
      <c r="AE83" s="3"/>
      <c r="AF83" s="3"/>
      <c r="AG83" s="3"/>
      <c r="AH83" s="3"/>
      <c r="AI83" s="3"/>
      <c r="AJ83" s="5"/>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f t="shared" si="3"/>
        <v>1</v>
      </c>
      <c r="BY83" s="6"/>
    </row>
    <row r="84" spans="1:77" ht="24" customHeight="1" x14ac:dyDescent="0.25">
      <c r="C84" s="3"/>
      <c r="D84" s="3" t="s">
        <v>122</v>
      </c>
      <c r="E84" s="3"/>
      <c r="F84" s="3"/>
      <c r="G84" s="3"/>
      <c r="H84" s="3"/>
      <c r="I84" s="3"/>
      <c r="J84" s="3"/>
      <c r="K84" s="3"/>
      <c r="L84" s="3"/>
      <c r="M84" s="3">
        <v>1</v>
      </c>
      <c r="N84" s="3"/>
      <c r="O84" s="3"/>
      <c r="P84" s="3"/>
      <c r="Q84" s="3"/>
      <c r="R84" s="3"/>
      <c r="S84" s="3"/>
      <c r="T84" s="3"/>
      <c r="U84" s="3"/>
      <c r="V84" s="3"/>
      <c r="W84" s="3"/>
      <c r="X84" s="3"/>
      <c r="Y84" s="3"/>
      <c r="Z84" s="3"/>
      <c r="AA84" s="3"/>
      <c r="AB84" s="3"/>
      <c r="AC84" s="3"/>
      <c r="AD84" s="3"/>
      <c r="AE84" s="3"/>
      <c r="AF84" s="3"/>
      <c r="AG84" s="3"/>
      <c r="AH84" s="3"/>
      <c r="AI84" s="3"/>
      <c r="AJ84" s="5"/>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f t="shared" si="3"/>
        <v>1</v>
      </c>
      <c r="BY84" s="6"/>
    </row>
    <row r="85" spans="1:77" ht="24" customHeight="1" x14ac:dyDescent="0.25">
      <c r="C85" s="3"/>
      <c r="D85" s="3" t="s">
        <v>172</v>
      </c>
      <c r="E85" s="3"/>
      <c r="F85" s="3"/>
      <c r="G85" s="3"/>
      <c r="H85" s="3"/>
      <c r="I85" s="3"/>
      <c r="J85" s="3"/>
      <c r="K85" s="3"/>
      <c r="L85" s="3"/>
      <c r="M85" s="3"/>
      <c r="N85" s="3">
        <v>1</v>
      </c>
      <c r="O85" s="3"/>
      <c r="P85" s="3"/>
      <c r="Q85" s="3"/>
      <c r="R85" s="3"/>
      <c r="S85" s="3"/>
      <c r="T85" s="3"/>
      <c r="U85" s="3"/>
      <c r="V85" s="3"/>
      <c r="W85" s="3"/>
      <c r="X85" s="3"/>
      <c r="Y85" s="3"/>
      <c r="Z85" s="3"/>
      <c r="AA85" s="3"/>
      <c r="AB85" s="3"/>
      <c r="AC85" s="3"/>
      <c r="AD85" s="3"/>
      <c r="AE85" s="3"/>
      <c r="AF85" s="3"/>
      <c r="AG85" s="3"/>
      <c r="AH85" s="3"/>
      <c r="AI85" s="3"/>
      <c r="AJ85" s="5"/>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f t="shared" si="3"/>
        <v>1</v>
      </c>
      <c r="BY85" s="6"/>
    </row>
    <row r="86" spans="1:77" ht="24" customHeight="1" x14ac:dyDescent="0.25">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5"/>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6"/>
    </row>
    <row r="87" spans="1:77" s="15" customFormat="1" ht="24" customHeight="1" x14ac:dyDescent="0.25">
      <c r="A87" s="13" t="s">
        <v>22</v>
      </c>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20"/>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4"/>
    </row>
    <row r="88" spans="1:77" ht="24" customHeight="1" x14ac:dyDescent="0.25">
      <c r="C88" s="3" t="s">
        <v>38</v>
      </c>
      <c r="D88" s="3" t="s">
        <v>62</v>
      </c>
      <c r="E88" s="3"/>
      <c r="F88" s="3"/>
      <c r="G88" s="3"/>
      <c r="H88" s="3"/>
      <c r="I88" s="3"/>
      <c r="J88" s="3"/>
      <c r="K88" s="3"/>
      <c r="L88" s="3"/>
      <c r="M88" s="3"/>
      <c r="N88" s="3"/>
      <c r="O88" s="3"/>
      <c r="P88" s="3"/>
      <c r="Q88" s="3"/>
      <c r="R88" s="3">
        <v>280</v>
      </c>
      <c r="S88" s="3">
        <v>77</v>
      </c>
      <c r="T88" s="3"/>
      <c r="U88" s="3"/>
      <c r="V88" s="3">
        <v>3</v>
      </c>
      <c r="W88" s="3">
        <v>16</v>
      </c>
      <c r="X88" s="3">
        <v>189</v>
      </c>
      <c r="Y88" s="3">
        <v>42</v>
      </c>
      <c r="Z88" s="3"/>
      <c r="AA88" s="3">
        <v>2</v>
      </c>
      <c r="AB88" s="3"/>
      <c r="AC88" s="3">
        <v>4</v>
      </c>
      <c r="AD88" s="3">
        <v>353</v>
      </c>
      <c r="AE88" s="3">
        <v>182</v>
      </c>
      <c r="AF88" s="3"/>
      <c r="AG88" s="3">
        <v>1</v>
      </c>
      <c r="AH88" s="3">
        <v>1</v>
      </c>
      <c r="AI88" s="3">
        <v>7</v>
      </c>
      <c r="AJ88" s="5"/>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f>SUM(E88:BW88)</f>
        <v>1157</v>
      </c>
      <c r="BY88" s="6" t="s">
        <v>213</v>
      </c>
    </row>
    <row r="89" spans="1:77" ht="24" customHeight="1" x14ac:dyDescent="0.25">
      <c r="C89" s="3"/>
      <c r="D89" s="3" t="s">
        <v>126</v>
      </c>
      <c r="E89" s="3"/>
      <c r="F89" s="3"/>
      <c r="G89" s="3"/>
      <c r="H89" s="3"/>
      <c r="I89" s="3"/>
      <c r="J89" s="3"/>
      <c r="K89" s="3"/>
      <c r="L89" s="3"/>
      <c r="M89" s="3"/>
      <c r="N89" s="3"/>
      <c r="O89" s="3"/>
      <c r="P89" s="3"/>
      <c r="Q89" s="3"/>
      <c r="R89" s="3"/>
      <c r="S89" s="3"/>
      <c r="T89" s="3"/>
      <c r="U89" s="3"/>
      <c r="V89" s="3"/>
      <c r="W89" s="3"/>
      <c r="X89" s="3">
        <v>1</v>
      </c>
      <c r="Y89" s="3"/>
      <c r="Z89" s="3"/>
      <c r="AA89" s="3"/>
      <c r="AB89" s="3"/>
      <c r="AC89" s="3"/>
      <c r="AD89" s="3"/>
      <c r="AE89" s="3"/>
      <c r="AF89" s="3"/>
      <c r="AG89" s="3"/>
      <c r="AH89" s="3"/>
      <c r="AI89" s="3"/>
      <c r="AJ89" s="5"/>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f t="shared" ref="BX89:BX100" si="4">SUM(E89:BW89)</f>
        <v>1</v>
      </c>
      <c r="BY89" s="6"/>
    </row>
    <row r="90" spans="1:77" ht="24" customHeight="1" x14ac:dyDescent="0.25">
      <c r="C90" s="3"/>
      <c r="D90" s="3" t="s">
        <v>127</v>
      </c>
      <c r="E90" s="3"/>
      <c r="F90" s="3"/>
      <c r="G90" s="3"/>
      <c r="H90" s="3"/>
      <c r="I90" s="3"/>
      <c r="J90" s="3"/>
      <c r="K90" s="3"/>
      <c r="L90" s="3"/>
      <c r="M90" s="3"/>
      <c r="N90" s="3"/>
      <c r="O90" s="3"/>
      <c r="P90" s="3"/>
      <c r="Q90" s="3"/>
      <c r="R90" s="3"/>
      <c r="S90" s="3"/>
      <c r="T90" s="3"/>
      <c r="U90" s="3"/>
      <c r="V90" s="3"/>
      <c r="W90" s="3"/>
      <c r="X90" s="3">
        <v>1</v>
      </c>
      <c r="Y90" s="3"/>
      <c r="Z90" s="3"/>
      <c r="AA90" s="3"/>
      <c r="AB90" s="3"/>
      <c r="AC90" s="3"/>
      <c r="AD90" s="3"/>
      <c r="AE90" s="3"/>
      <c r="AF90" s="3"/>
      <c r="AG90" s="3"/>
      <c r="AH90" s="3"/>
      <c r="AI90" s="3"/>
      <c r="AJ90" s="5"/>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f t="shared" si="4"/>
        <v>1</v>
      </c>
      <c r="BY90" s="6"/>
    </row>
    <row r="91" spans="1:77" ht="24" customHeight="1" x14ac:dyDescent="0.25">
      <c r="C91" s="3"/>
      <c r="D91" s="3" t="s">
        <v>128</v>
      </c>
      <c r="E91" s="3"/>
      <c r="F91" s="3"/>
      <c r="G91" s="3"/>
      <c r="H91" s="3"/>
      <c r="I91" s="3"/>
      <c r="J91" s="3"/>
      <c r="K91" s="3"/>
      <c r="L91" s="3"/>
      <c r="M91" s="3"/>
      <c r="N91" s="3"/>
      <c r="O91" s="3"/>
      <c r="P91" s="3"/>
      <c r="Q91" s="3"/>
      <c r="R91" s="3"/>
      <c r="S91" s="3"/>
      <c r="T91" s="3"/>
      <c r="U91" s="3"/>
      <c r="V91" s="3"/>
      <c r="W91" s="3"/>
      <c r="X91" s="3">
        <v>1</v>
      </c>
      <c r="Y91" s="3"/>
      <c r="Z91" s="3"/>
      <c r="AA91" s="3"/>
      <c r="AB91" s="3"/>
      <c r="AC91" s="3"/>
      <c r="AD91" s="3"/>
      <c r="AE91" s="3"/>
      <c r="AF91" s="3"/>
      <c r="AG91" s="3"/>
      <c r="AH91" s="3"/>
      <c r="AI91" s="3"/>
      <c r="AJ91" s="5"/>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f t="shared" si="4"/>
        <v>1</v>
      </c>
      <c r="BY91" s="6"/>
    </row>
    <row r="92" spans="1:77" ht="24" customHeight="1" x14ac:dyDescent="0.25">
      <c r="C92" s="3"/>
      <c r="D92" s="3" t="s">
        <v>129</v>
      </c>
      <c r="E92" s="3"/>
      <c r="F92" s="3"/>
      <c r="G92" s="3"/>
      <c r="H92" s="3"/>
      <c r="I92" s="3"/>
      <c r="J92" s="3"/>
      <c r="K92" s="3"/>
      <c r="L92" s="3"/>
      <c r="M92" s="3"/>
      <c r="N92" s="3"/>
      <c r="O92" s="3"/>
      <c r="P92" s="3"/>
      <c r="Q92" s="3"/>
      <c r="R92" s="3"/>
      <c r="S92" s="3"/>
      <c r="T92" s="3"/>
      <c r="U92" s="3"/>
      <c r="V92" s="3"/>
      <c r="W92" s="3"/>
      <c r="X92" s="3">
        <v>1</v>
      </c>
      <c r="Y92" s="3"/>
      <c r="Z92" s="3"/>
      <c r="AA92" s="3"/>
      <c r="AB92" s="3"/>
      <c r="AC92" s="3"/>
      <c r="AD92" s="3"/>
      <c r="AE92" s="3"/>
      <c r="AF92" s="3"/>
      <c r="AG92" s="3"/>
      <c r="AH92" s="3"/>
      <c r="AI92" s="3"/>
      <c r="AJ92" s="5"/>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f t="shared" si="4"/>
        <v>1</v>
      </c>
      <c r="BY92" s="6"/>
    </row>
    <row r="93" spans="1:77" ht="24" customHeight="1" x14ac:dyDescent="0.25">
      <c r="C93" s="3"/>
      <c r="D93" s="3" t="s">
        <v>130</v>
      </c>
      <c r="E93" s="3"/>
      <c r="F93" s="3"/>
      <c r="G93" s="3"/>
      <c r="H93" s="3"/>
      <c r="I93" s="3"/>
      <c r="J93" s="3"/>
      <c r="K93" s="3"/>
      <c r="L93" s="3"/>
      <c r="M93" s="3"/>
      <c r="N93" s="3"/>
      <c r="O93" s="3"/>
      <c r="P93" s="3"/>
      <c r="Q93" s="3"/>
      <c r="R93" s="3"/>
      <c r="S93" s="3"/>
      <c r="T93" s="3"/>
      <c r="U93" s="3"/>
      <c r="V93" s="3"/>
      <c r="W93" s="3"/>
      <c r="X93" s="3">
        <v>1</v>
      </c>
      <c r="Y93" s="3"/>
      <c r="Z93" s="3"/>
      <c r="AA93" s="3"/>
      <c r="AB93" s="3"/>
      <c r="AC93" s="3"/>
      <c r="AD93" s="3"/>
      <c r="AE93" s="3"/>
      <c r="AF93" s="3"/>
      <c r="AG93" s="3"/>
      <c r="AH93" s="3"/>
      <c r="AI93" s="3"/>
      <c r="AJ93" s="5"/>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f t="shared" si="4"/>
        <v>1</v>
      </c>
      <c r="BY93" s="6"/>
    </row>
    <row r="94" spans="1:77" ht="24" customHeight="1" x14ac:dyDescent="0.25">
      <c r="C94" s="3"/>
      <c r="D94" s="3" t="s">
        <v>131</v>
      </c>
      <c r="E94" s="3"/>
      <c r="F94" s="3"/>
      <c r="G94" s="3"/>
      <c r="H94" s="3"/>
      <c r="I94" s="3"/>
      <c r="J94" s="3"/>
      <c r="K94" s="3"/>
      <c r="L94" s="3"/>
      <c r="M94" s="3"/>
      <c r="N94" s="3"/>
      <c r="O94" s="3"/>
      <c r="P94" s="3"/>
      <c r="Q94" s="3"/>
      <c r="R94" s="3"/>
      <c r="S94" s="3"/>
      <c r="T94" s="3"/>
      <c r="U94" s="3"/>
      <c r="V94" s="3"/>
      <c r="W94" s="3"/>
      <c r="X94" s="3">
        <v>1</v>
      </c>
      <c r="Y94" s="3"/>
      <c r="Z94" s="3"/>
      <c r="AA94" s="3"/>
      <c r="AB94" s="3"/>
      <c r="AC94" s="3"/>
      <c r="AD94" s="3"/>
      <c r="AE94" s="3"/>
      <c r="AF94" s="3"/>
      <c r="AG94" s="3"/>
      <c r="AH94" s="3"/>
      <c r="AI94" s="3"/>
      <c r="AJ94" s="5"/>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f t="shared" si="4"/>
        <v>1</v>
      </c>
      <c r="BY94" s="6"/>
    </row>
    <row r="95" spans="1:77" ht="24" customHeight="1" x14ac:dyDescent="0.25">
      <c r="C95" s="3"/>
      <c r="D95" s="3" t="s">
        <v>134</v>
      </c>
      <c r="E95" s="3"/>
      <c r="F95" s="3"/>
      <c r="G95" s="3"/>
      <c r="H95" s="3"/>
      <c r="I95" s="3"/>
      <c r="J95" s="3"/>
      <c r="K95" s="3"/>
      <c r="L95" s="3"/>
      <c r="M95" s="3"/>
      <c r="N95" s="3"/>
      <c r="O95" s="3"/>
      <c r="P95" s="3"/>
      <c r="Q95" s="3"/>
      <c r="R95" s="3"/>
      <c r="S95" s="3"/>
      <c r="T95" s="3"/>
      <c r="U95" s="3"/>
      <c r="V95" s="3"/>
      <c r="W95" s="3"/>
      <c r="X95" s="3"/>
      <c r="Y95" s="3"/>
      <c r="Z95" s="3"/>
      <c r="AA95" s="3"/>
      <c r="AB95" s="3"/>
      <c r="AC95" s="3"/>
      <c r="AD95" s="3">
        <v>1</v>
      </c>
      <c r="AE95" s="3"/>
      <c r="AF95" s="3"/>
      <c r="AG95" s="3"/>
      <c r="AH95" s="3"/>
      <c r="AI95" s="3"/>
      <c r="AJ95" s="5"/>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f t="shared" si="4"/>
        <v>1</v>
      </c>
      <c r="BY95" s="6"/>
    </row>
    <row r="96" spans="1:77" ht="24" customHeight="1" x14ac:dyDescent="0.25">
      <c r="C96" s="3"/>
      <c r="D96" s="3" t="s">
        <v>147</v>
      </c>
      <c r="E96" s="3"/>
      <c r="F96" s="3"/>
      <c r="G96" s="3"/>
      <c r="H96" s="3"/>
      <c r="I96" s="3"/>
      <c r="J96" s="3"/>
      <c r="K96" s="3"/>
      <c r="L96" s="3"/>
      <c r="M96" s="3"/>
      <c r="N96" s="3"/>
      <c r="O96" s="3"/>
      <c r="P96" s="3"/>
      <c r="Q96" s="3"/>
      <c r="R96" s="3"/>
      <c r="S96" s="3"/>
      <c r="T96" s="3"/>
      <c r="U96" s="3"/>
      <c r="V96" s="3"/>
      <c r="W96" s="3"/>
      <c r="X96" s="3"/>
      <c r="Y96" s="3">
        <v>1</v>
      </c>
      <c r="Z96" s="3"/>
      <c r="AA96" s="3"/>
      <c r="AB96" s="3"/>
      <c r="AC96" s="3"/>
      <c r="AD96" s="3"/>
      <c r="AE96" s="3"/>
      <c r="AF96" s="3"/>
      <c r="AG96" s="3"/>
      <c r="AH96" s="3"/>
      <c r="AI96" s="3"/>
      <c r="AJ96" s="5"/>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f t="shared" si="4"/>
        <v>1</v>
      </c>
      <c r="BY96" s="6"/>
    </row>
    <row r="97" spans="1:77" ht="24" customHeight="1" x14ac:dyDescent="0.25">
      <c r="C97" s="3"/>
      <c r="D97" s="3" t="s">
        <v>148</v>
      </c>
      <c r="E97" s="3"/>
      <c r="F97" s="3"/>
      <c r="G97" s="3"/>
      <c r="H97" s="3"/>
      <c r="I97" s="3"/>
      <c r="J97" s="3"/>
      <c r="K97" s="3"/>
      <c r="L97" s="3"/>
      <c r="M97" s="3"/>
      <c r="N97" s="3"/>
      <c r="O97" s="3"/>
      <c r="P97" s="3"/>
      <c r="Q97" s="3"/>
      <c r="R97" s="3"/>
      <c r="S97" s="3"/>
      <c r="T97" s="3"/>
      <c r="U97" s="3"/>
      <c r="V97" s="3"/>
      <c r="W97" s="3"/>
      <c r="X97" s="3"/>
      <c r="Y97" s="3">
        <v>1</v>
      </c>
      <c r="Z97" s="3"/>
      <c r="AA97" s="3"/>
      <c r="AB97" s="3"/>
      <c r="AC97" s="3"/>
      <c r="AD97" s="3"/>
      <c r="AE97" s="3"/>
      <c r="AF97" s="3"/>
      <c r="AG97" s="3"/>
      <c r="AH97" s="3"/>
      <c r="AI97" s="3"/>
      <c r="AJ97" s="5"/>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f t="shared" si="4"/>
        <v>1</v>
      </c>
      <c r="BY97" s="6"/>
    </row>
    <row r="98" spans="1:77" ht="24" customHeight="1" x14ac:dyDescent="0.25">
      <c r="C98" s="3"/>
      <c r="D98" s="3" t="s">
        <v>149</v>
      </c>
      <c r="E98" s="3"/>
      <c r="F98" s="3"/>
      <c r="G98" s="3"/>
      <c r="H98" s="3"/>
      <c r="I98" s="3"/>
      <c r="J98" s="3"/>
      <c r="K98" s="3"/>
      <c r="L98" s="3"/>
      <c r="M98" s="3"/>
      <c r="N98" s="3"/>
      <c r="O98" s="3"/>
      <c r="P98" s="3"/>
      <c r="Q98" s="3"/>
      <c r="R98" s="3"/>
      <c r="S98" s="3"/>
      <c r="T98" s="3"/>
      <c r="U98" s="3"/>
      <c r="V98" s="3"/>
      <c r="W98" s="3"/>
      <c r="X98" s="3"/>
      <c r="Y98" s="3">
        <v>1</v>
      </c>
      <c r="Z98" s="3"/>
      <c r="AA98" s="3"/>
      <c r="AB98" s="3"/>
      <c r="AC98" s="3"/>
      <c r="AD98" s="3"/>
      <c r="AE98" s="3"/>
      <c r="AF98" s="3"/>
      <c r="AG98" s="3"/>
      <c r="AH98" s="3"/>
      <c r="AI98" s="3"/>
      <c r="AJ98" s="5"/>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f t="shared" si="4"/>
        <v>1</v>
      </c>
      <c r="BY98" s="6"/>
    </row>
    <row r="99" spans="1:77" ht="24" customHeight="1" x14ac:dyDescent="0.25">
      <c r="C99" s="3"/>
      <c r="D99" s="3" t="s">
        <v>150</v>
      </c>
      <c r="E99" s="3"/>
      <c r="F99" s="3"/>
      <c r="G99" s="3"/>
      <c r="H99" s="3"/>
      <c r="I99" s="3"/>
      <c r="J99" s="3"/>
      <c r="K99" s="3"/>
      <c r="L99" s="3"/>
      <c r="M99" s="3"/>
      <c r="N99" s="3"/>
      <c r="O99" s="3"/>
      <c r="P99" s="3"/>
      <c r="Q99" s="3"/>
      <c r="R99" s="3"/>
      <c r="S99" s="3"/>
      <c r="T99" s="3"/>
      <c r="U99" s="3"/>
      <c r="V99" s="3"/>
      <c r="W99" s="3"/>
      <c r="X99" s="3"/>
      <c r="Y99" s="3">
        <v>1</v>
      </c>
      <c r="Z99" s="3"/>
      <c r="AA99" s="3"/>
      <c r="AB99" s="3"/>
      <c r="AC99" s="3"/>
      <c r="AD99" s="3"/>
      <c r="AE99" s="3"/>
      <c r="AF99" s="3"/>
      <c r="AG99" s="3"/>
      <c r="AH99" s="3"/>
      <c r="AI99" s="3"/>
      <c r="AJ99" s="5"/>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f t="shared" si="4"/>
        <v>1</v>
      </c>
      <c r="BY99" s="6"/>
    </row>
    <row r="100" spans="1:77" ht="24" customHeight="1" x14ac:dyDescent="0.25">
      <c r="C100" s="3"/>
      <c r="D100" s="3" t="s">
        <v>151</v>
      </c>
      <c r="E100" s="3"/>
      <c r="F100" s="3"/>
      <c r="G100" s="3"/>
      <c r="H100" s="3"/>
      <c r="I100" s="3"/>
      <c r="J100" s="3"/>
      <c r="K100" s="3"/>
      <c r="L100" s="3"/>
      <c r="M100" s="3"/>
      <c r="N100" s="3"/>
      <c r="O100" s="3"/>
      <c r="P100" s="3"/>
      <c r="Q100" s="3"/>
      <c r="R100" s="3"/>
      <c r="S100" s="3"/>
      <c r="T100" s="3"/>
      <c r="U100" s="3"/>
      <c r="V100" s="3"/>
      <c r="W100" s="3"/>
      <c r="X100" s="3"/>
      <c r="Y100" s="3">
        <v>1</v>
      </c>
      <c r="Z100" s="3"/>
      <c r="AA100" s="3"/>
      <c r="AB100" s="3"/>
      <c r="AC100" s="3"/>
      <c r="AD100" s="3"/>
      <c r="AE100" s="3"/>
      <c r="AF100" s="3"/>
      <c r="AG100" s="3"/>
      <c r="AH100" s="3"/>
      <c r="AI100" s="3"/>
      <c r="AJ100" s="5"/>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f t="shared" si="4"/>
        <v>1</v>
      </c>
      <c r="BY100" s="6"/>
    </row>
    <row r="101" spans="1:77" ht="24" customHeight="1" x14ac:dyDescent="0.25">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5"/>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6"/>
    </row>
    <row r="102" spans="1:77" ht="24" customHeight="1" x14ac:dyDescent="0.25">
      <c r="C102" s="3" t="s">
        <v>39</v>
      </c>
      <c r="D102" s="3" t="s">
        <v>106</v>
      </c>
      <c r="E102" s="3"/>
      <c r="F102" s="3"/>
      <c r="G102" s="3"/>
      <c r="H102" s="3"/>
      <c r="I102" s="3"/>
      <c r="J102" s="3"/>
      <c r="K102" s="3"/>
      <c r="L102" s="3"/>
      <c r="M102" s="3"/>
      <c r="N102" s="3"/>
      <c r="O102" s="3"/>
      <c r="P102" s="3"/>
      <c r="Q102" s="3"/>
      <c r="R102" s="3">
        <v>284</v>
      </c>
      <c r="S102" s="3">
        <v>81</v>
      </c>
      <c r="T102" s="3"/>
      <c r="U102" s="3"/>
      <c r="V102" s="3">
        <v>3</v>
      </c>
      <c r="W102" s="3">
        <v>17</v>
      </c>
      <c r="X102" s="3">
        <v>194</v>
      </c>
      <c r="Y102" s="3">
        <v>45</v>
      </c>
      <c r="Z102" s="3"/>
      <c r="AA102" s="3">
        <v>2</v>
      </c>
      <c r="AB102" s="3"/>
      <c r="AC102" s="3">
        <v>3</v>
      </c>
      <c r="AD102" s="3">
        <v>348</v>
      </c>
      <c r="AE102" s="3">
        <v>177</v>
      </c>
      <c r="AF102" s="3"/>
      <c r="AG102" s="3">
        <v>1</v>
      </c>
      <c r="AH102" s="3">
        <v>1</v>
      </c>
      <c r="AI102" s="3">
        <v>7</v>
      </c>
      <c r="AJ102" s="5"/>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f>SUM(E102:BW102)</f>
        <v>1163</v>
      </c>
      <c r="BY102" s="6" t="s">
        <v>213</v>
      </c>
    </row>
    <row r="103" spans="1:77" ht="24" customHeight="1" x14ac:dyDescent="0.25">
      <c r="C103" s="3"/>
      <c r="D103" s="3" t="s">
        <v>134</v>
      </c>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v>1</v>
      </c>
      <c r="AE103" s="3"/>
      <c r="AF103" s="3"/>
      <c r="AG103" s="3"/>
      <c r="AH103" s="3"/>
      <c r="AI103" s="3"/>
      <c r="AJ103" s="5"/>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f t="shared" ref="BX103:BX105" si="5">SUM(E103:BW103)</f>
        <v>1</v>
      </c>
      <c r="BY103" s="6"/>
    </row>
    <row r="104" spans="1:77" ht="24" customHeight="1" x14ac:dyDescent="0.25">
      <c r="C104" s="3"/>
      <c r="D104" s="3" t="s">
        <v>173</v>
      </c>
      <c r="E104" s="3"/>
      <c r="F104" s="3"/>
      <c r="G104" s="3"/>
      <c r="H104" s="3"/>
      <c r="I104" s="3"/>
      <c r="J104" s="3"/>
      <c r="K104" s="3"/>
      <c r="L104" s="3"/>
      <c r="M104" s="3"/>
      <c r="N104" s="3"/>
      <c r="O104" s="3"/>
      <c r="P104" s="3"/>
      <c r="Q104" s="3"/>
      <c r="R104" s="3"/>
      <c r="S104" s="3">
        <v>1</v>
      </c>
      <c r="T104" s="3"/>
      <c r="U104" s="3"/>
      <c r="V104" s="3"/>
      <c r="W104" s="3"/>
      <c r="X104" s="3"/>
      <c r="Y104" s="3"/>
      <c r="Z104" s="3"/>
      <c r="AA104" s="3"/>
      <c r="AB104" s="3"/>
      <c r="AC104" s="3"/>
      <c r="AD104" s="3"/>
      <c r="AE104" s="3"/>
      <c r="AF104" s="3"/>
      <c r="AG104" s="3"/>
      <c r="AH104" s="3"/>
      <c r="AI104" s="3"/>
      <c r="AJ104" s="5"/>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f t="shared" si="5"/>
        <v>1</v>
      </c>
      <c r="BY104" s="6"/>
    </row>
    <row r="105" spans="1:77" ht="24" customHeight="1" x14ac:dyDescent="0.25">
      <c r="C105" s="3"/>
      <c r="D105" s="3" t="s">
        <v>132</v>
      </c>
      <c r="E105" s="3"/>
      <c r="F105" s="3"/>
      <c r="G105" s="3"/>
      <c r="H105" s="3"/>
      <c r="I105" s="3"/>
      <c r="J105" s="3"/>
      <c r="K105" s="3"/>
      <c r="L105" s="3"/>
      <c r="M105" s="3"/>
      <c r="N105" s="3"/>
      <c r="O105" s="3"/>
      <c r="P105" s="3"/>
      <c r="Q105" s="3"/>
      <c r="R105" s="3"/>
      <c r="S105" s="3"/>
      <c r="T105" s="3"/>
      <c r="U105" s="3"/>
      <c r="V105" s="3"/>
      <c r="W105" s="3">
        <v>1</v>
      </c>
      <c r="X105" s="3"/>
      <c r="Y105" s="3"/>
      <c r="Z105" s="3"/>
      <c r="AA105" s="3"/>
      <c r="AB105" s="3"/>
      <c r="AC105" s="3"/>
      <c r="AD105" s="3"/>
      <c r="AE105" s="3"/>
      <c r="AF105" s="3"/>
      <c r="AG105" s="3"/>
      <c r="AH105" s="3"/>
      <c r="AI105" s="3"/>
      <c r="AJ105" s="5"/>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f t="shared" si="5"/>
        <v>1</v>
      </c>
      <c r="BY105" s="6"/>
    </row>
    <row r="106" spans="1:77" s="15" customFormat="1" ht="24" customHeight="1" x14ac:dyDescent="0.25">
      <c r="A106" s="13" t="s">
        <v>10</v>
      </c>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20"/>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4"/>
    </row>
    <row r="107" spans="1:77" ht="24" customHeight="1" x14ac:dyDescent="0.25">
      <c r="C107" s="3" t="s">
        <v>38</v>
      </c>
      <c r="D107" s="3" t="s">
        <v>63</v>
      </c>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5">
        <v>284</v>
      </c>
      <c r="AK107" s="3">
        <v>368</v>
      </c>
      <c r="AL107" s="3"/>
      <c r="AM107" s="3"/>
      <c r="AN107" s="3">
        <v>9</v>
      </c>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f>SUM(E107:BW107)</f>
        <v>661</v>
      </c>
      <c r="BY107" s="11" t="s">
        <v>213</v>
      </c>
    </row>
    <row r="108" spans="1:77" ht="24" customHeight="1" x14ac:dyDescent="0.25">
      <c r="C108" s="3"/>
      <c r="D108" s="3" t="s">
        <v>152</v>
      </c>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5"/>
      <c r="AK108" s="3">
        <v>1</v>
      </c>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f>SUM(E108:BW108)</f>
        <v>1</v>
      </c>
      <c r="BY108" s="11"/>
    </row>
    <row r="109" spans="1:77" ht="24" customHeight="1" x14ac:dyDescent="0.25">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5"/>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6"/>
    </row>
    <row r="110" spans="1:77" ht="24" customHeight="1" x14ac:dyDescent="0.25">
      <c r="C110" s="3" t="s">
        <v>39</v>
      </c>
      <c r="D110" s="3" t="s">
        <v>44</v>
      </c>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5">
        <v>286</v>
      </c>
      <c r="AK110" s="3">
        <v>373</v>
      </c>
      <c r="AL110" s="3"/>
      <c r="AM110" s="3"/>
      <c r="AN110" s="3">
        <v>9</v>
      </c>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f>SUM(E110:BW110)</f>
        <v>668</v>
      </c>
      <c r="BY110" s="6" t="s">
        <v>213</v>
      </c>
    </row>
    <row r="111" spans="1:77" ht="24" customHeight="1" x14ac:dyDescent="0.25">
      <c r="C111" s="3"/>
      <c r="D111" s="3" t="s">
        <v>141</v>
      </c>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5">
        <v>1</v>
      </c>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f>SUM(E111:BW111)</f>
        <v>1</v>
      </c>
      <c r="BY111" s="6"/>
    </row>
    <row r="112" spans="1:77" ht="24" customHeight="1" x14ac:dyDescent="0.25">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5"/>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6"/>
    </row>
    <row r="113" spans="1:77" s="15" customFormat="1" ht="24" customHeight="1" x14ac:dyDescent="0.25">
      <c r="A113" s="13" t="s">
        <v>11</v>
      </c>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20"/>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4"/>
    </row>
    <row r="114" spans="1:77" ht="24" customHeight="1" x14ac:dyDescent="0.25">
      <c r="C114" s="3" t="s">
        <v>38</v>
      </c>
      <c r="D114" s="3" t="s">
        <v>64</v>
      </c>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5"/>
      <c r="AK114" s="3"/>
      <c r="AL114" s="3"/>
      <c r="AM114" s="3"/>
      <c r="AN114" s="3"/>
      <c r="AO114" s="3">
        <v>124</v>
      </c>
      <c r="AP114" s="3">
        <v>128</v>
      </c>
      <c r="AQ114" s="3"/>
      <c r="AR114" s="3">
        <v>1</v>
      </c>
      <c r="AS114" s="3">
        <v>3</v>
      </c>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f>SUM(E114:BW114)</f>
        <v>256</v>
      </c>
      <c r="BY114" s="6" t="s">
        <v>213</v>
      </c>
    </row>
    <row r="115" spans="1:77" ht="24" customHeight="1" x14ac:dyDescent="0.25">
      <c r="C115" s="3"/>
      <c r="D115" s="3" t="s">
        <v>125</v>
      </c>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5"/>
      <c r="AK115" s="3"/>
      <c r="AL115" s="3"/>
      <c r="AM115" s="3"/>
      <c r="AN115" s="3"/>
      <c r="AO115" s="3">
        <v>1</v>
      </c>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f>SUM(E115:BW115)</f>
        <v>1</v>
      </c>
      <c r="BY115" s="6"/>
    </row>
    <row r="116" spans="1:77" ht="24" customHeight="1" x14ac:dyDescent="0.25">
      <c r="C116" s="3"/>
      <c r="D116" s="3" t="s">
        <v>156</v>
      </c>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5"/>
      <c r="AK116" s="3"/>
      <c r="AL116" s="3"/>
      <c r="AM116" s="3"/>
      <c r="AN116" s="3"/>
      <c r="AO116" s="3"/>
      <c r="AP116" s="3">
        <v>1</v>
      </c>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f t="shared" ref="BX116:BX117" si="6">SUM(E116:BW116)</f>
        <v>1</v>
      </c>
      <c r="BY116" s="6"/>
    </row>
    <row r="117" spans="1:77" ht="24" customHeight="1" x14ac:dyDescent="0.25">
      <c r="C117" s="3"/>
      <c r="D117" s="3" t="s">
        <v>157</v>
      </c>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5"/>
      <c r="AK117" s="3"/>
      <c r="AL117" s="3"/>
      <c r="AM117" s="3"/>
      <c r="AN117" s="3"/>
      <c r="AO117" s="3"/>
      <c r="AP117" s="3">
        <v>1</v>
      </c>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f t="shared" si="6"/>
        <v>1</v>
      </c>
      <c r="BY117" s="6"/>
    </row>
    <row r="118" spans="1:77" ht="24" customHeight="1" x14ac:dyDescent="0.25">
      <c r="C118" s="3"/>
      <c r="D118" s="3" t="s">
        <v>158</v>
      </c>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5"/>
      <c r="AK118" s="3"/>
      <c r="AL118" s="3"/>
      <c r="AM118" s="3"/>
      <c r="AN118" s="3"/>
      <c r="AO118" s="3"/>
      <c r="AP118" s="3">
        <v>1</v>
      </c>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f>SUM(E118:BW118)</f>
        <v>1</v>
      </c>
      <c r="BY118" s="6"/>
    </row>
    <row r="119" spans="1:77" ht="24" customHeight="1" x14ac:dyDescent="0.25">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5"/>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6"/>
    </row>
    <row r="120" spans="1:77" ht="24" customHeight="1" x14ac:dyDescent="0.25">
      <c r="C120" s="3" t="s">
        <v>39</v>
      </c>
      <c r="D120" s="3" t="s">
        <v>46</v>
      </c>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5"/>
      <c r="AK120" s="3"/>
      <c r="AL120" s="3"/>
      <c r="AM120" s="3"/>
      <c r="AN120" s="3"/>
      <c r="AO120" s="3">
        <v>125</v>
      </c>
      <c r="AP120" s="3">
        <v>123</v>
      </c>
      <c r="AQ120" s="3"/>
      <c r="AR120" s="3">
        <v>1</v>
      </c>
      <c r="AS120" s="3">
        <v>3</v>
      </c>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f>SUM(E120:BW120)</f>
        <v>252</v>
      </c>
      <c r="BY120" s="6" t="s">
        <v>213</v>
      </c>
    </row>
    <row r="121" spans="1:77" ht="24" customHeight="1" x14ac:dyDescent="0.25">
      <c r="C121" s="3"/>
      <c r="D121" s="3" t="s">
        <v>125</v>
      </c>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5"/>
      <c r="AK121" s="3"/>
      <c r="AL121" s="3"/>
      <c r="AM121" s="3"/>
      <c r="AN121" s="3"/>
      <c r="AO121" s="3">
        <v>1</v>
      </c>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f>SUM(E121:BW121)</f>
        <v>1</v>
      </c>
      <c r="BY121" s="6"/>
    </row>
    <row r="122" spans="1:77" ht="24" customHeight="1" x14ac:dyDescent="0.25">
      <c r="C122" s="3"/>
      <c r="D122" s="3" t="s">
        <v>156</v>
      </c>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5"/>
      <c r="AK122" s="3"/>
      <c r="AL122" s="3"/>
      <c r="AM122" s="3"/>
      <c r="AN122" s="3"/>
      <c r="AO122" s="3"/>
      <c r="AP122" s="3">
        <v>1</v>
      </c>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f>SUM(E122:BW122)</f>
        <v>1</v>
      </c>
      <c r="BY122" s="6"/>
    </row>
    <row r="123" spans="1:77" ht="24" customHeight="1" x14ac:dyDescent="0.25">
      <c r="C123" s="3"/>
      <c r="D123" s="3" t="s">
        <v>158</v>
      </c>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5"/>
      <c r="AK123" s="3"/>
      <c r="AL123" s="3"/>
      <c r="AM123" s="3"/>
      <c r="AN123" s="3"/>
      <c r="AO123" s="3"/>
      <c r="AP123" s="3">
        <v>1</v>
      </c>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f t="shared" ref="BX123" si="7">SUM(E123:BW123)</f>
        <v>1</v>
      </c>
      <c r="BY123" s="6"/>
    </row>
    <row r="124" spans="1:77" ht="24" customHeight="1" x14ac:dyDescent="0.25">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5"/>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6"/>
    </row>
    <row r="125" spans="1:77" s="15" customFormat="1" ht="21.95" customHeight="1" x14ac:dyDescent="0.25">
      <c r="A125" s="13" t="s">
        <v>23</v>
      </c>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20"/>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4"/>
    </row>
    <row r="126" spans="1:77" ht="21.95" customHeight="1" x14ac:dyDescent="0.25">
      <c r="C126" s="3" t="s">
        <v>38</v>
      </c>
      <c r="D126" s="3" t="s">
        <v>65</v>
      </c>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5"/>
      <c r="AK126" s="3"/>
      <c r="AL126" s="3"/>
      <c r="AM126" s="3"/>
      <c r="AN126" s="3"/>
      <c r="AO126" s="3"/>
      <c r="AP126" s="3"/>
      <c r="AQ126" s="3"/>
      <c r="AR126" s="3"/>
      <c r="AS126" s="3"/>
      <c r="AT126" s="3">
        <v>260</v>
      </c>
      <c r="AU126" s="3">
        <v>115</v>
      </c>
      <c r="AV126" s="3"/>
      <c r="AW126" s="3">
        <v>2</v>
      </c>
      <c r="AX126" s="3">
        <v>7</v>
      </c>
      <c r="AY126" s="3">
        <v>262</v>
      </c>
      <c r="AZ126" s="3">
        <v>117</v>
      </c>
      <c r="BA126" s="3"/>
      <c r="BB126" s="3">
        <v>2</v>
      </c>
      <c r="BC126" s="3">
        <v>1</v>
      </c>
      <c r="BD126" s="3">
        <v>8</v>
      </c>
      <c r="BE126" s="3"/>
      <c r="BF126" s="3"/>
      <c r="BG126" s="3"/>
      <c r="BH126" s="3"/>
      <c r="BI126" s="3"/>
      <c r="BJ126" s="3"/>
      <c r="BK126" s="3"/>
      <c r="BL126" s="3"/>
      <c r="BM126" s="3"/>
      <c r="BN126" s="3"/>
      <c r="BO126" s="3"/>
      <c r="BP126" s="3"/>
      <c r="BQ126" s="3"/>
      <c r="BR126" s="3"/>
      <c r="BS126" s="3"/>
      <c r="BT126" s="3"/>
      <c r="BU126" s="3"/>
      <c r="BV126" s="3"/>
      <c r="BW126" s="3"/>
      <c r="BX126" s="3">
        <f>SUM(E126:BW126)</f>
        <v>774</v>
      </c>
      <c r="BY126" s="6" t="s">
        <v>213</v>
      </c>
    </row>
    <row r="127" spans="1:77" ht="21.95" customHeight="1" x14ac:dyDescent="0.25">
      <c r="C127" s="3"/>
      <c r="D127" s="3" t="s">
        <v>119</v>
      </c>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5"/>
      <c r="AK127" s="3"/>
      <c r="AL127" s="3"/>
      <c r="AM127" s="3"/>
      <c r="AN127" s="3"/>
      <c r="AO127" s="3"/>
      <c r="AP127" s="3"/>
      <c r="AQ127" s="3"/>
      <c r="AR127" s="3"/>
      <c r="AS127" s="3"/>
      <c r="AT127" s="3">
        <v>1</v>
      </c>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f t="shared" ref="BX127:BX136" si="8">SUM(E127:BW127)</f>
        <v>1</v>
      </c>
      <c r="BY127" s="6"/>
    </row>
    <row r="128" spans="1:77" ht="21.95" customHeight="1" x14ac:dyDescent="0.25">
      <c r="C128" s="3"/>
      <c r="D128" s="3" t="s">
        <v>153</v>
      </c>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5"/>
      <c r="AK128" s="3"/>
      <c r="AL128" s="3"/>
      <c r="AM128" s="3"/>
      <c r="AN128" s="3"/>
      <c r="AO128" s="3"/>
      <c r="AP128" s="3"/>
      <c r="AQ128" s="3"/>
      <c r="AR128" s="3"/>
      <c r="AS128" s="3"/>
      <c r="AT128" s="3"/>
      <c r="AU128" s="3">
        <v>1</v>
      </c>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f t="shared" si="8"/>
        <v>1</v>
      </c>
      <c r="BY128" s="6"/>
    </row>
    <row r="129" spans="1:77" ht="21.95" customHeight="1" x14ac:dyDescent="0.25">
      <c r="C129" s="3"/>
      <c r="D129" s="3" t="s">
        <v>154</v>
      </c>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5"/>
      <c r="AK129" s="3"/>
      <c r="AL129" s="3"/>
      <c r="AM129" s="3"/>
      <c r="AN129" s="3"/>
      <c r="AO129" s="3"/>
      <c r="AP129" s="3"/>
      <c r="AQ129" s="3"/>
      <c r="AR129" s="3"/>
      <c r="AS129" s="3"/>
      <c r="AT129" s="3"/>
      <c r="AU129" s="3">
        <v>1</v>
      </c>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f t="shared" si="8"/>
        <v>1</v>
      </c>
      <c r="BY129" s="6"/>
    </row>
    <row r="130" spans="1:77" ht="21.95" customHeight="1" x14ac:dyDescent="0.25">
      <c r="C130" s="3"/>
      <c r="D130" s="3" t="s">
        <v>155</v>
      </c>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5"/>
      <c r="AK130" s="3"/>
      <c r="AL130" s="3"/>
      <c r="AM130" s="3"/>
      <c r="AN130" s="3"/>
      <c r="AO130" s="3"/>
      <c r="AP130" s="3"/>
      <c r="AQ130" s="3"/>
      <c r="AR130" s="3"/>
      <c r="AS130" s="3"/>
      <c r="AT130" s="3"/>
      <c r="AU130" s="3"/>
      <c r="AV130" s="3"/>
      <c r="AW130" s="3"/>
      <c r="AX130" s="3"/>
      <c r="AY130" s="3"/>
      <c r="AZ130" s="3">
        <v>1</v>
      </c>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f t="shared" si="8"/>
        <v>1</v>
      </c>
      <c r="BY130" s="6"/>
    </row>
    <row r="131" spans="1:77" ht="21.95" customHeight="1" x14ac:dyDescent="0.25">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5"/>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6"/>
    </row>
    <row r="132" spans="1:77" ht="21.95" customHeight="1" x14ac:dyDescent="0.25">
      <c r="C132" s="3" t="s">
        <v>39</v>
      </c>
      <c r="D132" s="3" t="s">
        <v>45</v>
      </c>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5"/>
      <c r="AK132" s="3"/>
      <c r="AL132" s="3"/>
      <c r="AM132" s="3"/>
      <c r="AN132" s="3"/>
      <c r="AO132" s="3"/>
      <c r="AP132" s="3"/>
      <c r="AQ132" s="3"/>
      <c r="AR132" s="3"/>
      <c r="AS132" s="3"/>
      <c r="AT132" s="3">
        <v>260</v>
      </c>
      <c r="AU132" s="3">
        <v>117</v>
      </c>
      <c r="AV132" s="3"/>
      <c r="AW132" s="3">
        <v>2</v>
      </c>
      <c r="AX132" s="3">
        <v>6</v>
      </c>
      <c r="AY132" s="3">
        <v>266</v>
      </c>
      <c r="AZ132" s="3">
        <v>125</v>
      </c>
      <c r="BA132" s="3"/>
      <c r="BB132" s="3">
        <v>2</v>
      </c>
      <c r="BC132" s="3">
        <v>1</v>
      </c>
      <c r="BD132" s="3">
        <v>8</v>
      </c>
      <c r="BE132" s="3"/>
      <c r="BF132" s="3"/>
      <c r="BG132" s="3"/>
      <c r="BH132" s="3"/>
      <c r="BI132" s="3"/>
      <c r="BJ132" s="3"/>
      <c r="BK132" s="3"/>
      <c r="BL132" s="3"/>
      <c r="BM132" s="3"/>
      <c r="BN132" s="3"/>
      <c r="BO132" s="3"/>
      <c r="BP132" s="3"/>
      <c r="BQ132" s="3"/>
      <c r="BR132" s="3"/>
      <c r="BS132" s="3"/>
      <c r="BT132" s="3"/>
      <c r="BU132" s="3"/>
      <c r="BV132" s="3"/>
      <c r="BW132" s="3"/>
      <c r="BX132" s="3">
        <f t="shared" si="8"/>
        <v>787</v>
      </c>
      <c r="BY132" s="6" t="s">
        <v>213</v>
      </c>
    </row>
    <row r="133" spans="1:77" ht="21.95" customHeight="1" x14ac:dyDescent="0.25">
      <c r="C133" s="3"/>
      <c r="D133" s="3" t="s">
        <v>119</v>
      </c>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5"/>
      <c r="AK133" s="3"/>
      <c r="AL133" s="3"/>
      <c r="AM133" s="3"/>
      <c r="AN133" s="3"/>
      <c r="AO133" s="3"/>
      <c r="AP133" s="3"/>
      <c r="AQ133" s="3"/>
      <c r="AR133" s="3"/>
      <c r="AS133" s="3"/>
      <c r="AT133" s="3">
        <v>1</v>
      </c>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f t="shared" si="8"/>
        <v>1</v>
      </c>
      <c r="BY133" s="6"/>
    </row>
    <row r="134" spans="1:77" ht="21.95" customHeight="1" x14ac:dyDescent="0.25">
      <c r="C134" s="3"/>
      <c r="D134" s="3" t="s">
        <v>153</v>
      </c>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5"/>
      <c r="AK134" s="3"/>
      <c r="AL134" s="3"/>
      <c r="AM134" s="3"/>
      <c r="AN134" s="3"/>
      <c r="AO134" s="3"/>
      <c r="AP134" s="3"/>
      <c r="AQ134" s="3"/>
      <c r="AR134" s="3"/>
      <c r="AS134" s="3"/>
      <c r="AT134" s="3"/>
      <c r="AU134" s="3">
        <v>1</v>
      </c>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f t="shared" si="8"/>
        <v>1</v>
      </c>
      <c r="BY134" s="6"/>
    </row>
    <row r="135" spans="1:77" ht="21.95" customHeight="1" x14ac:dyDescent="0.25">
      <c r="C135" s="3"/>
      <c r="D135" s="3" t="s">
        <v>174</v>
      </c>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5"/>
      <c r="AK135" s="3"/>
      <c r="AL135" s="3"/>
      <c r="AM135" s="3"/>
      <c r="AN135" s="3"/>
      <c r="AO135" s="3"/>
      <c r="AP135" s="3"/>
      <c r="AQ135" s="3"/>
      <c r="AR135" s="3"/>
      <c r="AS135" s="3"/>
      <c r="AT135" s="3"/>
      <c r="AU135" s="3"/>
      <c r="AV135" s="3"/>
      <c r="AW135" s="3"/>
      <c r="AX135" s="3"/>
      <c r="AY135" s="3"/>
      <c r="AZ135" s="3">
        <v>1</v>
      </c>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f t="shared" si="8"/>
        <v>1</v>
      </c>
      <c r="BY135" s="6"/>
    </row>
    <row r="136" spans="1:77" ht="21.95" customHeight="1" x14ac:dyDescent="0.25">
      <c r="C136" s="3"/>
      <c r="D136" s="3" t="s">
        <v>180</v>
      </c>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5"/>
      <c r="AK136" s="3"/>
      <c r="AL136" s="3"/>
      <c r="AM136" s="3"/>
      <c r="AN136" s="3"/>
      <c r="AO136" s="3"/>
      <c r="AP136" s="3"/>
      <c r="AQ136" s="3"/>
      <c r="AR136" s="3"/>
      <c r="AS136" s="3"/>
      <c r="AT136" s="3"/>
      <c r="AU136" s="3"/>
      <c r="AV136" s="3"/>
      <c r="AW136" s="3"/>
      <c r="AX136" s="3"/>
      <c r="AY136" s="3"/>
      <c r="AZ136" s="3">
        <v>1</v>
      </c>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f t="shared" si="8"/>
        <v>1</v>
      </c>
      <c r="BY136" s="6"/>
    </row>
    <row r="137" spans="1:77" ht="21.95" customHeight="1" x14ac:dyDescent="0.25">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5"/>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6"/>
    </row>
    <row r="138" spans="1:77" ht="21.95" customHeight="1" x14ac:dyDescent="0.25">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5"/>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6"/>
    </row>
    <row r="139" spans="1:77" ht="21.95" customHeight="1" x14ac:dyDescent="0.25">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5"/>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6"/>
    </row>
    <row r="140" spans="1:77" ht="21.95" customHeight="1" x14ac:dyDescent="0.25">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5"/>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6"/>
    </row>
    <row r="141" spans="1:77" ht="21.95" customHeight="1" x14ac:dyDescent="0.25">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5"/>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6"/>
    </row>
    <row r="142" spans="1:77" ht="100.5" customHeight="1" x14ac:dyDescent="0.25">
      <c r="A142" s="2"/>
      <c r="B142" s="4"/>
      <c r="C142" s="3" t="s">
        <v>0</v>
      </c>
      <c r="D142" s="3" t="s">
        <v>1</v>
      </c>
      <c r="E142" s="19" t="s">
        <v>2</v>
      </c>
      <c r="F142" s="12" t="s">
        <v>3</v>
      </c>
      <c r="G142" s="12" t="s">
        <v>48</v>
      </c>
      <c r="H142" s="12" t="s">
        <v>5</v>
      </c>
      <c r="I142" s="19" t="s">
        <v>6</v>
      </c>
      <c r="J142" s="12" t="s">
        <v>3</v>
      </c>
      <c r="K142" s="12" t="s">
        <v>48</v>
      </c>
      <c r="L142" s="12" t="s">
        <v>5</v>
      </c>
      <c r="M142" s="19" t="s">
        <v>7</v>
      </c>
      <c r="N142" s="12" t="s">
        <v>3</v>
      </c>
      <c r="O142" s="12" t="s">
        <v>66</v>
      </c>
      <c r="P142" s="12" t="s">
        <v>48</v>
      </c>
      <c r="Q142" s="12" t="s">
        <v>5</v>
      </c>
      <c r="R142" s="19" t="s">
        <v>8</v>
      </c>
      <c r="S142" s="12" t="s">
        <v>3</v>
      </c>
      <c r="T142" s="12" t="s">
        <v>47</v>
      </c>
      <c r="U142" s="12" t="s">
        <v>4</v>
      </c>
      <c r="V142" s="12" t="s">
        <v>48</v>
      </c>
      <c r="W142" s="12" t="s">
        <v>5</v>
      </c>
      <c r="X142" s="19" t="s">
        <v>9</v>
      </c>
      <c r="Y142" s="12" t="s">
        <v>3</v>
      </c>
      <c r="Z142" s="12" t="s">
        <v>47</v>
      </c>
      <c r="AA142" s="12" t="s">
        <v>107</v>
      </c>
      <c r="AB142" s="12" t="s">
        <v>48</v>
      </c>
      <c r="AC142" s="12" t="s">
        <v>5</v>
      </c>
      <c r="AD142" s="19" t="s">
        <v>49</v>
      </c>
      <c r="AE142" s="12" t="s">
        <v>3</v>
      </c>
      <c r="AF142" s="12" t="s">
        <v>47</v>
      </c>
      <c r="AG142" s="12" t="s">
        <v>105</v>
      </c>
      <c r="AH142" s="12" t="s">
        <v>48</v>
      </c>
      <c r="AI142" s="12" t="s">
        <v>5</v>
      </c>
      <c r="AJ142" s="19" t="s">
        <v>10</v>
      </c>
      <c r="AK142" s="12" t="s">
        <v>3</v>
      </c>
      <c r="AL142" s="12" t="s">
        <v>47</v>
      </c>
      <c r="AM142" s="12" t="s">
        <v>48</v>
      </c>
      <c r="AN142" s="12" t="s">
        <v>5</v>
      </c>
      <c r="AO142" s="19" t="s">
        <v>11</v>
      </c>
      <c r="AP142" s="12" t="s">
        <v>3</v>
      </c>
      <c r="AQ142" s="12" t="s">
        <v>4</v>
      </c>
      <c r="AR142" s="12" t="s">
        <v>48</v>
      </c>
      <c r="AS142" s="12" t="s">
        <v>5</v>
      </c>
      <c r="AT142" s="19" t="s">
        <v>12</v>
      </c>
      <c r="AU142" s="12" t="s">
        <v>3</v>
      </c>
      <c r="AV142" s="12" t="s">
        <v>4</v>
      </c>
      <c r="AW142" s="12" t="s">
        <v>48</v>
      </c>
      <c r="AX142" s="12" t="s">
        <v>5</v>
      </c>
      <c r="AY142" s="19" t="s">
        <v>13</v>
      </c>
      <c r="AZ142" s="12" t="s">
        <v>3</v>
      </c>
      <c r="BA142" s="12" t="s">
        <v>47</v>
      </c>
      <c r="BB142" s="12" t="s">
        <v>108</v>
      </c>
      <c r="BC142" s="12" t="s">
        <v>48</v>
      </c>
      <c r="BD142" s="12" t="s">
        <v>5</v>
      </c>
      <c r="BE142" s="19" t="s">
        <v>14</v>
      </c>
      <c r="BF142" s="12" t="s">
        <v>3</v>
      </c>
      <c r="BG142" s="12" t="s">
        <v>47</v>
      </c>
      <c r="BH142" s="12" t="s">
        <v>4</v>
      </c>
      <c r="BI142" s="12" t="s">
        <v>48</v>
      </c>
      <c r="BJ142" s="12" t="s">
        <v>5</v>
      </c>
      <c r="BK142" s="19" t="s">
        <v>15</v>
      </c>
      <c r="BL142" s="12" t="s">
        <v>3</v>
      </c>
      <c r="BM142" s="12" t="s">
        <v>47</v>
      </c>
      <c r="BN142" s="12" t="s">
        <v>4</v>
      </c>
      <c r="BO142" s="12" t="s">
        <v>5</v>
      </c>
      <c r="BP142" s="19" t="s">
        <v>16</v>
      </c>
      <c r="BQ142" s="12" t="s">
        <v>3</v>
      </c>
      <c r="BR142" s="12" t="s">
        <v>4</v>
      </c>
      <c r="BS142" s="12" t="s">
        <v>5</v>
      </c>
      <c r="BT142" s="19" t="s">
        <v>17</v>
      </c>
      <c r="BU142" s="12" t="s">
        <v>18</v>
      </c>
      <c r="BV142" s="12" t="s">
        <v>4</v>
      </c>
      <c r="BW142" s="12" t="s">
        <v>5</v>
      </c>
      <c r="BX142" s="19" t="s">
        <v>19</v>
      </c>
      <c r="BY142" s="5" t="s">
        <v>20</v>
      </c>
    </row>
    <row r="143" spans="1:77" s="15" customFormat="1" ht="21.95" customHeight="1" x14ac:dyDescent="0.25">
      <c r="A143" s="13" t="s">
        <v>14</v>
      </c>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20"/>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4"/>
    </row>
    <row r="144" spans="1:77" ht="21.95" customHeight="1" x14ac:dyDescent="0.25">
      <c r="C144" s="3" t="s">
        <v>38</v>
      </c>
      <c r="D144" s="3" t="s">
        <v>159</v>
      </c>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5"/>
      <c r="AK144" s="3"/>
      <c r="AL144" s="3"/>
      <c r="AM144" s="3"/>
      <c r="AN144" s="3"/>
      <c r="AO144" s="3"/>
      <c r="AP144" s="3"/>
      <c r="AQ144" s="3"/>
      <c r="AR144" s="3"/>
      <c r="AS144" s="3"/>
      <c r="AT144" s="3"/>
      <c r="AU144" s="3"/>
      <c r="AV144" s="3"/>
      <c r="AW144" s="3"/>
      <c r="AX144" s="3"/>
      <c r="AY144" s="3"/>
      <c r="AZ144" s="3"/>
      <c r="BA144" s="3"/>
      <c r="BB144" s="3"/>
      <c r="BC144" s="3"/>
      <c r="BD144" s="3"/>
      <c r="BE144" s="3"/>
      <c r="BF144" s="3">
        <v>2</v>
      </c>
      <c r="BG144" s="3"/>
      <c r="BH144" s="3"/>
      <c r="BI144" s="3"/>
      <c r="BJ144" s="3"/>
      <c r="BK144" s="3"/>
      <c r="BL144" s="3"/>
      <c r="BM144" s="3"/>
      <c r="BN144" s="3"/>
      <c r="BO144" s="3"/>
      <c r="BP144" s="3"/>
      <c r="BQ144" s="3"/>
      <c r="BR144" s="3"/>
      <c r="BS144" s="3"/>
      <c r="BT144" s="3"/>
      <c r="BU144" s="3"/>
      <c r="BV144" s="3"/>
      <c r="BW144" s="3"/>
      <c r="BX144" s="3">
        <f t="shared" ref="BX144:BX170" si="9">SUM(E144:BW144)</f>
        <v>2</v>
      </c>
      <c r="BY144" s="6"/>
    </row>
    <row r="145" spans="3:77" ht="21.95" customHeight="1" x14ac:dyDescent="0.25">
      <c r="C145" s="3"/>
      <c r="D145" s="3" t="s">
        <v>160</v>
      </c>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5"/>
      <c r="AK145" s="3"/>
      <c r="AL145" s="3"/>
      <c r="AM145" s="3"/>
      <c r="AN145" s="3"/>
      <c r="AO145" s="3"/>
      <c r="AP145" s="3"/>
      <c r="AQ145" s="3"/>
      <c r="AR145" s="3"/>
      <c r="AS145" s="3"/>
      <c r="AT145" s="3"/>
      <c r="AU145" s="3"/>
      <c r="AV145" s="3"/>
      <c r="AW145" s="3"/>
      <c r="AX145" s="3"/>
      <c r="AY145" s="3"/>
      <c r="AZ145" s="3"/>
      <c r="BA145" s="3"/>
      <c r="BB145" s="3"/>
      <c r="BC145" s="3"/>
      <c r="BD145" s="3"/>
      <c r="BE145" s="3"/>
      <c r="BF145" s="3">
        <v>1</v>
      </c>
      <c r="BG145" s="3"/>
      <c r="BH145" s="3"/>
      <c r="BI145" s="3"/>
      <c r="BJ145" s="3"/>
      <c r="BK145" s="3"/>
      <c r="BL145" s="3"/>
      <c r="BM145" s="3"/>
      <c r="BN145" s="3"/>
      <c r="BO145" s="3"/>
      <c r="BP145" s="3"/>
      <c r="BQ145" s="3"/>
      <c r="BR145" s="3"/>
      <c r="BS145" s="3"/>
      <c r="BT145" s="3"/>
      <c r="BU145" s="3"/>
      <c r="BV145" s="3"/>
      <c r="BW145" s="3"/>
      <c r="BX145" s="3">
        <f t="shared" si="9"/>
        <v>1</v>
      </c>
      <c r="BY145" s="6"/>
    </row>
    <row r="146" spans="3:77" ht="21.95" customHeight="1" x14ac:dyDescent="0.25">
      <c r="C146" s="3"/>
      <c r="D146" s="3" t="s">
        <v>161</v>
      </c>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5"/>
      <c r="AK146" s="3"/>
      <c r="AL146" s="3"/>
      <c r="AM146" s="3"/>
      <c r="AN146" s="3"/>
      <c r="AO146" s="3"/>
      <c r="AP146" s="3"/>
      <c r="AQ146" s="3"/>
      <c r="AR146" s="3"/>
      <c r="AS146" s="3"/>
      <c r="AT146" s="3"/>
      <c r="AU146" s="3"/>
      <c r="AV146" s="3"/>
      <c r="AW146" s="3"/>
      <c r="AX146" s="3"/>
      <c r="AY146" s="3"/>
      <c r="AZ146" s="3"/>
      <c r="BA146" s="3"/>
      <c r="BB146" s="3"/>
      <c r="BC146" s="3"/>
      <c r="BD146" s="3"/>
      <c r="BE146" s="3"/>
      <c r="BF146" s="3">
        <v>1</v>
      </c>
      <c r="BG146" s="3"/>
      <c r="BH146" s="3"/>
      <c r="BI146" s="3"/>
      <c r="BJ146" s="3"/>
      <c r="BK146" s="3"/>
      <c r="BL146" s="3"/>
      <c r="BM146" s="3"/>
      <c r="BN146" s="3"/>
      <c r="BO146" s="3"/>
      <c r="BP146" s="3"/>
      <c r="BQ146" s="3"/>
      <c r="BR146" s="3"/>
      <c r="BS146" s="3"/>
      <c r="BT146" s="3"/>
      <c r="BU146" s="3"/>
      <c r="BV146" s="3"/>
      <c r="BW146" s="3"/>
      <c r="BX146" s="3">
        <f t="shared" si="9"/>
        <v>1</v>
      </c>
      <c r="BY146" s="6"/>
    </row>
    <row r="147" spans="3:77" ht="21.95" customHeight="1" x14ac:dyDescent="0.25">
      <c r="C147" s="3"/>
      <c r="D147" s="3" t="s">
        <v>162</v>
      </c>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5"/>
      <c r="AK147" s="3"/>
      <c r="AL147" s="3"/>
      <c r="AM147" s="3"/>
      <c r="AN147" s="3"/>
      <c r="AO147" s="3"/>
      <c r="AP147" s="3"/>
      <c r="AQ147" s="3"/>
      <c r="AR147" s="3"/>
      <c r="AS147" s="3"/>
      <c r="AT147" s="3"/>
      <c r="AU147" s="3"/>
      <c r="AV147" s="3"/>
      <c r="AW147" s="3"/>
      <c r="AX147" s="3"/>
      <c r="AY147" s="3"/>
      <c r="AZ147" s="3"/>
      <c r="BA147" s="3"/>
      <c r="BB147" s="3"/>
      <c r="BC147" s="3"/>
      <c r="BD147" s="3"/>
      <c r="BE147" s="3">
        <v>2</v>
      </c>
      <c r="BF147" s="3">
        <v>1</v>
      </c>
      <c r="BG147" s="3"/>
      <c r="BH147" s="3"/>
      <c r="BI147" s="3"/>
      <c r="BJ147" s="3"/>
      <c r="BK147" s="3"/>
      <c r="BL147" s="3"/>
      <c r="BM147" s="3"/>
      <c r="BN147" s="3"/>
      <c r="BO147" s="3"/>
      <c r="BP147" s="3"/>
      <c r="BQ147" s="3"/>
      <c r="BR147" s="3"/>
      <c r="BS147" s="3"/>
      <c r="BT147" s="3"/>
      <c r="BU147" s="3"/>
      <c r="BV147" s="3"/>
      <c r="BW147" s="3"/>
      <c r="BX147" s="3">
        <f t="shared" si="9"/>
        <v>3</v>
      </c>
      <c r="BY147" s="6" t="s">
        <v>214</v>
      </c>
    </row>
    <row r="148" spans="3:77" ht="21.95" customHeight="1" x14ac:dyDescent="0.25">
      <c r="C148" s="3"/>
      <c r="D148" s="3" t="s">
        <v>163</v>
      </c>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5"/>
      <c r="AK148" s="3"/>
      <c r="AL148" s="3"/>
      <c r="AM148" s="3"/>
      <c r="AN148" s="3"/>
      <c r="AO148" s="3"/>
      <c r="AP148" s="3"/>
      <c r="AQ148" s="3"/>
      <c r="AR148" s="3"/>
      <c r="AS148" s="3"/>
      <c r="AT148" s="3"/>
      <c r="AU148" s="3"/>
      <c r="AV148" s="3"/>
      <c r="AW148" s="3"/>
      <c r="AX148" s="3"/>
      <c r="AY148" s="3"/>
      <c r="AZ148" s="3"/>
      <c r="BA148" s="3"/>
      <c r="BB148" s="3"/>
      <c r="BC148" s="3"/>
      <c r="BD148" s="3"/>
      <c r="BE148" s="3"/>
      <c r="BF148" s="3">
        <v>1</v>
      </c>
      <c r="BG148" s="3"/>
      <c r="BH148" s="3"/>
      <c r="BI148" s="3"/>
      <c r="BJ148" s="3"/>
      <c r="BK148" s="3"/>
      <c r="BL148" s="3"/>
      <c r="BM148" s="3"/>
      <c r="BN148" s="3"/>
      <c r="BO148" s="3"/>
      <c r="BP148" s="3"/>
      <c r="BQ148" s="3"/>
      <c r="BR148" s="3"/>
      <c r="BS148" s="3"/>
      <c r="BT148" s="3"/>
      <c r="BU148" s="3"/>
      <c r="BV148" s="3"/>
      <c r="BW148" s="3"/>
      <c r="BX148" s="3">
        <f t="shared" si="9"/>
        <v>1</v>
      </c>
      <c r="BY148" s="6" t="s">
        <v>207</v>
      </c>
    </row>
    <row r="149" spans="3:77" ht="21.95" customHeight="1" x14ac:dyDescent="0.25">
      <c r="C149" s="3"/>
      <c r="D149" s="3" t="s">
        <v>208</v>
      </c>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5"/>
      <c r="AK149" s="3"/>
      <c r="AL149" s="3"/>
      <c r="AM149" s="3"/>
      <c r="AN149" s="3"/>
      <c r="AO149" s="3"/>
      <c r="AP149" s="3"/>
      <c r="AQ149" s="3"/>
      <c r="AR149" s="3"/>
      <c r="AS149" s="3"/>
      <c r="AT149" s="3"/>
      <c r="AU149" s="3"/>
      <c r="AV149" s="3"/>
      <c r="AW149" s="3"/>
      <c r="AX149" s="3"/>
      <c r="AY149" s="3"/>
      <c r="AZ149" s="3"/>
      <c r="BA149" s="3"/>
      <c r="BB149" s="3"/>
      <c r="BC149" s="3"/>
      <c r="BD149" s="3"/>
      <c r="BE149" s="3"/>
      <c r="BF149" s="3">
        <v>1</v>
      </c>
      <c r="BG149" s="3"/>
      <c r="BH149" s="3"/>
      <c r="BI149" s="3"/>
      <c r="BJ149" s="3"/>
      <c r="BK149" s="3"/>
      <c r="BL149" s="3"/>
      <c r="BM149" s="3"/>
      <c r="BN149" s="3"/>
      <c r="BO149" s="3"/>
      <c r="BP149" s="3"/>
      <c r="BQ149" s="3"/>
      <c r="BR149" s="3"/>
      <c r="BS149" s="3"/>
      <c r="BT149" s="3"/>
      <c r="BU149" s="3"/>
      <c r="BV149" s="3"/>
      <c r="BW149" s="3"/>
      <c r="BX149" s="3">
        <f t="shared" si="9"/>
        <v>1</v>
      </c>
      <c r="BY149" s="6"/>
    </row>
    <row r="150" spans="3:77" ht="21.95" customHeight="1" x14ac:dyDescent="0.25">
      <c r="C150" s="3"/>
      <c r="D150" s="3" t="s">
        <v>164</v>
      </c>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5"/>
      <c r="AK150" s="3"/>
      <c r="AL150" s="3"/>
      <c r="AM150" s="3"/>
      <c r="AN150" s="3"/>
      <c r="AO150" s="3"/>
      <c r="AP150" s="3"/>
      <c r="AQ150" s="3"/>
      <c r="AR150" s="3"/>
      <c r="AS150" s="3"/>
      <c r="AT150" s="3"/>
      <c r="AU150" s="3"/>
      <c r="AV150" s="3"/>
      <c r="AW150" s="3"/>
      <c r="AX150" s="3"/>
      <c r="AY150" s="3"/>
      <c r="AZ150" s="3"/>
      <c r="BA150" s="3"/>
      <c r="BB150" s="3"/>
      <c r="BC150" s="3"/>
      <c r="BD150" s="3"/>
      <c r="BE150" s="3">
        <v>1</v>
      </c>
      <c r="BF150" s="3">
        <v>1</v>
      </c>
      <c r="BG150" s="3"/>
      <c r="BH150" s="3"/>
      <c r="BI150" s="3"/>
      <c r="BJ150" s="3"/>
      <c r="BK150" s="3"/>
      <c r="BL150" s="3"/>
      <c r="BM150" s="3"/>
      <c r="BN150" s="3"/>
      <c r="BO150" s="3"/>
      <c r="BP150" s="3"/>
      <c r="BQ150" s="3"/>
      <c r="BR150" s="3"/>
      <c r="BS150" s="3"/>
      <c r="BT150" s="3"/>
      <c r="BU150" s="3"/>
      <c r="BV150" s="3"/>
      <c r="BW150" s="3"/>
      <c r="BX150" s="3">
        <f t="shared" si="9"/>
        <v>2</v>
      </c>
      <c r="BY150" s="6"/>
    </row>
    <row r="151" spans="3:77" ht="21.95" customHeight="1" x14ac:dyDescent="0.25">
      <c r="C151" s="3"/>
      <c r="D151" s="3" t="s">
        <v>165</v>
      </c>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5"/>
      <c r="AK151" s="3"/>
      <c r="AL151" s="3"/>
      <c r="AM151" s="3"/>
      <c r="AN151" s="3"/>
      <c r="AO151" s="3"/>
      <c r="AP151" s="3"/>
      <c r="AQ151" s="3"/>
      <c r="AR151" s="3"/>
      <c r="AS151" s="3"/>
      <c r="AT151" s="3"/>
      <c r="AU151" s="3"/>
      <c r="AV151" s="3"/>
      <c r="AW151" s="3"/>
      <c r="AX151" s="3"/>
      <c r="AY151" s="3"/>
      <c r="AZ151" s="3"/>
      <c r="BA151" s="3"/>
      <c r="BB151" s="3"/>
      <c r="BC151" s="3"/>
      <c r="BD151" s="3"/>
      <c r="BE151" s="3"/>
      <c r="BF151" s="3">
        <v>1</v>
      </c>
      <c r="BG151" s="3"/>
      <c r="BH151" s="3"/>
      <c r="BI151" s="3"/>
      <c r="BJ151" s="3"/>
      <c r="BK151" s="3"/>
      <c r="BL151" s="3"/>
      <c r="BM151" s="3"/>
      <c r="BN151" s="3"/>
      <c r="BO151" s="3"/>
      <c r="BP151" s="3"/>
      <c r="BQ151" s="3"/>
      <c r="BR151" s="3"/>
      <c r="BS151" s="3"/>
      <c r="BT151" s="3"/>
      <c r="BU151" s="3"/>
      <c r="BV151" s="3"/>
      <c r="BW151" s="3"/>
      <c r="BX151" s="3">
        <f t="shared" si="9"/>
        <v>1</v>
      </c>
      <c r="BY151" s="6" t="s">
        <v>207</v>
      </c>
    </row>
    <row r="152" spans="3:77" ht="21.95" customHeight="1" x14ac:dyDescent="0.25">
      <c r="C152" s="3"/>
      <c r="D152" s="3" t="s">
        <v>166</v>
      </c>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5"/>
      <c r="AK152" s="3"/>
      <c r="AL152" s="3"/>
      <c r="AM152" s="3"/>
      <c r="AN152" s="3"/>
      <c r="AO152" s="3"/>
      <c r="AP152" s="3"/>
      <c r="AQ152" s="3"/>
      <c r="AR152" s="3"/>
      <c r="AS152" s="3"/>
      <c r="AT152" s="3"/>
      <c r="AU152" s="3"/>
      <c r="AV152" s="3"/>
      <c r="AW152" s="3"/>
      <c r="AX152" s="3"/>
      <c r="AY152" s="3"/>
      <c r="AZ152" s="3"/>
      <c r="BA152" s="3"/>
      <c r="BB152" s="3"/>
      <c r="BC152" s="3"/>
      <c r="BD152" s="3"/>
      <c r="BE152" s="3"/>
      <c r="BF152" s="3">
        <v>1</v>
      </c>
      <c r="BG152" s="3"/>
      <c r="BH152" s="3"/>
      <c r="BI152" s="3"/>
      <c r="BJ152" s="3"/>
      <c r="BK152" s="3"/>
      <c r="BL152" s="3"/>
      <c r="BM152" s="3"/>
      <c r="BN152" s="3"/>
      <c r="BO152" s="3"/>
      <c r="BP152" s="3"/>
      <c r="BQ152" s="3"/>
      <c r="BR152" s="3"/>
      <c r="BS152" s="3"/>
      <c r="BT152" s="3"/>
      <c r="BU152" s="3"/>
      <c r="BV152" s="3"/>
      <c r="BW152" s="3"/>
      <c r="BX152" s="3">
        <f t="shared" si="9"/>
        <v>1</v>
      </c>
      <c r="BY152" s="6"/>
    </row>
    <row r="153" spans="3:77" ht="21.95" customHeight="1" x14ac:dyDescent="0.25">
      <c r="C153" s="3"/>
      <c r="D153" s="3" t="s">
        <v>181</v>
      </c>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5"/>
      <c r="AK153" s="3"/>
      <c r="AL153" s="3"/>
      <c r="AM153" s="3"/>
      <c r="AN153" s="3"/>
      <c r="AO153" s="3"/>
      <c r="AP153" s="3"/>
      <c r="AQ153" s="3"/>
      <c r="AR153" s="3"/>
      <c r="AS153" s="3"/>
      <c r="AT153" s="3"/>
      <c r="AU153" s="3"/>
      <c r="AV153" s="3"/>
      <c r="AW153" s="3"/>
      <c r="AX153" s="3"/>
      <c r="AY153" s="3"/>
      <c r="AZ153" s="3"/>
      <c r="BA153" s="3"/>
      <c r="BB153" s="3"/>
      <c r="BC153" s="3"/>
      <c r="BD153" s="3"/>
      <c r="BE153" s="3">
        <v>2</v>
      </c>
      <c r="BF153" s="3"/>
      <c r="BG153" s="3"/>
      <c r="BH153" s="3"/>
      <c r="BI153" s="3"/>
      <c r="BJ153" s="3"/>
      <c r="BK153" s="3"/>
      <c r="BL153" s="3"/>
      <c r="BM153" s="3"/>
      <c r="BN153" s="3"/>
      <c r="BO153" s="3"/>
      <c r="BP153" s="3"/>
      <c r="BQ153" s="3"/>
      <c r="BR153" s="3"/>
      <c r="BS153" s="3"/>
      <c r="BT153" s="3"/>
      <c r="BU153" s="3"/>
      <c r="BV153" s="3"/>
      <c r="BW153" s="3"/>
      <c r="BX153" s="3">
        <f t="shared" si="9"/>
        <v>2</v>
      </c>
      <c r="BY153" s="6"/>
    </row>
    <row r="154" spans="3:77" ht="21.95" customHeight="1" x14ac:dyDescent="0.25">
      <c r="C154" s="3"/>
      <c r="D154" s="3" t="s">
        <v>182</v>
      </c>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5"/>
      <c r="AK154" s="3"/>
      <c r="AL154" s="3"/>
      <c r="AM154" s="3"/>
      <c r="AN154" s="3"/>
      <c r="AO154" s="3"/>
      <c r="AP154" s="3"/>
      <c r="AQ154" s="3"/>
      <c r="AR154" s="3"/>
      <c r="AS154" s="3"/>
      <c r="AT154" s="3"/>
      <c r="AU154" s="3"/>
      <c r="AV154" s="3"/>
      <c r="AW154" s="3"/>
      <c r="AX154" s="3"/>
      <c r="AY154" s="3"/>
      <c r="AZ154" s="3"/>
      <c r="BA154" s="3"/>
      <c r="BB154" s="3"/>
      <c r="BC154" s="3"/>
      <c r="BD154" s="3"/>
      <c r="BE154" s="3">
        <v>1</v>
      </c>
      <c r="BF154" s="3"/>
      <c r="BG154" s="3"/>
      <c r="BH154" s="3"/>
      <c r="BI154" s="3"/>
      <c r="BJ154" s="3"/>
      <c r="BK154" s="3"/>
      <c r="BL154" s="3"/>
      <c r="BM154" s="3"/>
      <c r="BN154" s="3"/>
      <c r="BO154" s="3"/>
      <c r="BP154" s="3"/>
      <c r="BQ154" s="3"/>
      <c r="BR154" s="3"/>
      <c r="BS154" s="3"/>
      <c r="BT154" s="3"/>
      <c r="BU154" s="3"/>
      <c r="BV154" s="3"/>
      <c r="BW154" s="3"/>
      <c r="BX154" s="3">
        <f t="shared" si="9"/>
        <v>1</v>
      </c>
      <c r="BY154" s="6"/>
    </row>
    <row r="155" spans="3:77" ht="21.95" customHeight="1" x14ac:dyDescent="0.25">
      <c r="C155" s="3"/>
      <c r="D155" s="3" t="s">
        <v>183</v>
      </c>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5"/>
      <c r="AK155" s="3"/>
      <c r="AL155" s="3"/>
      <c r="AM155" s="3"/>
      <c r="AN155" s="3"/>
      <c r="AO155" s="3"/>
      <c r="AP155" s="3"/>
      <c r="AQ155" s="3"/>
      <c r="AR155" s="3"/>
      <c r="AS155" s="3"/>
      <c r="AT155" s="3"/>
      <c r="AU155" s="3"/>
      <c r="AV155" s="3"/>
      <c r="AW155" s="3"/>
      <c r="AX155" s="3"/>
      <c r="AY155" s="3"/>
      <c r="AZ155" s="3"/>
      <c r="BA155" s="3"/>
      <c r="BB155" s="3"/>
      <c r="BC155" s="3"/>
      <c r="BD155" s="3"/>
      <c r="BE155" s="3">
        <v>1</v>
      </c>
      <c r="BF155" s="3"/>
      <c r="BG155" s="3"/>
      <c r="BH155" s="3"/>
      <c r="BI155" s="3"/>
      <c r="BJ155" s="3"/>
      <c r="BK155" s="3"/>
      <c r="BL155" s="3"/>
      <c r="BM155" s="3"/>
      <c r="BN155" s="3"/>
      <c r="BO155" s="3"/>
      <c r="BP155" s="3"/>
      <c r="BQ155" s="3"/>
      <c r="BR155" s="3"/>
      <c r="BS155" s="3"/>
      <c r="BT155" s="3"/>
      <c r="BU155" s="3"/>
      <c r="BV155" s="3"/>
      <c r="BW155" s="3"/>
      <c r="BX155" s="3">
        <f t="shared" si="9"/>
        <v>1</v>
      </c>
      <c r="BY155" s="6" t="s">
        <v>207</v>
      </c>
    </row>
    <row r="156" spans="3:77" ht="21.95" customHeight="1" x14ac:dyDescent="0.25">
      <c r="C156" s="3"/>
      <c r="D156" s="3" t="s">
        <v>184</v>
      </c>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5"/>
      <c r="AK156" s="3"/>
      <c r="AL156" s="3"/>
      <c r="AM156" s="3"/>
      <c r="AN156" s="3"/>
      <c r="AO156" s="3"/>
      <c r="AP156" s="3"/>
      <c r="AQ156" s="3"/>
      <c r="AR156" s="3"/>
      <c r="AS156" s="3"/>
      <c r="AT156" s="3"/>
      <c r="AU156" s="3"/>
      <c r="AV156" s="3"/>
      <c r="AW156" s="3"/>
      <c r="AX156" s="3"/>
      <c r="AY156" s="3"/>
      <c r="AZ156" s="3"/>
      <c r="BA156" s="3"/>
      <c r="BB156" s="3"/>
      <c r="BC156" s="3"/>
      <c r="BD156" s="3"/>
      <c r="BE156" s="3">
        <v>1</v>
      </c>
      <c r="BF156" s="3"/>
      <c r="BG156" s="3"/>
      <c r="BH156" s="3"/>
      <c r="BI156" s="3"/>
      <c r="BJ156" s="3"/>
      <c r="BK156" s="3"/>
      <c r="BL156" s="3"/>
      <c r="BM156" s="3"/>
      <c r="BN156" s="3"/>
      <c r="BO156" s="3"/>
      <c r="BP156" s="3"/>
      <c r="BQ156" s="3"/>
      <c r="BR156" s="3"/>
      <c r="BS156" s="3"/>
      <c r="BT156" s="3"/>
      <c r="BU156" s="3"/>
      <c r="BV156" s="3"/>
      <c r="BW156" s="3"/>
      <c r="BX156" s="3">
        <f t="shared" si="9"/>
        <v>1</v>
      </c>
      <c r="BY156" s="6"/>
    </row>
    <row r="157" spans="3:77" ht="21.95" customHeight="1" x14ac:dyDescent="0.25">
      <c r="C157" s="3"/>
      <c r="D157" s="3" t="s">
        <v>185</v>
      </c>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5"/>
      <c r="AK157" s="3"/>
      <c r="AL157" s="3"/>
      <c r="AM157" s="3"/>
      <c r="AN157" s="3"/>
      <c r="AO157" s="3"/>
      <c r="AP157" s="3"/>
      <c r="AQ157" s="3"/>
      <c r="AR157" s="3"/>
      <c r="AS157" s="3"/>
      <c r="AT157" s="3"/>
      <c r="AU157" s="3"/>
      <c r="AV157" s="3"/>
      <c r="AW157" s="3"/>
      <c r="AX157" s="3"/>
      <c r="AY157" s="3"/>
      <c r="AZ157" s="3"/>
      <c r="BA157" s="3"/>
      <c r="BB157" s="3"/>
      <c r="BC157" s="3"/>
      <c r="BD157" s="3"/>
      <c r="BE157" s="3">
        <v>2</v>
      </c>
      <c r="BF157" s="3"/>
      <c r="BG157" s="3"/>
      <c r="BH157" s="3"/>
      <c r="BI157" s="3"/>
      <c r="BJ157" s="3"/>
      <c r="BK157" s="3"/>
      <c r="BL157" s="3"/>
      <c r="BM157" s="3"/>
      <c r="BN157" s="3"/>
      <c r="BO157" s="3"/>
      <c r="BP157" s="3"/>
      <c r="BQ157" s="3"/>
      <c r="BR157" s="3"/>
      <c r="BS157" s="3"/>
      <c r="BT157" s="3"/>
      <c r="BU157" s="3"/>
      <c r="BV157" s="3"/>
      <c r="BW157" s="3"/>
      <c r="BX157" s="3">
        <f t="shared" si="9"/>
        <v>2</v>
      </c>
      <c r="BY157" s="6"/>
    </row>
    <row r="158" spans="3:77" ht="21.95" customHeight="1" x14ac:dyDescent="0.25">
      <c r="C158" s="3"/>
      <c r="D158" s="3" t="s">
        <v>186</v>
      </c>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5"/>
      <c r="AK158" s="3"/>
      <c r="AL158" s="3"/>
      <c r="AM158" s="3"/>
      <c r="AN158" s="3"/>
      <c r="AO158" s="3"/>
      <c r="AP158" s="3"/>
      <c r="AQ158" s="3"/>
      <c r="AR158" s="3"/>
      <c r="AS158" s="3"/>
      <c r="AT158" s="3"/>
      <c r="AU158" s="3"/>
      <c r="AV158" s="3"/>
      <c r="AW158" s="3"/>
      <c r="AX158" s="3"/>
      <c r="AY158" s="3"/>
      <c r="AZ158" s="3"/>
      <c r="BA158" s="3"/>
      <c r="BB158" s="3"/>
      <c r="BC158" s="3"/>
      <c r="BD158" s="3"/>
      <c r="BE158" s="3">
        <v>2</v>
      </c>
      <c r="BF158" s="3"/>
      <c r="BG158" s="3"/>
      <c r="BH158" s="3"/>
      <c r="BI158" s="3"/>
      <c r="BJ158" s="3"/>
      <c r="BK158" s="3"/>
      <c r="BL158" s="3"/>
      <c r="BM158" s="3"/>
      <c r="BN158" s="3"/>
      <c r="BO158" s="3"/>
      <c r="BP158" s="3"/>
      <c r="BQ158" s="3"/>
      <c r="BR158" s="3"/>
      <c r="BS158" s="3"/>
      <c r="BT158" s="3"/>
      <c r="BU158" s="3"/>
      <c r="BV158" s="3"/>
      <c r="BW158" s="3"/>
      <c r="BX158" s="3">
        <f t="shared" si="9"/>
        <v>2</v>
      </c>
      <c r="BY158" s="6"/>
    </row>
    <row r="159" spans="3:77" ht="21.95" customHeight="1" x14ac:dyDescent="0.25">
      <c r="C159" s="3"/>
      <c r="D159" s="3" t="s">
        <v>187</v>
      </c>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5"/>
      <c r="AK159" s="3"/>
      <c r="AL159" s="3"/>
      <c r="AM159" s="3"/>
      <c r="AN159" s="3"/>
      <c r="AO159" s="3"/>
      <c r="AP159" s="3"/>
      <c r="AQ159" s="3"/>
      <c r="AR159" s="3"/>
      <c r="AS159" s="3"/>
      <c r="AT159" s="3"/>
      <c r="AU159" s="3"/>
      <c r="AV159" s="3"/>
      <c r="AW159" s="3"/>
      <c r="AX159" s="3"/>
      <c r="AY159" s="3"/>
      <c r="AZ159" s="3"/>
      <c r="BA159" s="3"/>
      <c r="BB159" s="3"/>
      <c r="BC159" s="3"/>
      <c r="BD159" s="3"/>
      <c r="BE159" s="3">
        <v>1</v>
      </c>
      <c r="BF159" s="3"/>
      <c r="BG159" s="3"/>
      <c r="BH159" s="3"/>
      <c r="BI159" s="3"/>
      <c r="BJ159" s="3"/>
      <c r="BK159" s="3"/>
      <c r="BL159" s="3"/>
      <c r="BM159" s="3"/>
      <c r="BN159" s="3"/>
      <c r="BO159" s="3"/>
      <c r="BP159" s="3"/>
      <c r="BQ159" s="3"/>
      <c r="BR159" s="3"/>
      <c r="BS159" s="3"/>
      <c r="BT159" s="3"/>
      <c r="BU159" s="3"/>
      <c r="BV159" s="3"/>
      <c r="BW159" s="3"/>
      <c r="BX159" s="3">
        <f t="shared" si="9"/>
        <v>1</v>
      </c>
      <c r="BY159" s="6"/>
    </row>
    <row r="160" spans="3:77" ht="21.95" customHeight="1" x14ac:dyDescent="0.25">
      <c r="C160" s="3"/>
      <c r="D160" s="3" t="s">
        <v>188</v>
      </c>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5"/>
      <c r="AK160" s="3"/>
      <c r="AL160" s="3"/>
      <c r="AM160" s="3"/>
      <c r="AN160" s="3"/>
      <c r="AO160" s="3"/>
      <c r="AP160" s="3"/>
      <c r="AQ160" s="3"/>
      <c r="AR160" s="3"/>
      <c r="AS160" s="3"/>
      <c r="AT160" s="3"/>
      <c r="AU160" s="3"/>
      <c r="AV160" s="3"/>
      <c r="AW160" s="3"/>
      <c r="AX160" s="3"/>
      <c r="AY160" s="3"/>
      <c r="AZ160" s="3"/>
      <c r="BA160" s="3"/>
      <c r="BB160" s="3"/>
      <c r="BC160" s="3"/>
      <c r="BD160" s="3"/>
      <c r="BE160" s="3">
        <v>1</v>
      </c>
      <c r="BF160" s="3"/>
      <c r="BG160" s="3"/>
      <c r="BH160" s="3"/>
      <c r="BI160" s="3"/>
      <c r="BJ160" s="3"/>
      <c r="BK160" s="3"/>
      <c r="BL160" s="3"/>
      <c r="BM160" s="3"/>
      <c r="BN160" s="3"/>
      <c r="BO160" s="3"/>
      <c r="BP160" s="3"/>
      <c r="BQ160" s="3"/>
      <c r="BR160" s="3"/>
      <c r="BS160" s="3"/>
      <c r="BT160" s="3"/>
      <c r="BU160" s="3"/>
      <c r="BV160" s="3"/>
      <c r="BW160" s="3"/>
      <c r="BX160" s="3">
        <f t="shared" si="9"/>
        <v>1</v>
      </c>
      <c r="BY160" s="6"/>
    </row>
    <row r="161" spans="3:77" ht="21.95" customHeight="1" x14ac:dyDescent="0.25">
      <c r="C161" s="3"/>
      <c r="D161" s="3" t="s">
        <v>189</v>
      </c>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5"/>
      <c r="AK161" s="3"/>
      <c r="AL161" s="3"/>
      <c r="AM161" s="3"/>
      <c r="AN161" s="3"/>
      <c r="AO161" s="3"/>
      <c r="AP161" s="3"/>
      <c r="AQ161" s="3"/>
      <c r="AR161" s="3"/>
      <c r="AS161" s="3"/>
      <c r="AT161" s="3"/>
      <c r="AU161" s="3"/>
      <c r="AV161" s="3"/>
      <c r="AW161" s="3"/>
      <c r="AX161" s="3"/>
      <c r="AY161" s="3"/>
      <c r="AZ161" s="3"/>
      <c r="BA161" s="3"/>
      <c r="BB161" s="3"/>
      <c r="BC161" s="3"/>
      <c r="BD161" s="3"/>
      <c r="BE161" s="3">
        <v>1</v>
      </c>
      <c r="BF161" s="3"/>
      <c r="BG161" s="3"/>
      <c r="BH161" s="3"/>
      <c r="BI161" s="3"/>
      <c r="BJ161" s="3"/>
      <c r="BK161" s="3"/>
      <c r="BL161" s="3"/>
      <c r="BM161" s="3"/>
      <c r="BN161" s="3"/>
      <c r="BO161" s="3"/>
      <c r="BP161" s="3"/>
      <c r="BQ161" s="3"/>
      <c r="BR161" s="3"/>
      <c r="BS161" s="3"/>
      <c r="BT161" s="3"/>
      <c r="BU161" s="3"/>
      <c r="BV161" s="3"/>
      <c r="BW161" s="3"/>
      <c r="BX161" s="3">
        <f t="shared" si="9"/>
        <v>1</v>
      </c>
      <c r="BY161" s="6"/>
    </row>
    <row r="162" spans="3:77" ht="21.95" customHeight="1" x14ac:dyDescent="0.25">
      <c r="C162" s="3"/>
      <c r="D162" s="3" t="s">
        <v>190</v>
      </c>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5"/>
      <c r="AK162" s="3"/>
      <c r="AL162" s="3"/>
      <c r="AM162" s="3"/>
      <c r="AN162" s="3"/>
      <c r="AO162" s="3"/>
      <c r="AP162" s="3"/>
      <c r="AQ162" s="3"/>
      <c r="AR162" s="3"/>
      <c r="AS162" s="3"/>
      <c r="AT162" s="3"/>
      <c r="AU162" s="3"/>
      <c r="AV162" s="3"/>
      <c r="AW162" s="3"/>
      <c r="AX162" s="3"/>
      <c r="AY162" s="3"/>
      <c r="AZ162" s="3"/>
      <c r="BA162" s="3"/>
      <c r="BB162" s="3"/>
      <c r="BC162" s="3"/>
      <c r="BD162" s="3"/>
      <c r="BE162" s="3">
        <v>1</v>
      </c>
      <c r="BF162" s="3"/>
      <c r="BG162" s="3"/>
      <c r="BH162" s="3"/>
      <c r="BI162" s="3"/>
      <c r="BJ162" s="3"/>
      <c r="BK162" s="3"/>
      <c r="BL162" s="3"/>
      <c r="BM162" s="3"/>
      <c r="BN162" s="3"/>
      <c r="BO162" s="3"/>
      <c r="BP162" s="3"/>
      <c r="BQ162" s="3"/>
      <c r="BR162" s="3"/>
      <c r="BS162" s="3"/>
      <c r="BT162" s="3"/>
      <c r="BU162" s="3"/>
      <c r="BV162" s="3"/>
      <c r="BW162" s="3"/>
      <c r="BX162" s="3">
        <f t="shared" si="9"/>
        <v>1</v>
      </c>
      <c r="BY162" s="6"/>
    </row>
    <row r="163" spans="3:77" ht="21.95" customHeight="1" x14ac:dyDescent="0.25">
      <c r="C163" s="3"/>
      <c r="D163" s="3" t="s">
        <v>191</v>
      </c>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5"/>
      <c r="AK163" s="3"/>
      <c r="AL163" s="3"/>
      <c r="AM163" s="3"/>
      <c r="AN163" s="3"/>
      <c r="AO163" s="3"/>
      <c r="AP163" s="3"/>
      <c r="AQ163" s="3"/>
      <c r="AR163" s="3"/>
      <c r="AS163" s="3"/>
      <c r="AT163" s="3"/>
      <c r="AU163" s="3"/>
      <c r="AV163" s="3"/>
      <c r="AW163" s="3"/>
      <c r="AX163" s="3"/>
      <c r="AY163" s="3"/>
      <c r="AZ163" s="3"/>
      <c r="BA163" s="3"/>
      <c r="BB163" s="3"/>
      <c r="BC163" s="3"/>
      <c r="BD163" s="3"/>
      <c r="BE163" s="3">
        <v>1</v>
      </c>
      <c r="BF163" s="3"/>
      <c r="BG163" s="3"/>
      <c r="BH163" s="3"/>
      <c r="BI163" s="3"/>
      <c r="BJ163" s="3"/>
      <c r="BK163" s="3"/>
      <c r="BL163" s="3"/>
      <c r="BM163" s="3"/>
      <c r="BN163" s="3"/>
      <c r="BO163" s="3"/>
      <c r="BP163" s="3"/>
      <c r="BQ163" s="3"/>
      <c r="BR163" s="3"/>
      <c r="BS163" s="3"/>
      <c r="BT163" s="3"/>
      <c r="BU163" s="3"/>
      <c r="BV163" s="3"/>
      <c r="BW163" s="3"/>
      <c r="BX163" s="3">
        <f t="shared" si="9"/>
        <v>1</v>
      </c>
      <c r="BY163" s="6"/>
    </row>
    <row r="164" spans="3:77" ht="21.95" customHeight="1" x14ac:dyDescent="0.25">
      <c r="C164" s="3"/>
      <c r="D164" s="3" t="s">
        <v>192</v>
      </c>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5"/>
      <c r="AK164" s="3"/>
      <c r="AL164" s="3"/>
      <c r="AM164" s="3"/>
      <c r="AN164" s="3"/>
      <c r="AO164" s="3"/>
      <c r="AP164" s="3"/>
      <c r="AQ164" s="3"/>
      <c r="AR164" s="3"/>
      <c r="AS164" s="3"/>
      <c r="AT164" s="3"/>
      <c r="AU164" s="3"/>
      <c r="AV164" s="3"/>
      <c r="AW164" s="3"/>
      <c r="AX164" s="3"/>
      <c r="AY164" s="3"/>
      <c r="AZ164" s="3"/>
      <c r="BA164" s="3"/>
      <c r="BB164" s="3"/>
      <c r="BC164" s="3"/>
      <c r="BD164" s="3"/>
      <c r="BE164" s="3">
        <v>1</v>
      </c>
      <c r="BF164" s="3"/>
      <c r="BG164" s="3"/>
      <c r="BH164" s="3"/>
      <c r="BI164" s="3"/>
      <c r="BJ164" s="3"/>
      <c r="BK164" s="3"/>
      <c r="BL164" s="3"/>
      <c r="BM164" s="3"/>
      <c r="BN164" s="3"/>
      <c r="BO164" s="3"/>
      <c r="BP164" s="3"/>
      <c r="BQ164" s="3"/>
      <c r="BR164" s="3"/>
      <c r="BS164" s="3"/>
      <c r="BT164" s="3"/>
      <c r="BU164" s="3"/>
      <c r="BV164" s="3"/>
      <c r="BW164" s="3"/>
      <c r="BX164" s="3">
        <f t="shared" si="9"/>
        <v>1</v>
      </c>
      <c r="BY164" s="6"/>
    </row>
    <row r="165" spans="3:77" ht="21.95" customHeight="1" x14ac:dyDescent="0.25">
      <c r="C165" s="3"/>
      <c r="D165" s="3" t="s">
        <v>193</v>
      </c>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5"/>
      <c r="AK165" s="3"/>
      <c r="AL165" s="3"/>
      <c r="AM165" s="3"/>
      <c r="AN165" s="3"/>
      <c r="AO165" s="3"/>
      <c r="AP165" s="3"/>
      <c r="AQ165" s="3"/>
      <c r="AR165" s="3"/>
      <c r="AS165" s="3"/>
      <c r="AT165" s="3"/>
      <c r="AU165" s="3"/>
      <c r="AV165" s="3"/>
      <c r="AW165" s="3"/>
      <c r="AX165" s="3"/>
      <c r="AY165" s="3"/>
      <c r="AZ165" s="3"/>
      <c r="BA165" s="3"/>
      <c r="BB165" s="3"/>
      <c r="BC165" s="3"/>
      <c r="BD165" s="3"/>
      <c r="BE165" s="3">
        <v>1</v>
      </c>
      <c r="BF165" s="3"/>
      <c r="BG165" s="3"/>
      <c r="BH165" s="3"/>
      <c r="BI165" s="3"/>
      <c r="BJ165" s="3"/>
      <c r="BK165" s="3"/>
      <c r="BL165" s="3"/>
      <c r="BM165" s="3"/>
      <c r="BN165" s="3"/>
      <c r="BO165" s="3"/>
      <c r="BP165" s="3"/>
      <c r="BQ165" s="3"/>
      <c r="BR165" s="3"/>
      <c r="BS165" s="3"/>
      <c r="BT165" s="3"/>
      <c r="BU165" s="3"/>
      <c r="BV165" s="3"/>
      <c r="BW165" s="3"/>
      <c r="BX165" s="3">
        <f t="shared" si="9"/>
        <v>1</v>
      </c>
      <c r="BY165" s="6"/>
    </row>
    <row r="166" spans="3:77" ht="21.95" customHeight="1" x14ac:dyDescent="0.25">
      <c r="C166" s="3"/>
      <c r="D166" s="3" t="s">
        <v>194</v>
      </c>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5"/>
      <c r="AK166" s="3"/>
      <c r="AL166" s="3"/>
      <c r="AM166" s="3"/>
      <c r="AN166" s="3"/>
      <c r="AO166" s="3"/>
      <c r="AP166" s="3"/>
      <c r="AQ166" s="3"/>
      <c r="AR166" s="3"/>
      <c r="AS166" s="3"/>
      <c r="AT166" s="3"/>
      <c r="AU166" s="3"/>
      <c r="AV166" s="3"/>
      <c r="AW166" s="3"/>
      <c r="AX166" s="3"/>
      <c r="AY166" s="3"/>
      <c r="AZ166" s="3"/>
      <c r="BA166" s="3"/>
      <c r="BB166" s="3"/>
      <c r="BC166" s="3"/>
      <c r="BD166" s="3"/>
      <c r="BE166" s="3">
        <v>1</v>
      </c>
      <c r="BF166" s="3"/>
      <c r="BG166" s="3"/>
      <c r="BH166" s="3"/>
      <c r="BI166" s="3"/>
      <c r="BJ166" s="3"/>
      <c r="BK166" s="3"/>
      <c r="BL166" s="3"/>
      <c r="BM166" s="3"/>
      <c r="BN166" s="3"/>
      <c r="BO166" s="3"/>
      <c r="BP166" s="3"/>
      <c r="BQ166" s="3"/>
      <c r="BR166" s="3"/>
      <c r="BS166" s="3"/>
      <c r="BT166" s="3"/>
      <c r="BU166" s="3"/>
      <c r="BV166" s="3"/>
      <c r="BW166" s="3"/>
      <c r="BX166" s="3">
        <f t="shared" si="9"/>
        <v>1</v>
      </c>
      <c r="BY166" s="6" t="s">
        <v>207</v>
      </c>
    </row>
    <row r="167" spans="3:77" ht="21.95" customHeight="1" x14ac:dyDescent="0.25">
      <c r="C167" s="3"/>
      <c r="D167" s="3" t="s">
        <v>195</v>
      </c>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5"/>
      <c r="AK167" s="3"/>
      <c r="AL167" s="3"/>
      <c r="AM167" s="3"/>
      <c r="AN167" s="3"/>
      <c r="AO167" s="3"/>
      <c r="AP167" s="3"/>
      <c r="AQ167" s="3"/>
      <c r="AR167" s="3"/>
      <c r="AS167" s="3"/>
      <c r="AT167" s="3"/>
      <c r="AU167" s="3"/>
      <c r="AV167" s="3"/>
      <c r="AW167" s="3"/>
      <c r="AX167" s="3"/>
      <c r="AY167" s="3"/>
      <c r="AZ167" s="3"/>
      <c r="BA167" s="3"/>
      <c r="BB167" s="3"/>
      <c r="BC167" s="3"/>
      <c r="BD167" s="3"/>
      <c r="BE167" s="3">
        <v>1</v>
      </c>
      <c r="BF167" s="3"/>
      <c r="BG167" s="3"/>
      <c r="BH167" s="3"/>
      <c r="BI167" s="3"/>
      <c r="BJ167" s="3"/>
      <c r="BK167" s="3"/>
      <c r="BL167" s="3"/>
      <c r="BM167" s="3"/>
      <c r="BN167" s="3"/>
      <c r="BO167" s="3"/>
      <c r="BP167" s="3"/>
      <c r="BQ167" s="3"/>
      <c r="BR167" s="3"/>
      <c r="BS167" s="3"/>
      <c r="BT167" s="3"/>
      <c r="BU167" s="3"/>
      <c r="BV167" s="3"/>
      <c r="BW167" s="3"/>
      <c r="BX167" s="3">
        <f t="shared" si="9"/>
        <v>1</v>
      </c>
      <c r="BY167" s="6" t="s">
        <v>207</v>
      </c>
    </row>
    <row r="168" spans="3:77" ht="21.95" customHeight="1" x14ac:dyDescent="0.25">
      <c r="C168" s="3"/>
      <c r="D168" s="3" t="s">
        <v>196</v>
      </c>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5"/>
      <c r="AK168" s="3"/>
      <c r="AL168" s="3"/>
      <c r="AM168" s="3"/>
      <c r="AN168" s="3"/>
      <c r="AO168" s="3"/>
      <c r="AP168" s="3"/>
      <c r="AQ168" s="3"/>
      <c r="AR168" s="3"/>
      <c r="AS168" s="3"/>
      <c r="AT168" s="3"/>
      <c r="AU168" s="3"/>
      <c r="AV168" s="3"/>
      <c r="AW168" s="3"/>
      <c r="AX168" s="3"/>
      <c r="AY168" s="3"/>
      <c r="AZ168" s="3"/>
      <c r="BA168" s="3"/>
      <c r="BB168" s="3"/>
      <c r="BC168" s="3"/>
      <c r="BD168" s="3"/>
      <c r="BE168" s="3">
        <v>1</v>
      </c>
      <c r="BF168" s="3"/>
      <c r="BG168" s="3"/>
      <c r="BH168" s="3"/>
      <c r="BI168" s="3"/>
      <c r="BJ168" s="3"/>
      <c r="BK168" s="3"/>
      <c r="BL168" s="3"/>
      <c r="BM168" s="3"/>
      <c r="BN168" s="3"/>
      <c r="BO168" s="3"/>
      <c r="BP168" s="3"/>
      <c r="BQ168" s="3"/>
      <c r="BR168" s="3"/>
      <c r="BS168" s="3"/>
      <c r="BT168" s="3"/>
      <c r="BU168" s="3"/>
      <c r="BV168" s="3"/>
      <c r="BW168" s="3"/>
      <c r="BX168" s="3">
        <f t="shared" si="9"/>
        <v>1</v>
      </c>
      <c r="BY168" s="6"/>
    </row>
    <row r="169" spans="3:77" ht="21.95" customHeight="1" x14ac:dyDescent="0.25">
      <c r="C169" s="3"/>
      <c r="D169" s="3" t="s">
        <v>197</v>
      </c>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5"/>
      <c r="AK169" s="3"/>
      <c r="AL169" s="3"/>
      <c r="AM169" s="3"/>
      <c r="AN169" s="3"/>
      <c r="AO169" s="3"/>
      <c r="AP169" s="3"/>
      <c r="AQ169" s="3"/>
      <c r="AR169" s="3"/>
      <c r="AS169" s="3"/>
      <c r="AT169" s="3"/>
      <c r="AU169" s="3"/>
      <c r="AV169" s="3"/>
      <c r="AW169" s="3"/>
      <c r="AX169" s="3"/>
      <c r="AY169" s="3"/>
      <c r="AZ169" s="3"/>
      <c r="BA169" s="3"/>
      <c r="BB169" s="3"/>
      <c r="BC169" s="3"/>
      <c r="BD169" s="3"/>
      <c r="BE169" s="3">
        <v>1</v>
      </c>
      <c r="BF169" s="3"/>
      <c r="BG169" s="3"/>
      <c r="BH169" s="3"/>
      <c r="BI169" s="3"/>
      <c r="BJ169" s="3"/>
      <c r="BK169" s="3"/>
      <c r="BL169" s="3"/>
      <c r="BM169" s="3"/>
      <c r="BN169" s="3"/>
      <c r="BO169" s="3"/>
      <c r="BP169" s="3"/>
      <c r="BQ169" s="3"/>
      <c r="BR169" s="3"/>
      <c r="BS169" s="3"/>
      <c r="BT169" s="3"/>
      <c r="BU169" s="3"/>
      <c r="BV169" s="3"/>
      <c r="BW169" s="3"/>
      <c r="BX169" s="3">
        <f t="shared" si="9"/>
        <v>1</v>
      </c>
      <c r="BY169" s="6" t="s">
        <v>207</v>
      </c>
    </row>
    <row r="170" spans="3:77" ht="21.95" customHeight="1" x14ac:dyDescent="0.25">
      <c r="C170" s="3"/>
      <c r="D170" s="3" t="s">
        <v>198</v>
      </c>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5"/>
      <c r="AK170" s="3"/>
      <c r="AL170" s="3"/>
      <c r="AM170" s="3"/>
      <c r="AN170" s="3"/>
      <c r="AO170" s="3"/>
      <c r="AP170" s="3"/>
      <c r="AQ170" s="3"/>
      <c r="AR170" s="3"/>
      <c r="AS170" s="3"/>
      <c r="AT170" s="3"/>
      <c r="AU170" s="3"/>
      <c r="AV170" s="3"/>
      <c r="AW170" s="3"/>
      <c r="AX170" s="3"/>
      <c r="AY170" s="3"/>
      <c r="AZ170" s="3"/>
      <c r="BA170" s="3"/>
      <c r="BB170" s="3"/>
      <c r="BC170" s="3"/>
      <c r="BD170" s="3"/>
      <c r="BE170" s="3">
        <v>1</v>
      </c>
      <c r="BF170" s="3"/>
      <c r="BG170" s="3"/>
      <c r="BH170" s="3"/>
      <c r="BI170" s="3"/>
      <c r="BJ170" s="3"/>
      <c r="BK170" s="3"/>
      <c r="BL170" s="3"/>
      <c r="BM170" s="3"/>
      <c r="BN170" s="3"/>
      <c r="BO170" s="3"/>
      <c r="BP170" s="3"/>
      <c r="BQ170" s="3"/>
      <c r="BR170" s="3"/>
      <c r="BS170" s="3"/>
      <c r="BT170" s="3"/>
      <c r="BU170" s="3"/>
      <c r="BV170" s="3"/>
      <c r="BW170" s="3"/>
      <c r="BX170" s="3">
        <f t="shared" si="9"/>
        <v>1</v>
      </c>
      <c r="BY170" s="6"/>
    </row>
    <row r="171" spans="3:77" ht="21.95" customHeight="1" x14ac:dyDescent="0.25">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5"/>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6"/>
    </row>
    <row r="172" spans="3:77" ht="21.95" customHeight="1" x14ac:dyDescent="0.25">
      <c r="C172" s="3" t="s">
        <v>39</v>
      </c>
      <c r="D172" s="3" t="s">
        <v>159</v>
      </c>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5"/>
      <c r="AK172" s="3"/>
      <c r="AL172" s="3"/>
      <c r="AM172" s="3"/>
      <c r="AN172" s="3"/>
      <c r="AO172" s="3"/>
      <c r="AP172" s="3"/>
      <c r="AQ172" s="3"/>
      <c r="AR172" s="3"/>
      <c r="AS172" s="3"/>
      <c r="AT172" s="3"/>
      <c r="AU172" s="3"/>
      <c r="AV172" s="3"/>
      <c r="AW172" s="3"/>
      <c r="AX172" s="3"/>
      <c r="AY172" s="3"/>
      <c r="AZ172" s="3"/>
      <c r="BA172" s="3"/>
      <c r="BB172" s="3"/>
      <c r="BC172" s="3"/>
      <c r="BD172" s="3"/>
      <c r="BE172" s="3"/>
      <c r="BF172" s="3">
        <v>1</v>
      </c>
      <c r="BG172" s="3"/>
      <c r="BH172" s="3"/>
      <c r="BI172" s="3"/>
      <c r="BJ172" s="3"/>
      <c r="BK172" s="3"/>
      <c r="BL172" s="3"/>
      <c r="BM172" s="3"/>
      <c r="BN172" s="3"/>
      <c r="BO172" s="3"/>
      <c r="BP172" s="3"/>
      <c r="BQ172" s="3"/>
      <c r="BR172" s="3"/>
      <c r="BS172" s="3"/>
      <c r="BT172" s="3"/>
      <c r="BU172" s="3"/>
      <c r="BV172" s="3"/>
      <c r="BW172" s="3"/>
      <c r="BX172" s="3">
        <f>SUM(E172:BW172)</f>
        <v>1</v>
      </c>
      <c r="BY172" s="6"/>
    </row>
    <row r="173" spans="3:77" ht="21.95" customHeight="1" x14ac:dyDescent="0.25">
      <c r="C173" s="3"/>
      <c r="D173" s="3" t="s">
        <v>160</v>
      </c>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5"/>
      <c r="AK173" s="3"/>
      <c r="AL173" s="3"/>
      <c r="AM173" s="3"/>
      <c r="AN173" s="3"/>
      <c r="AO173" s="3"/>
      <c r="AP173" s="3"/>
      <c r="AQ173" s="3"/>
      <c r="AR173" s="3"/>
      <c r="AS173" s="3"/>
      <c r="AT173" s="3"/>
      <c r="AU173" s="3"/>
      <c r="AV173" s="3"/>
      <c r="AW173" s="3"/>
      <c r="AX173" s="3"/>
      <c r="AY173" s="3"/>
      <c r="AZ173" s="3"/>
      <c r="BA173" s="3"/>
      <c r="BB173" s="3"/>
      <c r="BC173" s="3"/>
      <c r="BD173" s="3"/>
      <c r="BE173" s="3"/>
      <c r="BF173" s="3">
        <v>1</v>
      </c>
      <c r="BG173" s="3"/>
      <c r="BH173" s="3"/>
      <c r="BI173" s="3"/>
      <c r="BJ173" s="3"/>
      <c r="BK173" s="3"/>
      <c r="BL173" s="3"/>
      <c r="BM173" s="3"/>
      <c r="BN173" s="3"/>
      <c r="BO173" s="3"/>
      <c r="BP173" s="3"/>
      <c r="BQ173" s="3"/>
      <c r="BR173" s="3"/>
      <c r="BS173" s="3"/>
      <c r="BT173" s="3"/>
      <c r="BU173" s="3"/>
      <c r="BV173" s="3"/>
      <c r="BW173" s="3"/>
      <c r="BX173" s="3">
        <f t="shared" ref="BX173:BX179" si="10">SUM(E173:BW173)</f>
        <v>1</v>
      </c>
      <c r="BY173" s="6"/>
    </row>
    <row r="174" spans="3:77" ht="21.95" customHeight="1" x14ac:dyDescent="0.25">
      <c r="C174" s="3"/>
      <c r="D174" s="3" t="s">
        <v>161</v>
      </c>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5"/>
      <c r="AK174" s="3"/>
      <c r="AL174" s="3"/>
      <c r="AM174" s="3"/>
      <c r="AN174" s="3"/>
      <c r="AO174" s="3"/>
      <c r="AP174" s="3"/>
      <c r="AQ174" s="3"/>
      <c r="AR174" s="3"/>
      <c r="AS174" s="3"/>
      <c r="AT174" s="3"/>
      <c r="AU174" s="3"/>
      <c r="AV174" s="3"/>
      <c r="AW174" s="3"/>
      <c r="AX174" s="3"/>
      <c r="AY174" s="3"/>
      <c r="AZ174" s="3"/>
      <c r="BA174" s="3"/>
      <c r="BB174" s="3"/>
      <c r="BC174" s="3"/>
      <c r="BD174" s="3"/>
      <c r="BE174" s="3"/>
      <c r="BF174" s="3">
        <v>1</v>
      </c>
      <c r="BG174" s="3"/>
      <c r="BH174" s="3"/>
      <c r="BI174" s="3"/>
      <c r="BJ174" s="3"/>
      <c r="BK174" s="3"/>
      <c r="BL174" s="3"/>
      <c r="BM174" s="3"/>
      <c r="BN174" s="3"/>
      <c r="BO174" s="3"/>
      <c r="BP174" s="3"/>
      <c r="BQ174" s="3"/>
      <c r="BR174" s="3"/>
      <c r="BS174" s="3"/>
      <c r="BT174" s="3"/>
      <c r="BU174" s="3"/>
      <c r="BV174" s="3"/>
      <c r="BW174" s="3"/>
      <c r="BX174" s="3">
        <f t="shared" si="10"/>
        <v>1</v>
      </c>
      <c r="BY174" s="6"/>
    </row>
    <row r="175" spans="3:77" ht="21.95" customHeight="1" x14ac:dyDescent="0.25">
      <c r="C175" s="3"/>
      <c r="D175" s="3" t="s">
        <v>163</v>
      </c>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5"/>
      <c r="AK175" s="3"/>
      <c r="AL175" s="3"/>
      <c r="AM175" s="3"/>
      <c r="AN175" s="3"/>
      <c r="AO175" s="3"/>
      <c r="AP175" s="3"/>
      <c r="AQ175" s="3"/>
      <c r="AR175" s="3"/>
      <c r="AS175" s="3"/>
      <c r="AT175" s="3"/>
      <c r="AU175" s="3"/>
      <c r="AV175" s="3"/>
      <c r="AW175" s="3"/>
      <c r="AX175" s="3"/>
      <c r="AY175" s="3"/>
      <c r="AZ175" s="3"/>
      <c r="BA175" s="3"/>
      <c r="BB175" s="3"/>
      <c r="BC175" s="3"/>
      <c r="BD175" s="3"/>
      <c r="BE175" s="3"/>
      <c r="BF175" s="3">
        <v>1</v>
      </c>
      <c r="BG175" s="3"/>
      <c r="BH175" s="3"/>
      <c r="BI175" s="3"/>
      <c r="BJ175" s="3"/>
      <c r="BK175" s="3"/>
      <c r="BL175" s="3"/>
      <c r="BM175" s="3"/>
      <c r="BN175" s="3"/>
      <c r="BO175" s="3"/>
      <c r="BP175" s="3"/>
      <c r="BQ175" s="3"/>
      <c r="BR175" s="3"/>
      <c r="BS175" s="3"/>
      <c r="BT175" s="3"/>
      <c r="BU175" s="3"/>
      <c r="BV175" s="3"/>
      <c r="BW175" s="3"/>
      <c r="BX175" s="3">
        <f t="shared" si="10"/>
        <v>1</v>
      </c>
      <c r="BY175" s="6" t="s">
        <v>207</v>
      </c>
    </row>
    <row r="176" spans="3:77" ht="21.95" customHeight="1" x14ac:dyDescent="0.25">
      <c r="C176" s="3"/>
      <c r="D176" s="3" t="s">
        <v>74</v>
      </c>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5"/>
      <c r="AK176" s="3"/>
      <c r="AL176" s="3"/>
      <c r="AM176" s="3"/>
      <c r="AN176" s="3"/>
      <c r="AO176" s="3"/>
      <c r="AP176" s="3"/>
      <c r="AQ176" s="3"/>
      <c r="AR176" s="3"/>
      <c r="AS176" s="3"/>
      <c r="AT176" s="3"/>
      <c r="AU176" s="3"/>
      <c r="AV176" s="3"/>
      <c r="AW176" s="3"/>
      <c r="AX176" s="3"/>
      <c r="AY176" s="3"/>
      <c r="AZ176" s="3"/>
      <c r="BA176" s="3"/>
      <c r="BB176" s="3"/>
      <c r="BC176" s="3"/>
      <c r="BD176" s="3"/>
      <c r="BE176" s="3"/>
      <c r="BF176" s="3">
        <v>1</v>
      </c>
      <c r="BG176" s="3"/>
      <c r="BH176" s="3"/>
      <c r="BI176" s="3"/>
      <c r="BJ176" s="3"/>
      <c r="BK176" s="3"/>
      <c r="BL176" s="3"/>
      <c r="BM176" s="3"/>
      <c r="BN176" s="3"/>
      <c r="BO176" s="3"/>
      <c r="BP176" s="3"/>
      <c r="BQ176" s="3"/>
      <c r="BR176" s="3"/>
      <c r="BS176" s="3"/>
      <c r="BT176" s="3"/>
      <c r="BU176" s="3"/>
      <c r="BV176" s="3"/>
      <c r="BW176" s="3"/>
      <c r="BX176" s="3">
        <f t="shared" si="10"/>
        <v>1</v>
      </c>
      <c r="BY176" s="6" t="s">
        <v>207</v>
      </c>
    </row>
    <row r="177" spans="3:77" ht="21.95" customHeight="1" x14ac:dyDescent="0.25">
      <c r="C177" s="3"/>
      <c r="D177" s="3" t="s">
        <v>175</v>
      </c>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5"/>
      <c r="AK177" s="3"/>
      <c r="AL177" s="3"/>
      <c r="AM177" s="3"/>
      <c r="AN177" s="3"/>
      <c r="AO177" s="3"/>
      <c r="AP177" s="3"/>
      <c r="AQ177" s="3"/>
      <c r="AR177" s="3"/>
      <c r="AS177" s="3"/>
      <c r="AT177" s="3"/>
      <c r="AU177" s="3"/>
      <c r="AV177" s="3"/>
      <c r="AW177" s="3"/>
      <c r="AX177" s="3"/>
      <c r="AY177" s="3"/>
      <c r="AZ177" s="3"/>
      <c r="BA177" s="3"/>
      <c r="BB177" s="3"/>
      <c r="BC177" s="3"/>
      <c r="BD177" s="3"/>
      <c r="BE177" s="3"/>
      <c r="BF177" s="3">
        <v>1</v>
      </c>
      <c r="BG177" s="3"/>
      <c r="BH177" s="3"/>
      <c r="BI177" s="3"/>
      <c r="BJ177" s="3"/>
      <c r="BK177" s="3"/>
      <c r="BL177" s="3"/>
      <c r="BM177" s="3"/>
      <c r="BN177" s="3"/>
      <c r="BO177" s="3"/>
      <c r="BP177" s="3"/>
      <c r="BQ177" s="3"/>
      <c r="BR177" s="3"/>
      <c r="BS177" s="3"/>
      <c r="BT177" s="3"/>
      <c r="BU177" s="3"/>
      <c r="BV177" s="3"/>
      <c r="BW177" s="3"/>
      <c r="BX177" s="3">
        <f t="shared" si="10"/>
        <v>1</v>
      </c>
      <c r="BY177" s="6" t="s">
        <v>207</v>
      </c>
    </row>
    <row r="178" spans="3:77" ht="21.95" customHeight="1" x14ac:dyDescent="0.25">
      <c r="C178" s="3"/>
      <c r="D178" s="3" t="s">
        <v>165</v>
      </c>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5"/>
      <c r="AK178" s="3"/>
      <c r="AL178" s="3"/>
      <c r="AM178" s="3"/>
      <c r="AN178" s="3"/>
      <c r="AO178" s="3"/>
      <c r="AP178" s="3"/>
      <c r="AQ178" s="3"/>
      <c r="AR178" s="3"/>
      <c r="AS178" s="3"/>
      <c r="AT178" s="3"/>
      <c r="AU178" s="3"/>
      <c r="AV178" s="3"/>
      <c r="AW178" s="3"/>
      <c r="AX178" s="3"/>
      <c r="AY178" s="3"/>
      <c r="AZ178" s="3"/>
      <c r="BA178" s="3"/>
      <c r="BB178" s="3"/>
      <c r="BC178" s="3"/>
      <c r="BD178" s="3"/>
      <c r="BE178" s="3"/>
      <c r="BF178" s="3">
        <v>1</v>
      </c>
      <c r="BG178" s="3"/>
      <c r="BH178" s="3"/>
      <c r="BI178" s="3"/>
      <c r="BJ178" s="3"/>
      <c r="BK178" s="3"/>
      <c r="BL178" s="3"/>
      <c r="BM178" s="3"/>
      <c r="BN178" s="3"/>
      <c r="BO178" s="3"/>
      <c r="BP178" s="3"/>
      <c r="BQ178" s="3"/>
      <c r="BR178" s="3"/>
      <c r="BS178" s="3"/>
      <c r="BT178" s="3"/>
      <c r="BU178" s="3"/>
      <c r="BV178" s="3"/>
      <c r="BW178" s="3"/>
      <c r="BX178" s="3">
        <f t="shared" si="10"/>
        <v>1</v>
      </c>
      <c r="BY178" s="6" t="s">
        <v>207</v>
      </c>
    </row>
    <row r="179" spans="3:77" ht="21.95" customHeight="1" x14ac:dyDescent="0.25">
      <c r="C179" s="3"/>
      <c r="D179" s="3" t="s">
        <v>176</v>
      </c>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5"/>
      <c r="AK179" s="3"/>
      <c r="AL179" s="3"/>
      <c r="AM179" s="3"/>
      <c r="AN179" s="3"/>
      <c r="AO179" s="3"/>
      <c r="AP179" s="3"/>
      <c r="AQ179" s="3"/>
      <c r="AR179" s="3"/>
      <c r="AS179" s="3"/>
      <c r="AT179" s="3"/>
      <c r="AU179" s="3"/>
      <c r="AV179" s="3"/>
      <c r="AW179" s="3"/>
      <c r="AX179" s="3"/>
      <c r="AY179" s="3"/>
      <c r="AZ179" s="3"/>
      <c r="BA179" s="3"/>
      <c r="BB179" s="3"/>
      <c r="BC179" s="3"/>
      <c r="BD179" s="3"/>
      <c r="BE179" s="3"/>
      <c r="BF179" s="3">
        <v>1</v>
      </c>
      <c r="BG179" s="3"/>
      <c r="BH179" s="3"/>
      <c r="BI179" s="3"/>
      <c r="BJ179" s="3"/>
      <c r="BK179" s="3"/>
      <c r="BL179" s="3"/>
      <c r="BM179" s="3"/>
      <c r="BN179" s="3"/>
      <c r="BO179" s="3"/>
      <c r="BP179" s="3"/>
      <c r="BQ179" s="3"/>
      <c r="BR179" s="3"/>
      <c r="BS179" s="3"/>
      <c r="BT179" s="3"/>
      <c r="BU179" s="3"/>
      <c r="BV179" s="3"/>
      <c r="BW179" s="3"/>
      <c r="BX179" s="3">
        <f t="shared" si="10"/>
        <v>1</v>
      </c>
      <c r="BY179" s="6"/>
    </row>
    <row r="180" spans="3:77" ht="21.95" customHeight="1" x14ac:dyDescent="0.25">
      <c r="C180" s="3"/>
      <c r="D180" s="3" t="s">
        <v>177</v>
      </c>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5"/>
      <c r="AK180" s="3"/>
      <c r="AL180" s="3"/>
      <c r="AM180" s="3"/>
      <c r="AN180" s="3"/>
      <c r="AO180" s="3"/>
      <c r="AP180" s="3"/>
      <c r="AQ180" s="3"/>
      <c r="AR180" s="3"/>
      <c r="AS180" s="3"/>
      <c r="AT180" s="3"/>
      <c r="AU180" s="3"/>
      <c r="AV180" s="3"/>
      <c r="AW180" s="3"/>
      <c r="AX180" s="3"/>
      <c r="AY180" s="3"/>
      <c r="AZ180" s="3"/>
      <c r="BA180" s="3"/>
      <c r="BB180" s="3"/>
      <c r="BC180" s="3"/>
      <c r="BD180" s="3"/>
      <c r="BE180" s="3"/>
      <c r="BF180" s="3">
        <v>1</v>
      </c>
      <c r="BG180" s="3"/>
      <c r="BH180" s="3"/>
      <c r="BI180" s="3"/>
      <c r="BJ180" s="3"/>
      <c r="BK180" s="3"/>
      <c r="BL180" s="3"/>
      <c r="BM180" s="3"/>
      <c r="BN180" s="3"/>
      <c r="BO180" s="3"/>
      <c r="BP180" s="3"/>
      <c r="BQ180" s="3"/>
      <c r="BR180" s="3"/>
      <c r="BS180" s="3"/>
      <c r="BT180" s="3"/>
      <c r="BU180" s="3"/>
      <c r="BV180" s="3"/>
      <c r="BW180" s="3"/>
      <c r="BX180" s="3">
        <f t="shared" ref="BX180:BX189" si="11">SUM(E180:BW180)</f>
        <v>1</v>
      </c>
      <c r="BY180" s="6"/>
    </row>
    <row r="181" spans="3:77" ht="21.95" customHeight="1" x14ac:dyDescent="0.25">
      <c r="C181" s="3"/>
      <c r="D181" s="3" t="s">
        <v>162</v>
      </c>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5"/>
      <c r="AK181" s="3"/>
      <c r="AL181" s="3"/>
      <c r="AM181" s="3"/>
      <c r="AN181" s="3"/>
      <c r="AO181" s="3"/>
      <c r="AP181" s="3"/>
      <c r="AQ181" s="3"/>
      <c r="AR181" s="3"/>
      <c r="AS181" s="3"/>
      <c r="AT181" s="3"/>
      <c r="AU181" s="3"/>
      <c r="AV181" s="3"/>
      <c r="AW181" s="3"/>
      <c r="AX181" s="3"/>
      <c r="AY181" s="3"/>
      <c r="AZ181" s="3"/>
      <c r="BA181" s="3"/>
      <c r="BB181" s="3"/>
      <c r="BC181" s="3"/>
      <c r="BD181" s="3"/>
      <c r="BE181" s="3">
        <v>2</v>
      </c>
      <c r="BF181" s="3"/>
      <c r="BG181" s="3"/>
      <c r="BH181" s="3"/>
      <c r="BI181" s="3"/>
      <c r="BJ181" s="3"/>
      <c r="BK181" s="3"/>
      <c r="BL181" s="3"/>
      <c r="BM181" s="3"/>
      <c r="BN181" s="3"/>
      <c r="BO181" s="3"/>
      <c r="BP181" s="3"/>
      <c r="BQ181" s="3"/>
      <c r="BR181" s="3"/>
      <c r="BS181" s="3"/>
      <c r="BT181" s="3"/>
      <c r="BU181" s="3"/>
      <c r="BV181" s="3"/>
      <c r="BW181" s="3"/>
      <c r="BX181" s="3">
        <f t="shared" si="11"/>
        <v>2</v>
      </c>
      <c r="BY181" s="6" t="s">
        <v>207</v>
      </c>
    </row>
    <row r="182" spans="3:77" ht="21.95" customHeight="1" x14ac:dyDescent="0.25">
      <c r="C182" s="3"/>
      <c r="D182" s="3" t="s">
        <v>199</v>
      </c>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5"/>
      <c r="AK182" s="3"/>
      <c r="AL182" s="3"/>
      <c r="AM182" s="3"/>
      <c r="AN182" s="3"/>
      <c r="AO182" s="3"/>
      <c r="AP182" s="3"/>
      <c r="AQ182" s="3"/>
      <c r="AR182" s="3"/>
      <c r="AS182" s="3"/>
      <c r="AT182" s="3"/>
      <c r="AU182" s="3"/>
      <c r="AV182" s="3"/>
      <c r="AW182" s="3"/>
      <c r="AX182" s="3"/>
      <c r="AY182" s="3"/>
      <c r="AZ182" s="3"/>
      <c r="BA182" s="3"/>
      <c r="BB182" s="3"/>
      <c r="BC182" s="3"/>
      <c r="BD182" s="3"/>
      <c r="BE182" s="3">
        <v>1</v>
      </c>
      <c r="BF182" s="3"/>
      <c r="BG182" s="3"/>
      <c r="BH182" s="3"/>
      <c r="BI182" s="3"/>
      <c r="BJ182" s="3"/>
      <c r="BK182" s="3"/>
      <c r="BL182" s="3"/>
      <c r="BM182" s="3"/>
      <c r="BN182" s="3"/>
      <c r="BO182" s="3"/>
      <c r="BP182" s="3"/>
      <c r="BQ182" s="3"/>
      <c r="BR182" s="3"/>
      <c r="BS182" s="3"/>
      <c r="BT182" s="3"/>
      <c r="BU182" s="3"/>
      <c r="BV182" s="3"/>
      <c r="BW182" s="3"/>
      <c r="BX182" s="3">
        <f t="shared" si="11"/>
        <v>1</v>
      </c>
      <c r="BY182" s="6"/>
    </row>
    <row r="183" spans="3:77" ht="21.95" customHeight="1" x14ac:dyDescent="0.25">
      <c r="C183" s="3"/>
      <c r="D183" s="3" t="s">
        <v>209</v>
      </c>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5"/>
      <c r="AK183" s="3"/>
      <c r="AL183" s="3"/>
      <c r="AM183" s="3"/>
      <c r="AN183" s="3"/>
      <c r="AO183" s="3"/>
      <c r="AP183" s="3"/>
      <c r="AQ183" s="3"/>
      <c r="AR183" s="3"/>
      <c r="AS183" s="3"/>
      <c r="AT183" s="3"/>
      <c r="AU183" s="3"/>
      <c r="AV183" s="3"/>
      <c r="AW183" s="3"/>
      <c r="AX183" s="3"/>
      <c r="AY183" s="3"/>
      <c r="AZ183" s="3"/>
      <c r="BA183" s="3"/>
      <c r="BB183" s="3"/>
      <c r="BC183" s="3"/>
      <c r="BD183" s="3"/>
      <c r="BE183" s="3">
        <v>1</v>
      </c>
      <c r="BF183" s="3"/>
      <c r="BG183" s="3"/>
      <c r="BH183" s="3"/>
      <c r="BI183" s="3"/>
      <c r="BJ183" s="3"/>
      <c r="BK183" s="3"/>
      <c r="BL183" s="3"/>
      <c r="BM183" s="3"/>
      <c r="BN183" s="3"/>
      <c r="BO183" s="3"/>
      <c r="BP183" s="3"/>
      <c r="BQ183" s="3"/>
      <c r="BR183" s="3"/>
      <c r="BS183" s="3"/>
      <c r="BT183" s="3"/>
      <c r="BU183" s="3"/>
      <c r="BV183" s="3"/>
      <c r="BW183" s="3"/>
      <c r="BX183" s="3">
        <f t="shared" si="11"/>
        <v>1</v>
      </c>
      <c r="BY183" s="6" t="s">
        <v>207</v>
      </c>
    </row>
    <row r="184" spans="3:77" ht="21.95" customHeight="1" x14ac:dyDescent="0.25">
      <c r="C184" s="3"/>
      <c r="D184" s="3" t="s">
        <v>185</v>
      </c>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5"/>
      <c r="AK184" s="3"/>
      <c r="AL184" s="3"/>
      <c r="AM184" s="3"/>
      <c r="AN184" s="3"/>
      <c r="AO184" s="3"/>
      <c r="AP184" s="3"/>
      <c r="AQ184" s="3"/>
      <c r="AR184" s="3"/>
      <c r="AS184" s="3"/>
      <c r="AT184" s="3"/>
      <c r="AU184" s="3"/>
      <c r="AV184" s="3"/>
      <c r="AW184" s="3"/>
      <c r="AX184" s="3"/>
      <c r="AY184" s="3"/>
      <c r="AZ184" s="3"/>
      <c r="BA184" s="3"/>
      <c r="BB184" s="3"/>
      <c r="BC184" s="3"/>
      <c r="BD184" s="3"/>
      <c r="BE184" s="3">
        <v>2</v>
      </c>
      <c r="BF184" s="3"/>
      <c r="BG184" s="3"/>
      <c r="BH184" s="3"/>
      <c r="BI184" s="3"/>
      <c r="BJ184" s="3"/>
      <c r="BK184" s="3"/>
      <c r="BL184" s="3"/>
      <c r="BM184" s="3"/>
      <c r="BN184" s="3"/>
      <c r="BO184" s="3"/>
      <c r="BP184" s="3"/>
      <c r="BQ184" s="3"/>
      <c r="BR184" s="3"/>
      <c r="BS184" s="3"/>
      <c r="BT184" s="3"/>
      <c r="BU184" s="3"/>
      <c r="BV184" s="3"/>
      <c r="BW184" s="3"/>
      <c r="BX184" s="3">
        <f t="shared" si="11"/>
        <v>2</v>
      </c>
      <c r="BY184" s="6"/>
    </row>
    <row r="185" spans="3:77" ht="21.95" customHeight="1" x14ac:dyDescent="0.25">
      <c r="C185" s="3"/>
      <c r="D185" s="3" t="s">
        <v>182</v>
      </c>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5"/>
      <c r="AK185" s="3"/>
      <c r="AL185" s="3"/>
      <c r="AM185" s="3"/>
      <c r="AN185" s="3"/>
      <c r="AO185" s="3"/>
      <c r="AP185" s="3"/>
      <c r="AQ185" s="3"/>
      <c r="AR185" s="3"/>
      <c r="AS185" s="3"/>
      <c r="AT185" s="3"/>
      <c r="AU185" s="3"/>
      <c r="AV185" s="3"/>
      <c r="AW185" s="3"/>
      <c r="AX185" s="3"/>
      <c r="AY185" s="3"/>
      <c r="AZ185" s="3"/>
      <c r="BA185" s="3"/>
      <c r="BB185" s="3"/>
      <c r="BC185" s="3"/>
      <c r="BD185" s="3"/>
      <c r="BE185" s="3">
        <v>2</v>
      </c>
      <c r="BF185" s="3"/>
      <c r="BG185" s="3"/>
      <c r="BH185" s="3"/>
      <c r="BI185" s="3"/>
      <c r="BJ185" s="3"/>
      <c r="BK185" s="3"/>
      <c r="BL185" s="3"/>
      <c r="BM185" s="3"/>
      <c r="BN185" s="3"/>
      <c r="BO185" s="3"/>
      <c r="BP185" s="3"/>
      <c r="BQ185" s="3"/>
      <c r="BR185" s="3"/>
      <c r="BS185" s="3"/>
      <c r="BT185" s="3"/>
      <c r="BU185" s="3"/>
      <c r="BV185" s="3"/>
      <c r="BW185" s="3"/>
      <c r="BX185" s="3">
        <f t="shared" si="11"/>
        <v>2</v>
      </c>
      <c r="BY185" s="6" t="s">
        <v>213</v>
      </c>
    </row>
    <row r="186" spans="3:77" ht="21.95" customHeight="1" x14ac:dyDescent="0.25">
      <c r="C186" s="3"/>
      <c r="D186" s="3" t="s">
        <v>187</v>
      </c>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5"/>
      <c r="AK186" s="3"/>
      <c r="AL186" s="3"/>
      <c r="AM186" s="3"/>
      <c r="AN186" s="3"/>
      <c r="AO186" s="3"/>
      <c r="AP186" s="3"/>
      <c r="AQ186" s="3"/>
      <c r="AR186" s="3"/>
      <c r="AS186" s="3"/>
      <c r="AT186" s="3"/>
      <c r="AU186" s="3"/>
      <c r="AV186" s="3"/>
      <c r="AW186" s="3"/>
      <c r="AX186" s="3"/>
      <c r="AY186" s="3"/>
      <c r="AZ186" s="3"/>
      <c r="BA186" s="3"/>
      <c r="BB186" s="3"/>
      <c r="BC186" s="3"/>
      <c r="BD186" s="3"/>
      <c r="BE186" s="3">
        <v>1</v>
      </c>
      <c r="BF186" s="3"/>
      <c r="BG186" s="3"/>
      <c r="BH186" s="3"/>
      <c r="BI186" s="3"/>
      <c r="BJ186" s="3"/>
      <c r="BK186" s="3"/>
      <c r="BL186" s="3"/>
      <c r="BM186" s="3"/>
      <c r="BN186" s="3"/>
      <c r="BO186" s="3"/>
      <c r="BP186" s="3"/>
      <c r="BQ186" s="3"/>
      <c r="BR186" s="3"/>
      <c r="BS186" s="3"/>
      <c r="BT186" s="3"/>
      <c r="BU186" s="3"/>
      <c r="BV186" s="3"/>
      <c r="BW186" s="3"/>
      <c r="BX186" s="3">
        <f t="shared" si="11"/>
        <v>1</v>
      </c>
      <c r="BY186" s="6"/>
    </row>
    <row r="187" spans="3:77" ht="21.95" customHeight="1" x14ac:dyDescent="0.25">
      <c r="C187" s="3"/>
      <c r="D187" s="3" t="s">
        <v>200</v>
      </c>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5"/>
      <c r="AK187" s="3"/>
      <c r="AL187" s="3"/>
      <c r="AM187" s="3"/>
      <c r="AN187" s="3"/>
      <c r="AO187" s="3"/>
      <c r="AP187" s="3"/>
      <c r="AQ187" s="3"/>
      <c r="AR187" s="3"/>
      <c r="AS187" s="3"/>
      <c r="AT187" s="3"/>
      <c r="AU187" s="3"/>
      <c r="AV187" s="3"/>
      <c r="AW187" s="3"/>
      <c r="AX187" s="3"/>
      <c r="AY187" s="3"/>
      <c r="AZ187" s="3"/>
      <c r="BA187" s="3"/>
      <c r="BB187" s="3"/>
      <c r="BC187" s="3"/>
      <c r="BD187" s="3"/>
      <c r="BE187" s="3">
        <v>1</v>
      </c>
      <c r="BF187" s="3"/>
      <c r="BG187" s="3"/>
      <c r="BH187" s="3"/>
      <c r="BI187" s="3"/>
      <c r="BJ187" s="3"/>
      <c r="BK187" s="3"/>
      <c r="BL187" s="3"/>
      <c r="BM187" s="3"/>
      <c r="BN187" s="3"/>
      <c r="BO187" s="3"/>
      <c r="BP187" s="3"/>
      <c r="BQ187" s="3"/>
      <c r="BR187" s="3"/>
      <c r="BS187" s="3"/>
      <c r="BT187" s="3"/>
      <c r="BU187" s="3"/>
      <c r="BV187" s="3"/>
      <c r="BW187" s="3"/>
      <c r="BX187" s="3">
        <f t="shared" si="11"/>
        <v>1</v>
      </c>
      <c r="BY187" s="6"/>
    </row>
    <row r="188" spans="3:77" ht="21.95" customHeight="1" x14ac:dyDescent="0.25">
      <c r="C188" s="3"/>
      <c r="D188" s="3" t="s">
        <v>188</v>
      </c>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5"/>
      <c r="AK188" s="3"/>
      <c r="AL188" s="3"/>
      <c r="AM188" s="3"/>
      <c r="AN188" s="3"/>
      <c r="AO188" s="3"/>
      <c r="AP188" s="3"/>
      <c r="AQ188" s="3"/>
      <c r="AR188" s="3"/>
      <c r="AS188" s="3"/>
      <c r="AT188" s="3"/>
      <c r="AU188" s="3"/>
      <c r="AV188" s="3"/>
      <c r="AW188" s="3"/>
      <c r="AX188" s="3"/>
      <c r="AY188" s="3"/>
      <c r="AZ188" s="3"/>
      <c r="BA188" s="3"/>
      <c r="BB188" s="3"/>
      <c r="BC188" s="3"/>
      <c r="BD188" s="3"/>
      <c r="BE188" s="3">
        <v>1</v>
      </c>
      <c r="BF188" s="3"/>
      <c r="BG188" s="3"/>
      <c r="BH188" s="3"/>
      <c r="BI188" s="3"/>
      <c r="BJ188" s="3"/>
      <c r="BK188" s="3"/>
      <c r="BL188" s="3"/>
      <c r="BM188" s="3"/>
      <c r="BN188" s="3"/>
      <c r="BO188" s="3"/>
      <c r="BP188" s="3"/>
      <c r="BQ188" s="3"/>
      <c r="BR188" s="3"/>
      <c r="BS188" s="3"/>
      <c r="BT188" s="3"/>
      <c r="BU188" s="3"/>
      <c r="BV188" s="3"/>
      <c r="BW188" s="3"/>
      <c r="BX188" s="3">
        <f t="shared" si="11"/>
        <v>1</v>
      </c>
      <c r="BY188" s="6"/>
    </row>
    <row r="189" spans="3:77" ht="21.95" customHeight="1" x14ac:dyDescent="0.25">
      <c r="C189" s="3"/>
      <c r="D189" s="3" t="s">
        <v>201</v>
      </c>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5"/>
      <c r="AK189" s="3"/>
      <c r="AL189" s="3"/>
      <c r="AM189" s="3"/>
      <c r="AN189" s="3"/>
      <c r="AO189" s="3"/>
      <c r="AP189" s="3"/>
      <c r="AQ189" s="3"/>
      <c r="AR189" s="3"/>
      <c r="AS189" s="3"/>
      <c r="AT189" s="3"/>
      <c r="AU189" s="3"/>
      <c r="AV189" s="3"/>
      <c r="AW189" s="3"/>
      <c r="AX189" s="3"/>
      <c r="AY189" s="3"/>
      <c r="AZ189" s="3"/>
      <c r="BA189" s="3"/>
      <c r="BB189" s="3"/>
      <c r="BC189" s="3"/>
      <c r="BD189" s="3"/>
      <c r="BE189" s="3">
        <v>1</v>
      </c>
      <c r="BF189" s="3"/>
      <c r="BG189" s="3"/>
      <c r="BH189" s="3"/>
      <c r="BI189" s="3"/>
      <c r="BJ189" s="3"/>
      <c r="BK189" s="3"/>
      <c r="BL189" s="3"/>
      <c r="BM189" s="3"/>
      <c r="BN189" s="3"/>
      <c r="BO189" s="3"/>
      <c r="BP189" s="3"/>
      <c r="BQ189" s="3"/>
      <c r="BR189" s="3"/>
      <c r="BS189" s="3"/>
      <c r="BT189" s="3"/>
      <c r="BU189" s="3"/>
      <c r="BV189" s="3"/>
      <c r="BW189" s="3"/>
      <c r="BX189" s="3">
        <f t="shared" si="11"/>
        <v>1</v>
      </c>
      <c r="BY189" s="6"/>
    </row>
    <row r="190" spans="3:77" ht="21.95" customHeight="1" x14ac:dyDescent="0.25">
      <c r="C190" s="3"/>
      <c r="D190" s="3" t="s">
        <v>202</v>
      </c>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5"/>
      <c r="AK190" s="3"/>
      <c r="AL190" s="3"/>
      <c r="AM190" s="3"/>
      <c r="AN190" s="3"/>
      <c r="AO190" s="3"/>
      <c r="AP190" s="3"/>
      <c r="AQ190" s="3"/>
      <c r="AR190" s="3"/>
      <c r="AS190" s="3"/>
      <c r="AT190" s="3"/>
      <c r="AU190" s="3"/>
      <c r="AV190" s="3"/>
      <c r="AW190" s="3"/>
      <c r="AX190" s="3"/>
      <c r="AY190" s="3"/>
      <c r="AZ190" s="3"/>
      <c r="BA190" s="3"/>
      <c r="BB190" s="3"/>
      <c r="BC190" s="3"/>
      <c r="BD190" s="3"/>
      <c r="BE190" s="3">
        <v>1</v>
      </c>
      <c r="BF190" s="3"/>
      <c r="BG190" s="3"/>
      <c r="BH190" s="3"/>
      <c r="BI190" s="3"/>
      <c r="BJ190" s="3"/>
      <c r="BK190" s="3"/>
      <c r="BL190" s="3"/>
      <c r="BM190" s="3"/>
      <c r="BN190" s="3"/>
      <c r="BO190" s="3"/>
      <c r="BP190" s="3"/>
      <c r="BQ190" s="3"/>
      <c r="BR190" s="3"/>
      <c r="BS190" s="3"/>
      <c r="BT190" s="3"/>
      <c r="BU190" s="3"/>
      <c r="BV190" s="3"/>
      <c r="BW190" s="3"/>
      <c r="BX190" s="3">
        <f t="shared" ref="BX190:BX196" si="12">SUM(E190:BW190)</f>
        <v>1</v>
      </c>
      <c r="BY190" s="6"/>
    </row>
    <row r="191" spans="3:77" ht="21.95" customHeight="1" x14ac:dyDescent="0.25">
      <c r="C191" s="3"/>
      <c r="D191" s="3" t="s">
        <v>203</v>
      </c>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5"/>
      <c r="AK191" s="3"/>
      <c r="AL191" s="3"/>
      <c r="AM191" s="3"/>
      <c r="AN191" s="3"/>
      <c r="AO191" s="3"/>
      <c r="AP191" s="3"/>
      <c r="AQ191" s="3"/>
      <c r="AR191" s="3"/>
      <c r="AS191" s="3"/>
      <c r="AT191" s="3"/>
      <c r="AU191" s="3"/>
      <c r="AV191" s="3"/>
      <c r="AW191" s="3"/>
      <c r="AX191" s="3"/>
      <c r="AY191" s="3"/>
      <c r="AZ191" s="3"/>
      <c r="BA191" s="3"/>
      <c r="BB191" s="3"/>
      <c r="BC191" s="3"/>
      <c r="BD191" s="3"/>
      <c r="BE191" s="3">
        <v>1</v>
      </c>
      <c r="BF191" s="3"/>
      <c r="BG191" s="3"/>
      <c r="BH191" s="3"/>
      <c r="BI191" s="3"/>
      <c r="BJ191" s="3"/>
      <c r="BK191" s="3"/>
      <c r="BL191" s="3"/>
      <c r="BM191" s="3"/>
      <c r="BN191" s="3"/>
      <c r="BO191" s="3"/>
      <c r="BP191" s="3"/>
      <c r="BQ191" s="3"/>
      <c r="BR191" s="3"/>
      <c r="BS191" s="3"/>
      <c r="BT191" s="3"/>
      <c r="BU191" s="3"/>
      <c r="BV191" s="3"/>
      <c r="BW191" s="3"/>
      <c r="BX191" s="3">
        <f t="shared" si="12"/>
        <v>1</v>
      </c>
      <c r="BY191" s="6"/>
    </row>
    <row r="192" spans="3:77" ht="21.95" customHeight="1" x14ac:dyDescent="0.25">
      <c r="C192" s="3"/>
      <c r="D192" s="3" t="s">
        <v>204</v>
      </c>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5"/>
      <c r="AK192" s="3"/>
      <c r="AL192" s="3"/>
      <c r="AM192" s="3"/>
      <c r="AN192" s="3"/>
      <c r="AO192" s="3"/>
      <c r="AP192" s="3"/>
      <c r="AQ192" s="3"/>
      <c r="AR192" s="3"/>
      <c r="AS192" s="3"/>
      <c r="AT192" s="3"/>
      <c r="AU192" s="3"/>
      <c r="AV192" s="3"/>
      <c r="AW192" s="3"/>
      <c r="AX192" s="3"/>
      <c r="AY192" s="3"/>
      <c r="AZ192" s="3"/>
      <c r="BA192" s="3"/>
      <c r="BB192" s="3"/>
      <c r="BC192" s="3"/>
      <c r="BD192" s="3"/>
      <c r="BE192" s="3">
        <v>1</v>
      </c>
      <c r="BF192" s="3"/>
      <c r="BG192" s="3"/>
      <c r="BH192" s="3"/>
      <c r="BI192" s="3"/>
      <c r="BJ192" s="3"/>
      <c r="BK192" s="3"/>
      <c r="BL192" s="3"/>
      <c r="BM192" s="3"/>
      <c r="BN192" s="3"/>
      <c r="BO192" s="3"/>
      <c r="BP192" s="3"/>
      <c r="BQ192" s="3"/>
      <c r="BR192" s="3"/>
      <c r="BS192" s="3"/>
      <c r="BT192" s="3"/>
      <c r="BU192" s="3"/>
      <c r="BV192" s="3"/>
      <c r="BW192" s="3"/>
      <c r="BX192" s="3">
        <f t="shared" si="12"/>
        <v>1</v>
      </c>
      <c r="BY192" s="6" t="s">
        <v>207</v>
      </c>
    </row>
    <row r="193" spans="3:77" ht="21.95" customHeight="1" x14ac:dyDescent="0.25">
      <c r="C193" s="3"/>
      <c r="D193" s="3" t="s">
        <v>205</v>
      </c>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5"/>
      <c r="AK193" s="3"/>
      <c r="AL193" s="3"/>
      <c r="AM193" s="3"/>
      <c r="AN193" s="3"/>
      <c r="AO193" s="3"/>
      <c r="AP193" s="3"/>
      <c r="AQ193" s="3"/>
      <c r="AR193" s="3"/>
      <c r="AS193" s="3"/>
      <c r="AT193" s="3"/>
      <c r="AU193" s="3"/>
      <c r="AV193" s="3"/>
      <c r="AW193" s="3"/>
      <c r="AX193" s="3"/>
      <c r="AY193" s="3"/>
      <c r="AZ193" s="3"/>
      <c r="BA193" s="3"/>
      <c r="BB193" s="3"/>
      <c r="BC193" s="3"/>
      <c r="BD193" s="3"/>
      <c r="BE193" s="3">
        <v>1</v>
      </c>
      <c r="BF193" s="3"/>
      <c r="BG193" s="3"/>
      <c r="BH193" s="3"/>
      <c r="BI193" s="3"/>
      <c r="BJ193" s="3"/>
      <c r="BK193" s="3"/>
      <c r="BL193" s="3"/>
      <c r="BM193" s="3"/>
      <c r="BN193" s="3"/>
      <c r="BO193" s="3"/>
      <c r="BP193" s="3"/>
      <c r="BQ193" s="3"/>
      <c r="BR193" s="3"/>
      <c r="BS193" s="3"/>
      <c r="BT193" s="3"/>
      <c r="BU193" s="3"/>
      <c r="BV193" s="3"/>
      <c r="BW193" s="3"/>
      <c r="BX193" s="3">
        <f t="shared" si="12"/>
        <v>1</v>
      </c>
      <c r="BY193" s="6"/>
    </row>
    <row r="194" spans="3:77" ht="21.95" customHeight="1" x14ac:dyDescent="0.25">
      <c r="C194" s="3"/>
      <c r="D194" s="3" t="s">
        <v>197</v>
      </c>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5"/>
      <c r="AK194" s="3"/>
      <c r="AL194" s="3"/>
      <c r="AM194" s="3"/>
      <c r="AN194" s="3"/>
      <c r="AO194" s="3"/>
      <c r="AP194" s="3"/>
      <c r="AQ194" s="3"/>
      <c r="AR194" s="3"/>
      <c r="AS194" s="3"/>
      <c r="AT194" s="3"/>
      <c r="AU194" s="3"/>
      <c r="AV194" s="3"/>
      <c r="AW194" s="3"/>
      <c r="AX194" s="3"/>
      <c r="AY194" s="3"/>
      <c r="AZ194" s="3"/>
      <c r="BA194" s="3"/>
      <c r="BB194" s="3"/>
      <c r="BC194" s="3"/>
      <c r="BD194" s="3"/>
      <c r="BE194" s="3">
        <v>1</v>
      </c>
      <c r="BF194" s="3"/>
      <c r="BG194" s="3"/>
      <c r="BH194" s="3"/>
      <c r="BI194" s="3"/>
      <c r="BJ194" s="3"/>
      <c r="BK194" s="3"/>
      <c r="BL194" s="3"/>
      <c r="BM194" s="3"/>
      <c r="BN194" s="3"/>
      <c r="BO194" s="3"/>
      <c r="BP194" s="3"/>
      <c r="BQ194" s="3"/>
      <c r="BR194" s="3"/>
      <c r="BS194" s="3"/>
      <c r="BT194" s="3"/>
      <c r="BU194" s="3"/>
      <c r="BV194" s="3"/>
      <c r="BW194" s="3"/>
      <c r="BX194" s="3">
        <f t="shared" si="12"/>
        <v>1</v>
      </c>
      <c r="BY194" s="6" t="s">
        <v>207</v>
      </c>
    </row>
    <row r="195" spans="3:77" ht="21.95" customHeight="1" x14ac:dyDescent="0.25">
      <c r="C195" s="3"/>
      <c r="D195" s="3" t="s">
        <v>206</v>
      </c>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5"/>
      <c r="AK195" s="3"/>
      <c r="AL195" s="3"/>
      <c r="AM195" s="3"/>
      <c r="AN195" s="3"/>
      <c r="AO195" s="3"/>
      <c r="AP195" s="3"/>
      <c r="AQ195" s="3"/>
      <c r="AR195" s="3"/>
      <c r="AS195" s="3"/>
      <c r="AT195" s="3"/>
      <c r="AU195" s="3"/>
      <c r="AV195" s="3"/>
      <c r="AW195" s="3"/>
      <c r="AX195" s="3"/>
      <c r="AY195" s="3"/>
      <c r="AZ195" s="3"/>
      <c r="BA195" s="3"/>
      <c r="BB195" s="3"/>
      <c r="BC195" s="3"/>
      <c r="BD195" s="3"/>
      <c r="BE195" s="3">
        <v>1</v>
      </c>
      <c r="BF195" s="3"/>
      <c r="BG195" s="3"/>
      <c r="BH195" s="3"/>
      <c r="BI195" s="3"/>
      <c r="BJ195" s="3"/>
      <c r="BK195" s="3"/>
      <c r="BL195" s="3"/>
      <c r="BM195" s="3"/>
      <c r="BN195" s="3"/>
      <c r="BO195" s="3"/>
      <c r="BP195" s="3"/>
      <c r="BQ195" s="3"/>
      <c r="BR195" s="3"/>
      <c r="BS195" s="3"/>
      <c r="BT195" s="3"/>
      <c r="BU195" s="3"/>
      <c r="BV195" s="3"/>
      <c r="BW195" s="3"/>
      <c r="BX195" s="3">
        <f t="shared" si="12"/>
        <v>1</v>
      </c>
      <c r="BY195" s="6"/>
    </row>
    <row r="196" spans="3:77" ht="21.95" customHeight="1" x14ac:dyDescent="0.25">
      <c r="C196" s="3"/>
      <c r="D196" s="3" t="s">
        <v>198</v>
      </c>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5"/>
      <c r="AK196" s="3"/>
      <c r="AL196" s="3"/>
      <c r="AM196" s="3"/>
      <c r="AN196" s="3"/>
      <c r="AO196" s="3"/>
      <c r="AP196" s="3"/>
      <c r="AQ196" s="3"/>
      <c r="AR196" s="3"/>
      <c r="AS196" s="3"/>
      <c r="AT196" s="3"/>
      <c r="AU196" s="3"/>
      <c r="AV196" s="3"/>
      <c r="AW196" s="3"/>
      <c r="AX196" s="3"/>
      <c r="AY196" s="3"/>
      <c r="AZ196" s="3"/>
      <c r="BA196" s="3"/>
      <c r="BB196" s="3"/>
      <c r="BC196" s="3"/>
      <c r="BD196" s="3"/>
      <c r="BE196" s="3">
        <v>1</v>
      </c>
      <c r="BF196" s="3"/>
      <c r="BG196" s="3"/>
      <c r="BH196" s="3"/>
      <c r="BI196" s="3"/>
      <c r="BJ196" s="3"/>
      <c r="BK196" s="3"/>
      <c r="BL196" s="3"/>
      <c r="BM196" s="3"/>
      <c r="BN196" s="3"/>
      <c r="BO196" s="3"/>
      <c r="BP196" s="3"/>
      <c r="BQ196" s="3"/>
      <c r="BR196" s="3"/>
      <c r="BS196" s="3"/>
      <c r="BT196" s="3"/>
      <c r="BU196" s="3"/>
      <c r="BV196" s="3"/>
      <c r="BW196" s="3"/>
      <c r="BX196" s="3">
        <f t="shared" si="12"/>
        <v>1</v>
      </c>
      <c r="BY196" s="6"/>
    </row>
    <row r="197" spans="3:77" ht="21.95" customHeight="1" x14ac:dyDescent="0.25">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5"/>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6"/>
    </row>
    <row r="198" spans="3:77" ht="21.95" customHeight="1" x14ac:dyDescent="0.25">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5"/>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6"/>
    </row>
    <row r="199" spans="3:77" ht="21.95" customHeight="1" x14ac:dyDescent="0.25">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5"/>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6"/>
    </row>
    <row r="200" spans="3:77" ht="21.95" customHeight="1" x14ac:dyDescent="0.25">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5"/>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6"/>
    </row>
    <row r="201" spans="3:77" ht="21.95" customHeight="1" x14ac:dyDescent="0.25">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5"/>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6"/>
    </row>
    <row r="202" spans="3:77" ht="21.95" customHeight="1" x14ac:dyDescent="0.25">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5"/>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6"/>
    </row>
    <row r="203" spans="3:77" ht="21.95" customHeight="1" x14ac:dyDescent="0.25">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5"/>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6"/>
    </row>
    <row r="204" spans="3:77" ht="21.95" customHeight="1" x14ac:dyDescent="0.25">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5"/>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6"/>
    </row>
    <row r="205" spans="3:77" ht="21.95" customHeight="1" x14ac:dyDescent="0.25">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5"/>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6"/>
    </row>
    <row r="206" spans="3:77" ht="21.95" customHeight="1" x14ac:dyDescent="0.25">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5"/>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6"/>
    </row>
    <row r="207" spans="3:77" ht="21.95" customHeight="1" x14ac:dyDescent="0.25">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5"/>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6"/>
    </row>
    <row r="208" spans="3:77" ht="21.95" customHeight="1" x14ac:dyDescent="0.25">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5"/>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6"/>
    </row>
    <row r="209" spans="1:77" ht="21.95" customHeight="1" x14ac:dyDescent="0.25">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5"/>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6"/>
    </row>
    <row r="210" spans="1:77" ht="21.95" customHeight="1" x14ac:dyDescent="0.25">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5"/>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6"/>
    </row>
    <row r="211" spans="1:77" ht="21.95" customHeight="1" x14ac:dyDescent="0.25">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5"/>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6"/>
    </row>
    <row r="212" spans="1:77" ht="21.95" customHeight="1" x14ac:dyDescent="0.25">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5"/>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6"/>
    </row>
    <row r="213" spans="1:77" ht="21.95" customHeight="1" x14ac:dyDescent="0.25">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5"/>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6"/>
    </row>
    <row r="214" spans="1:77" ht="21.95" customHeight="1" x14ac:dyDescent="0.25">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5"/>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6"/>
    </row>
    <row r="215" spans="1:77" ht="21.95" customHeight="1" x14ac:dyDescent="0.25">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5"/>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6"/>
    </row>
    <row r="216" spans="1:77" ht="100.5" customHeight="1" x14ac:dyDescent="0.25">
      <c r="A216" s="2"/>
      <c r="B216" s="4"/>
      <c r="C216" s="3" t="s">
        <v>0</v>
      </c>
      <c r="D216" s="3" t="s">
        <v>1</v>
      </c>
      <c r="E216" s="19" t="s">
        <v>2</v>
      </c>
      <c r="F216" s="12" t="s">
        <v>3</v>
      </c>
      <c r="G216" s="12" t="s">
        <v>48</v>
      </c>
      <c r="H216" s="12" t="s">
        <v>5</v>
      </c>
      <c r="I216" s="19" t="s">
        <v>6</v>
      </c>
      <c r="J216" s="12" t="s">
        <v>3</v>
      </c>
      <c r="K216" s="12" t="s">
        <v>48</v>
      </c>
      <c r="L216" s="12" t="s">
        <v>5</v>
      </c>
      <c r="M216" s="19" t="s">
        <v>7</v>
      </c>
      <c r="N216" s="12" t="s">
        <v>3</v>
      </c>
      <c r="O216" s="12" t="s">
        <v>66</v>
      </c>
      <c r="P216" s="12" t="s">
        <v>48</v>
      </c>
      <c r="Q216" s="12" t="s">
        <v>5</v>
      </c>
      <c r="R216" s="19" t="s">
        <v>8</v>
      </c>
      <c r="S216" s="12" t="s">
        <v>3</v>
      </c>
      <c r="T216" s="12" t="s">
        <v>47</v>
      </c>
      <c r="U216" s="12" t="s">
        <v>4</v>
      </c>
      <c r="V216" s="12" t="s">
        <v>48</v>
      </c>
      <c r="W216" s="12" t="s">
        <v>5</v>
      </c>
      <c r="X216" s="19" t="s">
        <v>9</v>
      </c>
      <c r="Y216" s="12" t="s">
        <v>3</v>
      </c>
      <c r="Z216" s="12" t="s">
        <v>47</v>
      </c>
      <c r="AA216" s="12" t="s">
        <v>107</v>
      </c>
      <c r="AB216" s="12" t="s">
        <v>48</v>
      </c>
      <c r="AC216" s="12" t="s">
        <v>5</v>
      </c>
      <c r="AD216" s="19" t="s">
        <v>49</v>
      </c>
      <c r="AE216" s="12" t="s">
        <v>3</v>
      </c>
      <c r="AF216" s="12" t="s">
        <v>47</v>
      </c>
      <c r="AG216" s="12" t="s">
        <v>105</v>
      </c>
      <c r="AH216" s="12" t="s">
        <v>48</v>
      </c>
      <c r="AI216" s="12" t="s">
        <v>5</v>
      </c>
      <c r="AJ216" s="19" t="s">
        <v>10</v>
      </c>
      <c r="AK216" s="12" t="s">
        <v>3</v>
      </c>
      <c r="AL216" s="12" t="s">
        <v>47</v>
      </c>
      <c r="AM216" s="12" t="s">
        <v>48</v>
      </c>
      <c r="AN216" s="12" t="s">
        <v>5</v>
      </c>
      <c r="AO216" s="19" t="s">
        <v>11</v>
      </c>
      <c r="AP216" s="12" t="s">
        <v>3</v>
      </c>
      <c r="AQ216" s="12" t="s">
        <v>4</v>
      </c>
      <c r="AR216" s="12" t="s">
        <v>48</v>
      </c>
      <c r="AS216" s="12" t="s">
        <v>5</v>
      </c>
      <c r="AT216" s="19" t="s">
        <v>12</v>
      </c>
      <c r="AU216" s="12" t="s">
        <v>3</v>
      </c>
      <c r="AV216" s="12" t="s">
        <v>4</v>
      </c>
      <c r="AW216" s="12" t="s">
        <v>48</v>
      </c>
      <c r="AX216" s="12" t="s">
        <v>5</v>
      </c>
      <c r="AY216" s="19" t="s">
        <v>13</v>
      </c>
      <c r="AZ216" s="12" t="s">
        <v>3</v>
      </c>
      <c r="BA216" s="12" t="s">
        <v>47</v>
      </c>
      <c r="BB216" s="12" t="s">
        <v>108</v>
      </c>
      <c r="BC216" s="12" t="s">
        <v>48</v>
      </c>
      <c r="BD216" s="12" t="s">
        <v>5</v>
      </c>
      <c r="BE216" s="19" t="s">
        <v>14</v>
      </c>
      <c r="BF216" s="12" t="s">
        <v>3</v>
      </c>
      <c r="BG216" s="12" t="s">
        <v>47</v>
      </c>
      <c r="BH216" s="12" t="s">
        <v>4</v>
      </c>
      <c r="BI216" s="12" t="s">
        <v>48</v>
      </c>
      <c r="BJ216" s="12" t="s">
        <v>5</v>
      </c>
      <c r="BK216" s="19" t="s">
        <v>15</v>
      </c>
      <c r="BL216" s="12" t="s">
        <v>3</v>
      </c>
      <c r="BM216" s="12" t="s">
        <v>47</v>
      </c>
      <c r="BN216" s="12" t="s">
        <v>4</v>
      </c>
      <c r="BO216" s="12" t="s">
        <v>5</v>
      </c>
      <c r="BP216" s="19" t="s">
        <v>16</v>
      </c>
      <c r="BQ216" s="12" t="s">
        <v>3</v>
      </c>
      <c r="BR216" s="12" t="s">
        <v>4</v>
      </c>
      <c r="BS216" s="12" t="s">
        <v>5</v>
      </c>
      <c r="BT216" s="19" t="s">
        <v>17</v>
      </c>
      <c r="BU216" s="12" t="s">
        <v>18</v>
      </c>
      <c r="BV216" s="12" t="s">
        <v>4</v>
      </c>
      <c r="BW216" s="12" t="s">
        <v>5</v>
      </c>
      <c r="BX216" s="19" t="s">
        <v>19</v>
      </c>
      <c r="BY216" s="5" t="s">
        <v>20</v>
      </c>
    </row>
    <row r="217" spans="1:77" s="15" customFormat="1" ht="23.1" customHeight="1" x14ac:dyDescent="0.25">
      <c r="A217" s="13" t="s">
        <v>15</v>
      </c>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20"/>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4"/>
    </row>
    <row r="218" spans="1:77" ht="23.1" customHeight="1" x14ac:dyDescent="0.25">
      <c r="C218" s="3" t="s">
        <v>38</v>
      </c>
      <c r="D218" s="3" t="s">
        <v>71</v>
      </c>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5"/>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v>2</v>
      </c>
      <c r="BL218" s="3"/>
      <c r="BM218" s="3"/>
      <c r="BN218" s="3"/>
      <c r="BO218" s="3"/>
      <c r="BP218" s="3"/>
      <c r="BQ218" s="3"/>
      <c r="BR218" s="3"/>
      <c r="BS218" s="3"/>
      <c r="BT218" s="3"/>
      <c r="BU218" s="3"/>
      <c r="BV218" s="3"/>
      <c r="BW218" s="3"/>
      <c r="BX218" s="3">
        <f t="shared" ref="BX218:BX227" si="13">SUM(E218:BW218)</f>
        <v>2</v>
      </c>
      <c r="BY218" s="6" t="s">
        <v>213</v>
      </c>
    </row>
    <row r="219" spans="1:77" ht="23.1" customHeight="1" x14ac:dyDescent="0.25">
      <c r="C219" s="3"/>
      <c r="D219" s="3" t="s">
        <v>72</v>
      </c>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5"/>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v>1</v>
      </c>
      <c r="BL219" s="3">
        <v>1</v>
      </c>
      <c r="BM219" s="3"/>
      <c r="BN219" s="3"/>
      <c r="BO219" s="3"/>
      <c r="BP219" s="3"/>
      <c r="BQ219" s="3"/>
      <c r="BR219" s="3"/>
      <c r="BS219" s="3"/>
      <c r="BT219" s="3"/>
      <c r="BU219" s="3"/>
      <c r="BV219" s="3"/>
      <c r="BW219" s="3"/>
      <c r="BX219" s="3">
        <f t="shared" si="13"/>
        <v>2</v>
      </c>
      <c r="BY219" s="6"/>
    </row>
    <row r="220" spans="1:77" ht="23.1" customHeight="1" x14ac:dyDescent="0.25">
      <c r="C220" s="3"/>
      <c r="D220" s="3" t="s">
        <v>210</v>
      </c>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5"/>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v>1</v>
      </c>
      <c r="BL220" s="3"/>
      <c r="BM220" s="3"/>
      <c r="BN220" s="3"/>
      <c r="BO220" s="3"/>
      <c r="BP220" s="3"/>
      <c r="BQ220" s="3"/>
      <c r="BR220" s="3"/>
      <c r="BS220" s="3"/>
      <c r="BT220" s="3"/>
      <c r="BU220" s="3"/>
      <c r="BV220" s="3"/>
      <c r="BW220" s="3"/>
      <c r="BX220" s="3">
        <f t="shared" si="13"/>
        <v>1</v>
      </c>
      <c r="BY220" s="6"/>
    </row>
    <row r="221" spans="1:77" ht="23.1" customHeight="1" x14ac:dyDescent="0.25">
      <c r="C221" s="3"/>
      <c r="D221" s="3" t="s">
        <v>73</v>
      </c>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5"/>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v>1</v>
      </c>
      <c r="BL221" s="3"/>
      <c r="BM221" s="3"/>
      <c r="BN221" s="3"/>
      <c r="BO221" s="3"/>
      <c r="BP221" s="3"/>
      <c r="BQ221" s="3"/>
      <c r="BR221" s="3"/>
      <c r="BS221" s="3"/>
      <c r="BT221" s="3"/>
      <c r="BU221" s="3"/>
      <c r="BV221" s="3"/>
      <c r="BW221" s="3"/>
      <c r="BX221" s="3">
        <f t="shared" si="13"/>
        <v>1</v>
      </c>
      <c r="BY221" s="6"/>
    </row>
    <row r="222" spans="1:77" ht="23.1" customHeight="1" x14ac:dyDescent="0.25">
      <c r="C222" s="3"/>
      <c r="D222" s="3" t="s">
        <v>69</v>
      </c>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5"/>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v>1</v>
      </c>
      <c r="BL222" s="3"/>
      <c r="BM222" s="3"/>
      <c r="BN222" s="3"/>
      <c r="BO222" s="3"/>
      <c r="BP222" s="3"/>
      <c r="BQ222" s="3"/>
      <c r="BR222" s="3"/>
      <c r="BS222" s="3"/>
      <c r="BT222" s="3"/>
      <c r="BU222" s="3"/>
      <c r="BV222" s="3"/>
      <c r="BW222" s="3"/>
      <c r="BX222" s="3">
        <f t="shared" si="13"/>
        <v>1</v>
      </c>
      <c r="BY222" s="6"/>
    </row>
    <row r="223" spans="1:77" ht="23.1" customHeight="1" x14ac:dyDescent="0.25">
      <c r="C223" s="3"/>
      <c r="D223" s="3" t="s">
        <v>111</v>
      </c>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5"/>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v>1</v>
      </c>
      <c r="BL223" s="3"/>
      <c r="BM223" s="3"/>
      <c r="BN223" s="3"/>
      <c r="BO223" s="3"/>
      <c r="BP223" s="3"/>
      <c r="BQ223" s="3"/>
      <c r="BR223" s="3"/>
      <c r="BS223" s="3"/>
      <c r="BT223" s="3"/>
      <c r="BU223" s="3"/>
      <c r="BV223" s="3"/>
      <c r="BW223" s="3"/>
      <c r="BX223" s="3">
        <f t="shared" si="13"/>
        <v>1</v>
      </c>
      <c r="BY223" s="6"/>
    </row>
    <row r="224" spans="1:77" ht="23.1" customHeight="1" x14ac:dyDescent="0.25">
      <c r="C224" s="3"/>
      <c r="D224" s="3" t="s">
        <v>70</v>
      </c>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5"/>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v>1</v>
      </c>
      <c r="BL224" s="3"/>
      <c r="BM224" s="3"/>
      <c r="BN224" s="3"/>
      <c r="BO224" s="3"/>
      <c r="BP224" s="3"/>
      <c r="BQ224" s="3"/>
      <c r="BR224" s="3"/>
      <c r="BS224" s="3"/>
      <c r="BT224" s="3"/>
      <c r="BU224" s="3"/>
      <c r="BV224" s="3"/>
      <c r="BW224" s="3"/>
      <c r="BX224" s="3">
        <f t="shared" si="13"/>
        <v>1</v>
      </c>
      <c r="BY224" s="6"/>
    </row>
    <row r="225" spans="3:77" ht="23.1" customHeight="1" x14ac:dyDescent="0.25">
      <c r="C225" s="3"/>
      <c r="D225" s="3" t="s">
        <v>112</v>
      </c>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5"/>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v>1</v>
      </c>
      <c r="BL225" s="3"/>
      <c r="BM225" s="3"/>
      <c r="BN225" s="3"/>
      <c r="BO225" s="3"/>
      <c r="BP225" s="3"/>
      <c r="BQ225" s="3"/>
      <c r="BR225" s="3"/>
      <c r="BS225" s="3"/>
      <c r="BT225" s="3"/>
      <c r="BU225" s="3"/>
      <c r="BV225" s="3"/>
      <c r="BW225" s="3"/>
      <c r="BX225" s="3">
        <f t="shared" si="13"/>
        <v>1</v>
      </c>
      <c r="BY225" s="6"/>
    </row>
    <row r="226" spans="3:77" ht="23.1" customHeight="1" x14ac:dyDescent="0.25">
      <c r="C226" s="3"/>
      <c r="D226" s="3" t="s">
        <v>113</v>
      </c>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5"/>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v>1</v>
      </c>
      <c r="BL226" s="3"/>
      <c r="BM226" s="3"/>
      <c r="BN226" s="3"/>
      <c r="BO226" s="3"/>
      <c r="BP226" s="3"/>
      <c r="BQ226" s="3"/>
      <c r="BR226" s="3"/>
      <c r="BS226" s="3"/>
      <c r="BT226" s="3"/>
      <c r="BU226" s="3"/>
      <c r="BV226" s="3"/>
      <c r="BW226" s="3"/>
      <c r="BX226" s="3">
        <f t="shared" si="13"/>
        <v>1</v>
      </c>
      <c r="BY226" s="6"/>
    </row>
    <row r="227" spans="3:77" ht="23.1" customHeight="1" x14ac:dyDescent="0.25">
      <c r="C227" s="3"/>
      <c r="D227" s="3" t="s">
        <v>167</v>
      </c>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5"/>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v>1</v>
      </c>
      <c r="BM227" s="3"/>
      <c r="BN227" s="3"/>
      <c r="BO227" s="3"/>
      <c r="BP227" s="3"/>
      <c r="BQ227" s="3"/>
      <c r="BR227" s="3"/>
      <c r="BS227" s="3"/>
      <c r="BT227" s="3"/>
      <c r="BU227" s="3"/>
      <c r="BV227" s="3"/>
      <c r="BW227" s="3"/>
      <c r="BX227" s="3">
        <f t="shared" si="13"/>
        <v>1</v>
      </c>
      <c r="BY227" s="6" t="s">
        <v>207</v>
      </c>
    </row>
    <row r="228" spans="3:77" ht="23.1" customHeight="1" x14ac:dyDescent="0.25">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5"/>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6"/>
    </row>
    <row r="229" spans="3:77" ht="23.1" customHeight="1" x14ac:dyDescent="0.25">
      <c r="C229" s="3" t="s">
        <v>39</v>
      </c>
      <c r="D229" s="3" t="s">
        <v>73</v>
      </c>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5"/>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v>1</v>
      </c>
      <c r="BL229" s="3"/>
      <c r="BM229" s="3"/>
      <c r="BN229" s="3"/>
      <c r="BO229" s="3"/>
      <c r="BP229" s="3"/>
      <c r="BQ229" s="3"/>
      <c r="BR229" s="3"/>
      <c r="BS229" s="3"/>
      <c r="BT229" s="3"/>
      <c r="BU229" s="3"/>
      <c r="BV229" s="3"/>
      <c r="BW229" s="3"/>
      <c r="BX229" s="3">
        <f t="shared" ref="BX229:BX241" si="14">SUM(E229:BW229)</f>
        <v>1</v>
      </c>
      <c r="BY229" s="6"/>
    </row>
    <row r="230" spans="3:77" ht="23.1" customHeight="1" x14ac:dyDescent="0.25">
      <c r="C230" s="3"/>
      <c r="D230" s="3" t="s">
        <v>70</v>
      </c>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5"/>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v>1</v>
      </c>
      <c r="BL230" s="3"/>
      <c r="BM230" s="3"/>
      <c r="BN230" s="3"/>
      <c r="BO230" s="3"/>
      <c r="BP230" s="3"/>
      <c r="BQ230" s="3"/>
      <c r="BR230" s="3"/>
      <c r="BS230" s="3"/>
      <c r="BT230" s="3"/>
      <c r="BU230" s="3"/>
      <c r="BV230" s="3"/>
      <c r="BW230" s="3"/>
      <c r="BX230" s="3">
        <f t="shared" si="14"/>
        <v>1</v>
      </c>
      <c r="BY230" s="6"/>
    </row>
    <row r="231" spans="3:77" ht="23.1" customHeight="1" x14ac:dyDescent="0.25">
      <c r="C231" s="3"/>
      <c r="D231" s="3" t="s">
        <v>114</v>
      </c>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5"/>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v>1</v>
      </c>
      <c r="BL231" s="3"/>
      <c r="BM231" s="3"/>
      <c r="BN231" s="3"/>
      <c r="BO231" s="3"/>
      <c r="BP231" s="3"/>
      <c r="BQ231" s="3"/>
      <c r="BR231" s="3"/>
      <c r="BS231" s="3"/>
      <c r="BT231" s="3"/>
      <c r="BU231" s="3"/>
      <c r="BV231" s="3"/>
      <c r="BW231" s="3"/>
      <c r="BX231" s="3">
        <f t="shared" si="14"/>
        <v>1</v>
      </c>
      <c r="BY231" s="6"/>
    </row>
    <row r="232" spans="3:77" ht="23.1" customHeight="1" x14ac:dyDescent="0.25">
      <c r="C232" s="3"/>
      <c r="D232" s="3" t="s">
        <v>71</v>
      </c>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5"/>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v>1</v>
      </c>
      <c r="BL232" s="3"/>
      <c r="BM232" s="3"/>
      <c r="BN232" s="3"/>
      <c r="BO232" s="3"/>
      <c r="BP232" s="3"/>
      <c r="BQ232" s="3"/>
      <c r="BR232" s="3"/>
      <c r="BS232" s="3"/>
      <c r="BT232" s="3"/>
      <c r="BU232" s="3"/>
      <c r="BV232" s="3"/>
      <c r="BW232" s="3"/>
      <c r="BX232" s="3">
        <f t="shared" si="14"/>
        <v>1</v>
      </c>
      <c r="BY232" s="6"/>
    </row>
    <row r="233" spans="3:77" ht="23.1" customHeight="1" x14ac:dyDescent="0.25">
      <c r="C233" s="3"/>
      <c r="D233" s="3" t="s">
        <v>115</v>
      </c>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5"/>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v>1</v>
      </c>
      <c r="BL233" s="3"/>
      <c r="BM233" s="3"/>
      <c r="BN233" s="3"/>
      <c r="BO233" s="3"/>
      <c r="BP233" s="3"/>
      <c r="BQ233" s="3"/>
      <c r="BR233" s="3"/>
      <c r="BS233" s="3"/>
      <c r="BT233" s="3"/>
      <c r="BU233" s="3"/>
      <c r="BV233" s="3"/>
      <c r="BW233" s="3"/>
      <c r="BX233" s="3">
        <f t="shared" si="14"/>
        <v>1</v>
      </c>
      <c r="BY233" s="6" t="s">
        <v>207</v>
      </c>
    </row>
    <row r="234" spans="3:77" ht="23.1" customHeight="1" x14ac:dyDescent="0.25">
      <c r="C234" s="3"/>
      <c r="D234" s="3" t="s">
        <v>112</v>
      </c>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5"/>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v>1</v>
      </c>
      <c r="BL234" s="3"/>
      <c r="BM234" s="3"/>
      <c r="BN234" s="3"/>
      <c r="BO234" s="3"/>
      <c r="BP234" s="3"/>
      <c r="BQ234" s="3"/>
      <c r="BR234" s="3"/>
      <c r="BS234" s="3"/>
      <c r="BT234" s="3"/>
      <c r="BU234" s="3"/>
      <c r="BV234" s="3"/>
      <c r="BW234" s="3"/>
      <c r="BX234" s="3">
        <f t="shared" si="14"/>
        <v>1</v>
      </c>
      <c r="BY234" s="6"/>
    </row>
    <row r="235" spans="3:77" ht="23.1" customHeight="1" x14ac:dyDescent="0.25">
      <c r="C235" s="3"/>
      <c r="D235" s="3" t="s">
        <v>116</v>
      </c>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5"/>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v>1</v>
      </c>
      <c r="BL235" s="3"/>
      <c r="BM235" s="3"/>
      <c r="BN235" s="3"/>
      <c r="BO235" s="3"/>
      <c r="BP235" s="3"/>
      <c r="BQ235" s="3"/>
      <c r="BR235" s="3"/>
      <c r="BS235" s="3"/>
      <c r="BT235" s="3"/>
      <c r="BU235" s="3"/>
      <c r="BV235" s="3"/>
      <c r="BW235" s="3"/>
      <c r="BX235" s="3">
        <f t="shared" si="14"/>
        <v>1</v>
      </c>
      <c r="BY235" s="6"/>
    </row>
    <row r="236" spans="3:77" ht="23.1" customHeight="1" x14ac:dyDescent="0.25">
      <c r="C236" s="3"/>
      <c r="D236" s="3" t="s">
        <v>111</v>
      </c>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5"/>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v>1</v>
      </c>
      <c r="BL236" s="3"/>
      <c r="BM236" s="3"/>
      <c r="BN236" s="3"/>
      <c r="BO236" s="3"/>
      <c r="BP236" s="3"/>
      <c r="BQ236" s="3"/>
      <c r="BR236" s="3"/>
      <c r="BS236" s="3"/>
      <c r="BT236" s="3"/>
      <c r="BU236" s="3"/>
      <c r="BV236" s="3"/>
      <c r="BW236" s="3"/>
      <c r="BX236" s="3">
        <f t="shared" si="14"/>
        <v>1</v>
      </c>
      <c r="BY236" s="6" t="s">
        <v>213</v>
      </c>
    </row>
    <row r="237" spans="3:77" ht="23.1" customHeight="1" x14ac:dyDescent="0.25">
      <c r="C237" s="3"/>
      <c r="D237" s="3" t="s">
        <v>117</v>
      </c>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5"/>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v>1</v>
      </c>
      <c r="BL237" s="3"/>
      <c r="BM237" s="3"/>
      <c r="BN237" s="3"/>
      <c r="BO237" s="3"/>
      <c r="BP237" s="3"/>
      <c r="BQ237" s="3"/>
      <c r="BR237" s="3"/>
      <c r="BS237" s="3"/>
      <c r="BT237" s="3"/>
      <c r="BU237" s="3"/>
      <c r="BV237" s="3"/>
      <c r="BW237" s="3"/>
      <c r="BX237" s="3">
        <f t="shared" si="14"/>
        <v>1</v>
      </c>
      <c r="BY237" s="6"/>
    </row>
    <row r="238" spans="3:77" ht="23.1" customHeight="1" x14ac:dyDescent="0.25">
      <c r="C238" s="3"/>
      <c r="D238" s="3" t="s">
        <v>113</v>
      </c>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5"/>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v>1</v>
      </c>
      <c r="BL238" s="3"/>
      <c r="BM238" s="3"/>
      <c r="BN238" s="3"/>
      <c r="BO238" s="3"/>
      <c r="BP238" s="3"/>
      <c r="BQ238" s="3"/>
      <c r="BR238" s="3"/>
      <c r="BS238" s="3"/>
      <c r="BT238" s="3"/>
      <c r="BU238" s="3"/>
      <c r="BV238" s="3"/>
      <c r="BW238" s="3"/>
      <c r="BX238" s="3">
        <f t="shared" si="14"/>
        <v>1</v>
      </c>
      <c r="BY238" s="6"/>
    </row>
    <row r="239" spans="3:77" ht="23.1" customHeight="1" x14ac:dyDescent="0.25">
      <c r="C239" s="3"/>
      <c r="D239" s="3" t="s">
        <v>178</v>
      </c>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5"/>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v>1</v>
      </c>
      <c r="BM239" s="3"/>
      <c r="BN239" s="3"/>
      <c r="BO239" s="3"/>
      <c r="BP239" s="3"/>
      <c r="BQ239" s="3"/>
      <c r="BR239" s="3"/>
      <c r="BS239" s="3"/>
      <c r="BT239" s="3"/>
      <c r="BU239" s="3"/>
      <c r="BV239" s="3"/>
      <c r="BW239" s="3"/>
      <c r="BX239" s="3">
        <f t="shared" si="14"/>
        <v>1</v>
      </c>
      <c r="BY239" s="6"/>
    </row>
    <row r="240" spans="3:77" ht="23.1" customHeight="1" x14ac:dyDescent="0.25">
      <c r="C240" s="3"/>
      <c r="D240" s="3" t="s">
        <v>179</v>
      </c>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5"/>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v>1</v>
      </c>
      <c r="BM240" s="3"/>
      <c r="BN240" s="3"/>
      <c r="BO240" s="3"/>
      <c r="BP240" s="3"/>
      <c r="BQ240" s="3"/>
      <c r="BR240" s="3"/>
      <c r="BS240" s="3"/>
      <c r="BT240" s="3"/>
      <c r="BU240" s="3"/>
      <c r="BV240" s="3"/>
      <c r="BW240" s="3"/>
      <c r="BX240" s="3">
        <f t="shared" si="14"/>
        <v>1</v>
      </c>
      <c r="BY240" s="6" t="s">
        <v>207</v>
      </c>
    </row>
    <row r="241" spans="1:77" ht="23.1" customHeight="1" x14ac:dyDescent="0.25">
      <c r="C241" s="3"/>
      <c r="D241" s="3" t="s">
        <v>167</v>
      </c>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5"/>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v>1</v>
      </c>
      <c r="BM241" s="3"/>
      <c r="BN241" s="3"/>
      <c r="BO241" s="3"/>
      <c r="BP241" s="3"/>
      <c r="BQ241" s="3"/>
      <c r="BR241" s="3"/>
      <c r="BS241" s="3"/>
      <c r="BT241" s="3"/>
      <c r="BU241" s="3"/>
      <c r="BV241" s="3"/>
      <c r="BW241" s="3"/>
      <c r="BX241" s="3">
        <f t="shared" si="14"/>
        <v>1</v>
      </c>
      <c r="BY241" s="6" t="s">
        <v>207</v>
      </c>
    </row>
    <row r="242" spans="1:77" ht="23.1" customHeight="1" x14ac:dyDescent="0.25">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5"/>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6"/>
    </row>
    <row r="243" spans="1:77" s="15" customFormat="1" ht="23.1" customHeight="1" x14ac:dyDescent="0.25">
      <c r="A243" s="13" t="s">
        <v>16</v>
      </c>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20"/>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13"/>
      <c r="BR243" s="13"/>
      <c r="BS243" s="13"/>
      <c r="BT243" s="13"/>
      <c r="BU243" s="13"/>
      <c r="BV243" s="13"/>
      <c r="BW243" s="13"/>
      <c r="BX243" s="13"/>
      <c r="BY243" s="14"/>
    </row>
    <row r="244" spans="1:77" ht="23.1" customHeight="1" x14ac:dyDescent="0.25">
      <c r="C244" s="3" t="s">
        <v>38</v>
      </c>
      <c r="D244" s="3" t="s">
        <v>142</v>
      </c>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5"/>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v>1</v>
      </c>
      <c r="BQ244" s="3"/>
      <c r="BR244" s="3"/>
      <c r="BS244" s="3"/>
      <c r="BT244" s="3"/>
      <c r="BU244" s="3"/>
      <c r="BV244" s="3"/>
      <c r="BW244" s="3"/>
      <c r="BX244" s="3">
        <f>SUM(E244:BW244)</f>
        <v>1</v>
      </c>
      <c r="BY244" s="6" t="s">
        <v>215</v>
      </c>
    </row>
    <row r="245" spans="1:77" ht="23.1" customHeight="1" x14ac:dyDescent="0.25">
      <c r="C245" s="3"/>
      <c r="D245" s="3" t="s">
        <v>75</v>
      </c>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5"/>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v>1</v>
      </c>
      <c r="BQ245" s="3"/>
      <c r="BR245" s="3"/>
      <c r="BS245" s="3"/>
      <c r="BT245" s="3"/>
      <c r="BU245" s="3"/>
      <c r="BV245" s="3"/>
      <c r="BW245" s="3"/>
      <c r="BX245" s="3">
        <f t="shared" ref="BX245:BX247" si="15">SUM(E245:BW245)</f>
        <v>1</v>
      </c>
      <c r="BY245" s="6"/>
    </row>
    <row r="246" spans="1:77" ht="23.1" customHeight="1" x14ac:dyDescent="0.25">
      <c r="C246" s="3"/>
      <c r="D246" s="3" t="s">
        <v>168</v>
      </c>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5"/>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v>1</v>
      </c>
      <c r="BR246" s="3"/>
      <c r="BS246" s="3"/>
      <c r="BT246" s="3"/>
      <c r="BU246" s="3"/>
      <c r="BV246" s="3"/>
      <c r="BW246" s="3"/>
      <c r="BX246" s="3">
        <f t="shared" si="15"/>
        <v>1</v>
      </c>
      <c r="BY246" s="6"/>
    </row>
    <row r="247" spans="1:77" ht="23.1" customHeight="1" x14ac:dyDescent="0.25">
      <c r="C247" s="3"/>
      <c r="D247" s="3" t="s">
        <v>169</v>
      </c>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5"/>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v>1</v>
      </c>
      <c r="BR247" s="3"/>
      <c r="BS247" s="3"/>
      <c r="BT247" s="3"/>
      <c r="BU247" s="3"/>
      <c r="BV247" s="3"/>
      <c r="BW247" s="3"/>
      <c r="BX247" s="3">
        <f t="shared" si="15"/>
        <v>1</v>
      </c>
      <c r="BY247" s="6" t="s">
        <v>207</v>
      </c>
    </row>
    <row r="248" spans="1:77" ht="23.1" customHeight="1" x14ac:dyDescent="0.25">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5"/>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6"/>
    </row>
    <row r="249" spans="1:77" ht="23.1" customHeight="1" x14ac:dyDescent="0.25">
      <c r="C249" s="3" t="s">
        <v>39</v>
      </c>
      <c r="D249" s="3" t="s">
        <v>76</v>
      </c>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5"/>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v>1</v>
      </c>
      <c r="BQ249" s="3"/>
      <c r="BR249" s="3"/>
      <c r="BS249" s="3"/>
      <c r="BT249" s="3"/>
      <c r="BU249" s="3"/>
      <c r="BV249" s="3"/>
      <c r="BW249" s="3"/>
      <c r="BX249" s="3">
        <f t="shared" ref="BX249:BX251" si="16">SUM(E249:BW249)</f>
        <v>1</v>
      </c>
      <c r="BY249" s="6" t="s">
        <v>213</v>
      </c>
    </row>
    <row r="250" spans="1:77" ht="23.1" customHeight="1" x14ac:dyDescent="0.25">
      <c r="C250" s="3"/>
      <c r="D250" s="3" t="s">
        <v>143</v>
      </c>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5"/>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v>1</v>
      </c>
      <c r="BQ250" s="3"/>
      <c r="BR250" s="3"/>
      <c r="BS250" s="3"/>
      <c r="BT250" s="3"/>
      <c r="BU250" s="3"/>
      <c r="BV250" s="3"/>
      <c r="BW250" s="3"/>
      <c r="BX250" s="3">
        <f t="shared" si="16"/>
        <v>1</v>
      </c>
      <c r="BY250" s="6"/>
    </row>
    <row r="251" spans="1:77" ht="23.1" customHeight="1" x14ac:dyDescent="0.25">
      <c r="C251" s="3"/>
      <c r="D251" s="3" t="s">
        <v>168</v>
      </c>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5"/>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v>1</v>
      </c>
      <c r="BR251" s="3"/>
      <c r="BS251" s="3"/>
      <c r="BT251" s="3"/>
      <c r="BU251" s="3"/>
      <c r="BV251" s="3"/>
      <c r="BW251" s="3"/>
      <c r="BX251" s="3">
        <f t="shared" si="16"/>
        <v>1</v>
      </c>
      <c r="BY251" s="6"/>
    </row>
    <row r="252" spans="1:77" ht="23.1" customHeight="1" x14ac:dyDescent="0.25">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5"/>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6"/>
    </row>
    <row r="253" spans="1:77" s="15" customFormat="1" ht="24" customHeight="1" x14ac:dyDescent="0.25">
      <c r="A253" s="13" t="s">
        <v>17</v>
      </c>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20"/>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4"/>
    </row>
    <row r="254" spans="1:77" ht="24" customHeight="1" x14ac:dyDescent="0.25">
      <c r="C254" s="3" t="s">
        <v>38</v>
      </c>
      <c r="D254" s="3" t="s">
        <v>109</v>
      </c>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5"/>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v>24</v>
      </c>
      <c r="BU254" s="3">
        <v>16</v>
      </c>
      <c r="BV254" s="3"/>
      <c r="BW254" s="3"/>
      <c r="BX254" s="3">
        <f>SUM(E254:BW254)</f>
        <v>40</v>
      </c>
      <c r="BY254" s="6" t="s">
        <v>213</v>
      </c>
    </row>
    <row r="255" spans="1:77" ht="24" customHeight="1" x14ac:dyDescent="0.25">
      <c r="C255" s="3"/>
      <c r="D255" s="3" t="s">
        <v>77</v>
      </c>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5"/>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v>1</v>
      </c>
      <c r="BU255" s="3"/>
      <c r="BV255" s="3"/>
      <c r="BW255" s="3"/>
      <c r="BX255" s="3">
        <f>SUM(E255:BW255)</f>
        <v>1</v>
      </c>
      <c r="BY255" s="6"/>
    </row>
    <row r="256" spans="1:77" ht="24" customHeight="1" x14ac:dyDescent="0.25">
      <c r="C256" s="3"/>
      <c r="D256" s="3" t="s">
        <v>127</v>
      </c>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5"/>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v>1</v>
      </c>
      <c r="BU256" s="3"/>
      <c r="BV256" s="3"/>
      <c r="BW256" s="3"/>
      <c r="BX256" s="3">
        <f>SUM(E256:BW256)</f>
        <v>1</v>
      </c>
      <c r="BY256" s="6"/>
    </row>
    <row r="257" spans="1:77" ht="24" customHeight="1" x14ac:dyDescent="0.25">
      <c r="C257" s="3"/>
      <c r="D257" s="3" t="s">
        <v>132</v>
      </c>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5"/>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v>1</v>
      </c>
      <c r="BU257" s="3"/>
      <c r="BV257" s="3"/>
      <c r="BW257" s="3"/>
      <c r="BX257" s="3">
        <f>SUM(E257:BW257)</f>
        <v>1</v>
      </c>
      <c r="BY257" s="6"/>
    </row>
    <row r="258" spans="1:77" ht="24" customHeight="1" x14ac:dyDescent="0.25">
      <c r="C258" s="3"/>
      <c r="D258" s="3" t="s">
        <v>170</v>
      </c>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5"/>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v>1</v>
      </c>
      <c r="BV258" s="3"/>
      <c r="BW258" s="3"/>
      <c r="BX258" s="3">
        <f>SUM(E258:BW258)</f>
        <v>1</v>
      </c>
      <c r="BY258" s="6"/>
    </row>
    <row r="259" spans="1:77" ht="24" customHeight="1" x14ac:dyDescent="0.25">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5"/>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6"/>
    </row>
    <row r="260" spans="1:77" ht="24" customHeight="1" x14ac:dyDescent="0.25">
      <c r="C260" s="3" t="s">
        <v>39</v>
      </c>
      <c r="D260" s="3" t="s">
        <v>110</v>
      </c>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5"/>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v>26</v>
      </c>
      <c r="BU260" s="3">
        <v>15</v>
      </c>
      <c r="BV260" s="3"/>
      <c r="BW260" s="3"/>
      <c r="BX260" s="3">
        <f>SUM(E260:BW260)</f>
        <v>41</v>
      </c>
      <c r="BY260" s="6" t="s">
        <v>213</v>
      </c>
    </row>
    <row r="261" spans="1:77" ht="24" customHeight="1" x14ac:dyDescent="0.25">
      <c r="C261" s="3"/>
      <c r="D261" s="3" t="s">
        <v>133</v>
      </c>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5"/>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v>1</v>
      </c>
      <c r="BU261" s="3"/>
      <c r="BV261" s="3"/>
      <c r="BW261" s="3"/>
      <c r="BX261" s="3">
        <f>SUM(E261:BW261)</f>
        <v>1</v>
      </c>
      <c r="BY261" s="6"/>
    </row>
    <row r="262" spans="1:77" ht="24" customHeight="1" x14ac:dyDescent="0.25">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5"/>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6"/>
    </row>
    <row r="263" spans="1:77" s="15" customFormat="1" ht="24" customHeight="1" x14ac:dyDescent="0.25">
      <c r="A263" s="21" t="s">
        <v>89</v>
      </c>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20"/>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13"/>
      <c r="BR263" s="13"/>
      <c r="BS263" s="13"/>
      <c r="BT263" s="13"/>
      <c r="BU263" s="13"/>
      <c r="BV263" s="13"/>
      <c r="BW263" s="13"/>
      <c r="BX263" s="13"/>
      <c r="BY263" s="14"/>
    </row>
    <row r="264" spans="1:77" ht="24" customHeight="1" x14ac:dyDescent="0.25">
      <c r="C264" s="3" t="s">
        <v>98</v>
      </c>
      <c r="D264" s="3" t="s">
        <v>90</v>
      </c>
      <c r="E264" s="3">
        <v>86</v>
      </c>
      <c r="F264" s="3">
        <v>36</v>
      </c>
      <c r="G264" s="3">
        <v>1</v>
      </c>
      <c r="H264" s="3">
        <v>2</v>
      </c>
      <c r="I264" s="3">
        <v>107</v>
      </c>
      <c r="J264" s="3">
        <v>37</v>
      </c>
      <c r="K264" s="3"/>
      <c r="L264" s="3"/>
      <c r="M264" s="3">
        <v>233</v>
      </c>
      <c r="N264" s="3">
        <v>79</v>
      </c>
      <c r="O264" s="3">
        <v>0</v>
      </c>
      <c r="P264" s="3">
        <v>2</v>
      </c>
      <c r="Q264" s="3">
        <v>11</v>
      </c>
      <c r="R264" s="3">
        <v>190</v>
      </c>
      <c r="S264" s="3">
        <v>53</v>
      </c>
      <c r="T264" s="3"/>
      <c r="U264" s="3"/>
      <c r="V264" s="3">
        <v>3</v>
      </c>
      <c r="W264" s="3">
        <v>12</v>
      </c>
      <c r="X264" s="3">
        <v>122</v>
      </c>
      <c r="Y264" s="3">
        <v>32</v>
      </c>
      <c r="Z264" s="3"/>
      <c r="AA264" s="3">
        <v>1</v>
      </c>
      <c r="AB264" s="3"/>
      <c r="AC264" s="3">
        <v>1</v>
      </c>
      <c r="AD264" s="3">
        <v>238</v>
      </c>
      <c r="AE264" s="3">
        <v>121</v>
      </c>
      <c r="AF264" s="3"/>
      <c r="AG264" s="3">
        <v>1</v>
      </c>
      <c r="AH264" s="3"/>
      <c r="AI264" s="3">
        <v>5</v>
      </c>
      <c r="AJ264" s="5">
        <v>191</v>
      </c>
      <c r="AK264" s="3">
        <v>242</v>
      </c>
      <c r="AL264" s="3"/>
      <c r="AM264" s="3">
        <v>2</v>
      </c>
      <c r="AN264" s="3">
        <v>6</v>
      </c>
      <c r="AO264" s="3">
        <v>84</v>
      </c>
      <c r="AP264" s="3">
        <v>80</v>
      </c>
      <c r="AQ264" s="3"/>
      <c r="AR264" s="3">
        <v>1</v>
      </c>
      <c r="AS264" s="3">
        <v>1</v>
      </c>
      <c r="AT264" s="3">
        <v>172</v>
      </c>
      <c r="AU264" s="3">
        <v>76</v>
      </c>
      <c r="AV264" s="3"/>
      <c r="AW264" s="3">
        <v>1</v>
      </c>
      <c r="AX264" s="3">
        <v>5</v>
      </c>
      <c r="AY264" s="3">
        <v>185</v>
      </c>
      <c r="AZ264" s="3">
        <v>86</v>
      </c>
      <c r="BA264" s="3"/>
      <c r="BB264" s="3">
        <v>0</v>
      </c>
      <c r="BC264" s="3">
        <v>1</v>
      </c>
      <c r="BD264" s="3">
        <v>8</v>
      </c>
      <c r="BE264" s="3">
        <v>185</v>
      </c>
      <c r="BF264" s="3">
        <v>69</v>
      </c>
      <c r="BG264" s="3"/>
      <c r="BH264" s="3"/>
      <c r="BI264" s="3">
        <v>2</v>
      </c>
      <c r="BJ264" s="3">
        <v>2</v>
      </c>
      <c r="BK264" s="3">
        <v>107</v>
      </c>
      <c r="BL264" s="3">
        <v>27</v>
      </c>
      <c r="BM264" s="3"/>
      <c r="BN264" s="3"/>
      <c r="BO264" s="3">
        <v>3</v>
      </c>
      <c r="BP264" s="3">
        <v>24</v>
      </c>
      <c r="BQ264" s="3">
        <v>23</v>
      </c>
      <c r="BR264" s="3"/>
      <c r="BS264" s="3">
        <v>1</v>
      </c>
      <c r="BT264" s="3">
        <v>18</v>
      </c>
      <c r="BU264" s="3">
        <v>14</v>
      </c>
      <c r="BV264" s="3"/>
      <c r="BW264" s="3"/>
      <c r="BX264" s="3">
        <f>SUM(E264:BW264)</f>
        <v>2989</v>
      </c>
      <c r="BY264" s="6" t="s">
        <v>212</v>
      </c>
    </row>
    <row r="265" spans="1:77" ht="24" customHeight="1" x14ac:dyDescent="0.25">
      <c r="C265" s="3"/>
      <c r="D265" s="3" t="s">
        <v>91</v>
      </c>
      <c r="E265" s="3">
        <v>42</v>
      </c>
      <c r="F265" s="3">
        <v>18</v>
      </c>
      <c r="G265" s="3">
        <v>2</v>
      </c>
      <c r="H265" s="3"/>
      <c r="I265" s="3">
        <v>49</v>
      </c>
      <c r="J265" s="3">
        <v>21</v>
      </c>
      <c r="K265" s="3"/>
      <c r="L265" s="3">
        <v>1</v>
      </c>
      <c r="M265" s="3">
        <v>101</v>
      </c>
      <c r="N265" s="3">
        <v>36</v>
      </c>
      <c r="O265" s="3">
        <v>1</v>
      </c>
      <c r="P265" s="3"/>
      <c r="Q265" s="3">
        <v>2</v>
      </c>
      <c r="R265" s="3">
        <v>87</v>
      </c>
      <c r="S265" s="3">
        <v>26</v>
      </c>
      <c r="T265" s="3"/>
      <c r="U265" s="3"/>
      <c r="V265" s="3"/>
      <c r="W265" s="3">
        <v>6</v>
      </c>
      <c r="X265" s="3">
        <v>60</v>
      </c>
      <c r="Y265" s="3">
        <v>11</v>
      </c>
      <c r="Z265" s="3"/>
      <c r="AA265" s="3">
        <v>0</v>
      </c>
      <c r="AB265" s="3">
        <v>1</v>
      </c>
      <c r="AC265" s="3">
        <v>1</v>
      </c>
      <c r="AD265" s="3">
        <v>103</v>
      </c>
      <c r="AE265" s="3">
        <v>59</v>
      </c>
      <c r="AF265" s="3"/>
      <c r="AG265" s="3">
        <v>0</v>
      </c>
      <c r="AH265" s="3">
        <v>2</v>
      </c>
      <c r="AI265" s="3">
        <v>2</v>
      </c>
      <c r="AJ265" s="5">
        <v>78</v>
      </c>
      <c r="AK265" s="3">
        <v>115</v>
      </c>
      <c r="AL265" s="3"/>
      <c r="AM265" s="3"/>
      <c r="AN265" s="3">
        <v>3</v>
      </c>
      <c r="AO265" s="3">
        <v>30</v>
      </c>
      <c r="AP265" s="3">
        <v>44</v>
      </c>
      <c r="AQ265" s="3"/>
      <c r="AR265" s="3">
        <v>1</v>
      </c>
      <c r="AS265" s="3">
        <v>1</v>
      </c>
      <c r="AT265" s="3">
        <v>85</v>
      </c>
      <c r="AU265" s="3">
        <v>37</v>
      </c>
      <c r="AV265" s="3"/>
      <c r="AW265" s="3"/>
      <c r="AX265" s="3">
        <v>1</v>
      </c>
      <c r="AY265" s="3">
        <v>65</v>
      </c>
      <c r="AZ265" s="3">
        <v>33</v>
      </c>
      <c r="BA265" s="3"/>
      <c r="BB265" s="3">
        <v>1</v>
      </c>
      <c r="BC265" s="3"/>
      <c r="BD265" s="3"/>
      <c r="BE265" s="3">
        <v>93</v>
      </c>
      <c r="BF265" s="3">
        <v>41</v>
      </c>
      <c r="BG265" s="3"/>
      <c r="BH265" s="3"/>
      <c r="BI265" s="3">
        <v>1</v>
      </c>
      <c r="BJ265" s="3"/>
      <c r="BK265" s="3">
        <v>49</v>
      </c>
      <c r="BL265" s="3">
        <v>18</v>
      </c>
      <c r="BM265" s="3"/>
      <c r="BN265" s="3"/>
      <c r="BO265" s="3"/>
      <c r="BP265" s="3">
        <v>20</v>
      </c>
      <c r="BQ265" s="3">
        <v>10</v>
      </c>
      <c r="BR265" s="3"/>
      <c r="BS265" s="3">
        <v>2</v>
      </c>
      <c r="BT265" s="3">
        <v>18</v>
      </c>
      <c r="BU265" s="3">
        <v>8</v>
      </c>
      <c r="BV265" s="3"/>
      <c r="BW265" s="3"/>
      <c r="BX265" s="3">
        <f>SUM(E265:BW265)</f>
        <v>1385</v>
      </c>
      <c r="BY265" s="6"/>
    </row>
    <row r="266" spans="1:77" ht="24" customHeight="1" x14ac:dyDescent="0.25">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5"/>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6"/>
    </row>
    <row r="267" spans="1:77" ht="24" customHeight="1" x14ac:dyDescent="0.25">
      <c r="C267" s="3" t="s">
        <v>92</v>
      </c>
      <c r="D267" s="3" t="s">
        <v>90</v>
      </c>
      <c r="E267" s="3">
        <v>91</v>
      </c>
      <c r="F267" s="3">
        <v>39</v>
      </c>
      <c r="G267" s="3">
        <v>2</v>
      </c>
      <c r="H267" s="3">
        <v>3</v>
      </c>
      <c r="I267" s="3">
        <v>104</v>
      </c>
      <c r="J267" s="3">
        <v>31</v>
      </c>
      <c r="K267" s="3"/>
      <c r="L267" s="3"/>
      <c r="M267" s="3">
        <v>233</v>
      </c>
      <c r="N267" s="3">
        <v>79</v>
      </c>
      <c r="O267" s="3">
        <v>0</v>
      </c>
      <c r="P267" s="3">
        <v>1</v>
      </c>
      <c r="Q267" s="3">
        <v>10</v>
      </c>
      <c r="R267" s="3">
        <v>186</v>
      </c>
      <c r="S267" s="3">
        <v>52</v>
      </c>
      <c r="T267" s="3"/>
      <c r="U267" s="3"/>
      <c r="V267" s="3">
        <v>3</v>
      </c>
      <c r="W267" s="3">
        <v>11</v>
      </c>
      <c r="X267" s="3">
        <v>123</v>
      </c>
      <c r="Y267" s="3">
        <v>30</v>
      </c>
      <c r="Z267" s="3"/>
      <c r="AA267" s="3">
        <v>1</v>
      </c>
      <c r="AB267" s="3"/>
      <c r="AC267" s="3">
        <v>1</v>
      </c>
      <c r="AD267" s="3">
        <v>236</v>
      </c>
      <c r="AE267" s="3">
        <v>122</v>
      </c>
      <c r="AF267" s="3"/>
      <c r="AG267" s="3">
        <v>1</v>
      </c>
      <c r="AH267" s="3">
        <v>1</v>
      </c>
      <c r="AI267" s="3">
        <v>7</v>
      </c>
      <c r="AJ267" s="5">
        <v>192</v>
      </c>
      <c r="AK267" s="3">
        <v>253</v>
      </c>
      <c r="AL267" s="3"/>
      <c r="AM267" s="3">
        <v>2</v>
      </c>
      <c r="AN267" s="3">
        <v>6</v>
      </c>
      <c r="AO267" s="3">
        <v>80</v>
      </c>
      <c r="AP267" s="3">
        <v>85</v>
      </c>
      <c r="AQ267" s="3"/>
      <c r="AR267" s="3">
        <v>1</v>
      </c>
      <c r="AS267" s="3">
        <v>1</v>
      </c>
      <c r="AT267" s="3">
        <v>165</v>
      </c>
      <c r="AU267" s="3">
        <v>76</v>
      </c>
      <c r="AV267" s="3"/>
      <c r="AW267" s="3">
        <v>1</v>
      </c>
      <c r="AX267" s="3">
        <v>5</v>
      </c>
      <c r="AY267" s="3">
        <v>190</v>
      </c>
      <c r="AZ267" s="3">
        <v>86</v>
      </c>
      <c r="BA267" s="3"/>
      <c r="BB267" s="3">
        <v>0</v>
      </c>
      <c r="BC267" s="3">
        <v>1</v>
      </c>
      <c r="BD267" s="3">
        <v>8</v>
      </c>
      <c r="BE267" s="3">
        <v>192</v>
      </c>
      <c r="BF267" s="3">
        <v>73</v>
      </c>
      <c r="BG267" s="3"/>
      <c r="BH267" s="3"/>
      <c r="BI267" s="3">
        <v>1</v>
      </c>
      <c r="BJ267" s="3">
        <v>2</v>
      </c>
      <c r="BK267" s="3">
        <v>99</v>
      </c>
      <c r="BL267" s="3">
        <v>29</v>
      </c>
      <c r="BM267" s="3"/>
      <c r="BN267" s="3"/>
      <c r="BO267" s="3">
        <v>2</v>
      </c>
      <c r="BP267" s="3">
        <v>25</v>
      </c>
      <c r="BQ267" s="3">
        <v>24</v>
      </c>
      <c r="BR267" s="3"/>
      <c r="BS267" s="3">
        <v>2</v>
      </c>
      <c r="BT267" s="3">
        <v>21</v>
      </c>
      <c r="BU267" s="3">
        <v>17</v>
      </c>
      <c r="BV267" s="3"/>
      <c r="BW267" s="3"/>
      <c r="BX267" s="3">
        <f>SUM(E267:BW267)</f>
        <v>3006</v>
      </c>
      <c r="BY267" s="6" t="s">
        <v>212</v>
      </c>
    </row>
    <row r="268" spans="1:77" ht="24" customHeight="1" x14ac:dyDescent="0.25">
      <c r="C268" s="3"/>
      <c r="D268" s="3" t="s">
        <v>91</v>
      </c>
      <c r="E268" s="3">
        <v>39</v>
      </c>
      <c r="F268" s="3">
        <v>15</v>
      </c>
      <c r="G268" s="3">
        <v>1</v>
      </c>
      <c r="H268" s="3"/>
      <c r="I268" s="3">
        <v>54</v>
      </c>
      <c r="J268" s="3">
        <v>27</v>
      </c>
      <c r="K268" s="3"/>
      <c r="L268" s="3">
        <v>1</v>
      </c>
      <c r="M268" s="3">
        <v>100</v>
      </c>
      <c r="N268" s="3">
        <v>36</v>
      </c>
      <c r="O268" s="3">
        <v>1</v>
      </c>
      <c r="P268" s="3">
        <v>1</v>
      </c>
      <c r="Q268" s="3">
        <v>3</v>
      </c>
      <c r="R268" s="3">
        <v>90</v>
      </c>
      <c r="S268" s="3">
        <v>27</v>
      </c>
      <c r="T268" s="3"/>
      <c r="U268" s="3"/>
      <c r="V268" s="3"/>
      <c r="W268" s="3">
        <v>6</v>
      </c>
      <c r="X268" s="3">
        <v>59</v>
      </c>
      <c r="Y268" s="3">
        <v>15</v>
      </c>
      <c r="Z268" s="3"/>
      <c r="AA268" s="3">
        <v>0</v>
      </c>
      <c r="AB268" s="3">
        <v>1</v>
      </c>
      <c r="AC268" s="3">
        <v>1</v>
      </c>
      <c r="AD268" s="3">
        <v>104</v>
      </c>
      <c r="AE268" s="3">
        <v>59</v>
      </c>
      <c r="AF268" s="3"/>
      <c r="AG268" s="3">
        <v>0</v>
      </c>
      <c r="AH268" s="3">
        <v>1</v>
      </c>
      <c r="AI268" s="3">
        <v>1</v>
      </c>
      <c r="AJ268" s="5">
        <v>76</v>
      </c>
      <c r="AK268" s="3">
        <v>106</v>
      </c>
      <c r="AL268" s="3"/>
      <c r="AM268" s="3"/>
      <c r="AN268" s="3">
        <v>3</v>
      </c>
      <c r="AO268" s="3">
        <v>34</v>
      </c>
      <c r="AP268" s="3">
        <v>41</v>
      </c>
      <c r="AQ268" s="3"/>
      <c r="AR268" s="3">
        <v>1</v>
      </c>
      <c r="AS268" s="3">
        <v>1</v>
      </c>
      <c r="AT268" s="3">
        <v>95</v>
      </c>
      <c r="AU268" s="3">
        <v>38</v>
      </c>
      <c r="AV268" s="3"/>
      <c r="AW268" s="3"/>
      <c r="AX268" s="3">
        <v>1</v>
      </c>
      <c r="AY268" s="3">
        <v>64</v>
      </c>
      <c r="AZ268" s="3">
        <v>32</v>
      </c>
      <c r="BA268" s="3"/>
      <c r="BB268" s="3">
        <v>1</v>
      </c>
      <c r="BC268" s="3"/>
      <c r="BD268" s="3"/>
      <c r="BE268" s="3">
        <v>87</v>
      </c>
      <c r="BF268" s="3">
        <v>37</v>
      </c>
      <c r="BG268" s="3"/>
      <c r="BH268" s="3"/>
      <c r="BI268" s="3">
        <v>3</v>
      </c>
      <c r="BJ268" s="3"/>
      <c r="BK268" s="3">
        <v>56</v>
      </c>
      <c r="BL268" s="3">
        <v>14</v>
      </c>
      <c r="BM268" s="3"/>
      <c r="BN268" s="3"/>
      <c r="BO268" s="3">
        <v>1</v>
      </c>
      <c r="BP268" s="3">
        <v>19</v>
      </c>
      <c r="BQ268" s="3">
        <v>9</v>
      </c>
      <c r="BR268" s="3"/>
      <c r="BS268" s="3">
        <v>1</v>
      </c>
      <c r="BT268" s="3">
        <v>15</v>
      </c>
      <c r="BU268" s="3">
        <v>5</v>
      </c>
      <c r="BV268" s="3"/>
      <c r="BW268" s="3"/>
      <c r="BX268" s="3">
        <f>SUM(E268:BW268)</f>
        <v>1382</v>
      </c>
      <c r="BY268" s="6"/>
    </row>
    <row r="269" spans="1:77" ht="24" customHeight="1" x14ac:dyDescent="0.25">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5"/>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6"/>
    </row>
    <row r="270" spans="1:77" ht="24" customHeight="1" x14ac:dyDescent="0.25">
      <c r="C270" s="3" t="s">
        <v>93</v>
      </c>
      <c r="D270" s="3" t="s">
        <v>90</v>
      </c>
      <c r="E270" s="3">
        <v>62</v>
      </c>
      <c r="F270" s="3">
        <v>28</v>
      </c>
      <c r="G270" s="3">
        <v>2</v>
      </c>
      <c r="H270" s="3">
        <v>2</v>
      </c>
      <c r="I270" s="3">
        <v>95</v>
      </c>
      <c r="J270" s="3">
        <v>30</v>
      </c>
      <c r="K270" s="3"/>
      <c r="L270" s="3">
        <v>1</v>
      </c>
      <c r="M270" s="3">
        <v>200</v>
      </c>
      <c r="N270" s="3">
        <v>77</v>
      </c>
      <c r="O270" s="3">
        <v>0</v>
      </c>
      <c r="P270" s="3">
        <v>1</v>
      </c>
      <c r="Q270" s="3">
        <v>9</v>
      </c>
      <c r="R270" s="3">
        <v>185</v>
      </c>
      <c r="S270" s="3">
        <v>51</v>
      </c>
      <c r="T270" s="3"/>
      <c r="U270" s="3"/>
      <c r="V270" s="3">
        <v>3</v>
      </c>
      <c r="W270" s="3">
        <v>11</v>
      </c>
      <c r="X270" s="3">
        <v>120</v>
      </c>
      <c r="Y270" s="3">
        <v>29</v>
      </c>
      <c r="Z270" s="3"/>
      <c r="AA270" s="3">
        <v>1</v>
      </c>
      <c r="AB270" s="3"/>
      <c r="AC270" s="3">
        <v>1</v>
      </c>
      <c r="AD270" s="3">
        <v>225</v>
      </c>
      <c r="AE270" s="3">
        <v>106</v>
      </c>
      <c r="AF270" s="3"/>
      <c r="AG270" s="3">
        <v>1</v>
      </c>
      <c r="AH270" s="3"/>
      <c r="AI270" s="3">
        <v>6</v>
      </c>
      <c r="AJ270" s="5">
        <v>171</v>
      </c>
      <c r="AK270" s="3">
        <v>215</v>
      </c>
      <c r="AL270" s="3"/>
      <c r="AM270" s="3">
        <v>2</v>
      </c>
      <c r="AN270" s="3">
        <v>4</v>
      </c>
      <c r="AO270" s="3">
        <v>69</v>
      </c>
      <c r="AP270" s="3">
        <v>66</v>
      </c>
      <c r="AQ270" s="3"/>
      <c r="AR270" s="3">
        <v>1</v>
      </c>
      <c r="AS270" s="3">
        <v>1</v>
      </c>
      <c r="AT270" s="3">
        <v>155</v>
      </c>
      <c r="AU270" s="3">
        <v>72</v>
      </c>
      <c r="AV270" s="3"/>
      <c r="AW270" s="3">
        <v>1</v>
      </c>
      <c r="AX270" s="3">
        <v>4</v>
      </c>
      <c r="AY270" s="3">
        <v>176</v>
      </c>
      <c r="AZ270" s="3">
        <v>76</v>
      </c>
      <c r="BA270" s="3"/>
      <c r="BB270" s="3">
        <v>0</v>
      </c>
      <c r="BC270" s="3">
        <v>1</v>
      </c>
      <c r="BD270" s="3">
        <v>8</v>
      </c>
      <c r="BE270" s="3">
        <v>171</v>
      </c>
      <c r="BF270" s="3">
        <v>66</v>
      </c>
      <c r="BG270" s="3"/>
      <c r="BH270" s="3"/>
      <c r="BI270" s="3">
        <v>1</v>
      </c>
      <c r="BJ270" s="3">
        <v>2</v>
      </c>
      <c r="BK270" s="3">
        <v>98</v>
      </c>
      <c r="BL270" s="3">
        <v>26</v>
      </c>
      <c r="BM270" s="3"/>
      <c r="BN270" s="3"/>
      <c r="BO270" s="3">
        <v>3</v>
      </c>
      <c r="BP270" s="3">
        <v>19</v>
      </c>
      <c r="BQ270" s="3">
        <v>23</v>
      </c>
      <c r="BR270" s="3"/>
      <c r="BS270" s="3">
        <v>1</v>
      </c>
      <c r="BT270" s="3">
        <v>16</v>
      </c>
      <c r="BU270" s="3">
        <v>14</v>
      </c>
      <c r="BV270" s="3"/>
      <c r="BW270" s="3"/>
      <c r="BX270" s="3">
        <f>SUM(E270:BW270)</f>
        <v>2708</v>
      </c>
      <c r="BY270" s="6" t="s">
        <v>212</v>
      </c>
    </row>
    <row r="271" spans="1:77" ht="24" customHeight="1" x14ac:dyDescent="0.25">
      <c r="C271" s="3"/>
      <c r="D271" s="3" t="s">
        <v>91</v>
      </c>
      <c r="E271" s="3">
        <v>67</v>
      </c>
      <c r="F271" s="3">
        <v>25</v>
      </c>
      <c r="G271" s="3">
        <v>1</v>
      </c>
      <c r="H271" s="3"/>
      <c r="I271" s="3">
        <v>62</v>
      </c>
      <c r="J271" s="3">
        <v>27</v>
      </c>
      <c r="K271" s="3"/>
      <c r="L271" s="3"/>
      <c r="M271" s="3">
        <v>132</v>
      </c>
      <c r="N271" s="3">
        <v>38</v>
      </c>
      <c r="O271" s="3">
        <v>1</v>
      </c>
      <c r="P271" s="3">
        <v>1</v>
      </c>
      <c r="Q271" s="3">
        <v>4</v>
      </c>
      <c r="R271" s="3">
        <v>89</v>
      </c>
      <c r="S271" s="3">
        <v>29</v>
      </c>
      <c r="T271" s="3"/>
      <c r="U271" s="3"/>
      <c r="V271" s="3"/>
      <c r="W271" s="3">
        <v>7</v>
      </c>
      <c r="X271" s="3">
        <v>62</v>
      </c>
      <c r="Y271" s="3">
        <v>14</v>
      </c>
      <c r="Z271" s="3"/>
      <c r="AA271" s="3">
        <v>0</v>
      </c>
      <c r="AB271" s="3">
        <v>1</v>
      </c>
      <c r="AC271" s="3">
        <v>1</v>
      </c>
      <c r="AD271" s="3">
        <v>112</v>
      </c>
      <c r="AE271" s="3">
        <v>74</v>
      </c>
      <c r="AF271" s="3"/>
      <c r="AG271" s="3">
        <v>0</v>
      </c>
      <c r="AH271" s="3">
        <v>2</v>
      </c>
      <c r="AI271" s="3">
        <v>2</v>
      </c>
      <c r="AJ271" s="5">
        <v>94</v>
      </c>
      <c r="AK271" s="3">
        <v>137</v>
      </c>
      <c r="AL271" s="3"/>
      <c r="AM271" s="3"/>
      <c r="AN271" s="3">
        <v>5</v>
      </c>
      <c r="AO271" s="3">
        <v>46</v>
      </c>
      <c r="AP271" s="3">
        <v>56</v>
      </c>
      <c r="AQ271" s="3"/>
      <c r="AR271" s="3">
        <v>1</v>
      </c>
      <c r="AS271" s="3">
        <v>1</v>
      </c>
      <c r="AT271" s="3">
        <v>105</v>
      </c>
      <c r="AU271" s="3">
        <v>42</v>
      </c>
      <c r="AV271" s="3"/>
      <c r="AW271" s="3"/>
      <c r="AX271" s="3">
        <v>2</v>
      </c>
      <c r="AY271" s="3">
        <v>73</v>
      </c>
      <c r="AZ271" s="3">
        <v>41</v>
      </c>
      <c r="BA271" s="3"/>
      <c r="BB271" s="3">
        <v>1</v>
      </c>
      <c r="BC271" s="3"/>
      <c r="BD271" s="3"/>
      <c r="BE271" s="3">
        <v>105</v>
      </c>
      <c r="BF271" s="3">
        <v>43</v>
      </c>
      <c r="BG271" s="3"/>
      <c r="BH271" s="3"/>
      <c r="BI271" s="3">
        <v>2</v>
      </c>
      <c r="BJ271" s="3"/>
      <c r="BK271" s="3">
        <v>57</v>
      </c>
      <c r="BL271" s="3">
        <v>17</v>
      </c>
      <c r="BM271" s="3"/>
      <c r="BN271" s="3"/>
      <c r="BO271" s="3"/>
      <c r="BP271" s="3">
        <v>26</v>
      </c>
      <c r="BQ271" s="3">
        <v>10</v>
      </c>
      <c r="BR271" s="3"/>
      <c r="BS271" s="3">
        <v>2</v>
      </c>
      <c r="BT271" s="3">
        <v>20</v>
      </c>
      <c r="BU271" s="3">
        <v>7</v>
      </c>
      <c r="BV271" s="3"/>
      <c r="BW271" s="3"/>
      <c r="BX271" s="3">
        <f>SUM(E271:BW271)</f>
        <v>1644</v>
      </c>
      <c r="BY271" s="6"/>
    </row>
    <row r="272" spans="1:77" ht="24" customHeight="1" x14ac:dyDescent="0.25">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5"/>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6"/>
    </row>
    <row r="273" spans="1:77" ht="24" customHeight="1" x14ac:dyDescent="0.25">
      <c r="C273" s="3" t="s">
        <v>94</v>
      </c>
      <c r="D273" s="3" t="s">
        <v>90</v>
      </c>
      <c r="E273" s="3">
        <v>65</v>
      </c>
      <c r="F273" s="3">
        <v>27</v>
      </c>
      <c r="G273" s="3">
        <v>1</v>
      </c>
      <c r="H273" s="3">
        <v>2</v>
      </c>
      <c r="I273" s="3">
        <v>94</v>
      </c>
      <c r="J273" s="3">
        <v>29</v>
      </c>
      <c r="K273" s="3"/>
      <c r="L273" s="3"/>
      <c r="M273" s="3">
        <v>200</v>
      </c>
      <c r="N273" s="3">
        <v>75</v>
      </c>
      <c r="O273" s="3">
        <v>0</v>
      </c>
      <c r="P273" s="3">
        <v>1</v>
      </c>
      <c r="Q273" s="3">
        <v>9</v>
      </c>
      <c r="R273" s="3">
        <v>180</v>
      </c>
      <c r="S273" s="3">
        <v>48</v>
      </c>
      <c r="T273" s="3"/>
      <c r="U273" s="3"/>
      <c r="V273" s="3">
        <v>3</v>
      </c>
      <c r="W273" s="3">
        <v>11</v>
      </c>
      <c r="X273" s="3">
        <v>123</v>
      </c>
      <c r="Y273" s="3">
        <v>30</v>
      </c>
      <c r="Z273" s="3"/>
      <c r="AA273" s="3">
        <v>1</v>
      </c>
      <c r="AB273" s="3"/>
      <c r="AC273" s="3">
        <v>1</v>
      </c>
      <c r="AD273" s="3">
        <v>233</v>
      </c>
      <c r="AE273" s="3">
        <v>108</v>
      </c>
      <c r="AF273" s="3"/>
      <c r="AG273" s="3">
        <v>1</v>
      </c>
      <c r="AH273" s="3"/>
      <c r="AI273" s="3">
        <v>5</v>
      </c>
      <c r="AJ273" s="5">
        <v>163</v>
      </c>
      <c r="AK273" s="3">
        <v>215</v>
      </c>
      <c r="AL273" s="3"/>
      <c r="AM273" s="3">
        <v>2</v>
      </c>
      <c r="AN273" s="3">
        <v>5</v>
      </c>
      <c r="AO273" s="3">
        <v>66</v>
      </c>
      <c r="AP273" s="3">
        <v>66</v>
      </c>
      <c r="AQ273" s="3"/>
      <c r="AR273" s="3">
        <v>1</v>
      </c>
      <c r="AS273" s="3">
        <v>1</v>
      </c>
      <c r="AT273" s="3">
        <v>151</v>
      </c>
      <c r="AU273" s="3">
        <v>70</v>
      </c>
      <c r="AV273" s="3"/>
      <c r="AW273" s="3">
        <v>1</v>
      </c>
      <c r="AX273" s="3">
        <v>4</v>
      </c>
      <c r="AY273" s="3">
        <v>174</v>
      </c>
      <c r="AZ273" s="3">
        <v>74</v>
      </c>
      <c r="BA273" s="3"/>
      <c r="BB273" s="3">
        <v>0</v>
      </c>
      <c r="BC273" s="3">
        <v>1</v>
      </c>
      <c r="BD273" s="3">
        <v>8</v>
      </c>
      <c r="BE273" s="3">
        <v>175</v>
      </c>
      <c r="BF273" s="3">
        <v>67</v>
      </c>
      <c r="BG273" s="3"/>
      <c r="BH273" s="3"/>
      <c r="BI273" s="3">
        <v>2</v>
      </c>
      <c r="BJ273" s="3">
        <v>3</v>
      </c>
      <c r="BK273" s="3">
        <v>93</v>
      </c>
      <c r="BL273" s="3">
        <v>20</v>
      </c>
      <c r="BM273" s="3"/>
      <c r="BN273" s="3"/>
      <c r="BO273" s="3">
        <v>3</v>
      </c>
      <c r="BP273" s="3">
        <v>19</v>
      </c>
      <c r="BQ273" s="3">
        <v>21</v>
      </c>
      <c r="BR273" s="3"/>
      <c r="BS273" s="3">
        <v>1</v>
      </c>
      <c r="BT273" s="3">
        <v>17</v>
      </c>
      <c r="BU273" s="3">
        <v>14</v>
      </c>
      <c r="BV273" s="3"/>
      <c r="BW273" s="3"/>
      <c r="BX273" s="3">
        <f>SUM(E273:BW273)</f>
        <v>2684</v>
      </c>
      <c r="BY273" s="6" t="s">
        <v>212</v>
      </c>
    </row>
    <row r="274" spans="1:77" ht="24" customHeight="1" x14ac:dyDescent="0.25">
      <c r="C274" s="3"/>
      <c r="D274" s="3" t="s">
        <v>91</v>
      </c>
      <c r="E274" s="3">
        <v>64</v>
      </c>
      <c r="F274" s="3">
        <v>26</v>
      </c>
      <c r="G274" s="3">
        <v>2</v>
      </c>
      <c r="H274" s="3"/>
      <c r="I274" s="3">
        <v>63</v>
      </c>
      <c r="J274" s="3">
        <v>29</v>
      </c>
      <c r="K274" s="3"/>
      <c r="L274" s="3">
        <v>1</v>
      </c>
      <c r="M274" s="3">
        <v>132</v>
      </c>
      <c r="N274" s="3">
        <v>40</v>
      </c>
      <c r="O274" s="3">
        <v>1</v>
      </c>
      <c r="P274" s="3">
        <v>1</v>
      </c>
      <c r="Q274" s="3">
        <v>4</v>
      </c>
      <c r="R274" s="3">
        <v>94</v>
      </c>
      <c r="S274" s="3">
        <v>31</v>
      </c>
      <c r="T274" s="3"/>
      <c r="U274" s="3"/>
      <c r="V274" s="3"/>
      <c r="W274" s="3">
        <v>7</v>
      </c>
      <c r="X274" s="3">
        <v>58</v>
      </c>
      <c r="Y274" s="3">
        <v>13</v>
      </c>
      <c r="Z274" s="3"/>
      <c r="AA274" s="3">
        <v>0</v>
      </c>
      <c r="AB274" s="3">
        <v>1</v>
      </c>
      <c r="AC274" s="3">
        <v>1</v>
      </c>
      <c r="AD274" s="3">
        <v>106</v>
      </c>
      <c r="AE274" s="3">
        <v>72</v>
      </c>
      <c r="AF274" s="3"/>
      <c r="AG274" s="3">
        <v>0</v>
      </c>
      <c r="AH274" s="3">
        <v>2</v>
      </c>
      <c r="AI274" s="3">
        <v>3</v>
      </c>
      <c r="AJ274" s="5">
        <v>102</v>
      </c>
      <c r="AK274" s="3">
        <v>134</v>
      </c>
      <c r="AL274" s="3"/>
      <c r="AM274" s="3"/>
      <c r="AN274" s="3">
        <v>4</v>
      </c>
      <c r="AO274" s="3">
        <v>48</v>
      </c>
      <c r="AP274" s="3">
        <v>57</v>
      </c>
      <c r="AQ274" s="3"/>
      <c r="AR274" s="3">
        <v>1</v>
      </c>
      <c r="AS274" s="3">
        <v>1</v>
      </c>
      <c r="AT274" s="3">
        <v>109</v>
      </c>
      <c r="AU274" s="3">
        <v>44</v>
      </c>
      <c r="AV274" s="3"/>
      <c r="AW274" s="3"/>
      <c r="AX274" s="3">
        <v>2</v>
      </c>
      <c r="AY274" s="3">
        <v>76</v>
      </c>
      <c r="AZ274" s="3">
        <v>44</v>
      </c>
      <c r="BA274" s="3"/>
      <c r="BB274" s="3">
        <v>1</v>
      </c>
      <c r="BC274" s="3"/>
      <c r="BD274" s="3"/>
      <c r="BE274" s="3">
        <v>102</v>
      </c>
      <c r="BF274" s="3">
        <v>42</v>
      </c>
      <c r="BG274" s="3"/>
      <c r="BH274" s="3"/>
      <c r="BI274" s="3">
        <v>1</v>
      </c>
      <c r="BJ274" s="3"/>
      <c r="BK274" s="3">
        <v>60</v>
      </c>
      <c r="BL274" s="3">
        <v>22</v>
      </c>
      <c r="BM274" s="3"/>
      <c r="BN274" s="3"/>
      <c r="BO274" s="3"/>
      <c r="BP274" s="3">
        <v>26</v>
      </c>
      <c r="BQ274" s="3">
        <v>11</v>
      </c>
      <c r="BR274" s="3"/>
      <c r="BS274" s="3">
        <v>2</v>
      </c>
      <c r="BT274" s="3">
        <v>19</v>
      </c>
      <c r="BU274" s="3">
        <v>7</v>
      </c>
      <c r="BV274" s="3"/>
      <c r="BW274" s="3"/>
      <c r="BX274" s="3">
        <f>SUM(E274:BW274)</f>
        <v>1666</v>
      </c>
      <c r="BY274" s="6"/>
    </row>
    <row r="275" spans="1:77" ht="24" customHeight="1" x14ac:dyDescent="0.25">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5"/>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6"/>
    </row>
    <row r="276" spans="1:77" ht="24" customHeight="1" x14ac:dyDescent="0.25">
      <c r="C276" s="3" t="s">
        <v>95</v>
      </c>
      <c r="D276" s="3" t="s">
        <v>90</v>
      </c>
      <c r="E276" s="3">
        <v>69</v>
      </c>
      <c r="F276" s="3">
        <v>29</v>
      </c>
      <c r="G276" s="3">
        <v>1</v>
      </c>
      <c r="H276" s="3">
        <v>2</v>
      </c>
      <c r="I276" s="3">
        <v>96</v>
      </c>
      <c r="J276" s="3">
        <v>32</v>
      </c>
      <c r="K276" s="3"/>
      <c r="L276" s="3"/>
      <c r="M276" s="3">
        <v>199</v>
      </c>
      <c r="N276" s="3">
        <v>76</v>
      </c>
      <c r="O276" s="3">
        <v>0</v>
      </c>
      <c r="P276" s="3">
        <v>1</v>
      </c>
      <c r="Q276" s="3">
        <v>10</v>
      </c>
      <c r="R276" s="3">
        <v>174</v>
      </c>
      <c r="S276" s="3">
        <v>49</v>
      </c>
      <c r="T276" s="3"/>
      <c r="U276" s="3"/>
      <c r="V276" s="3">
        <v>3</v>
      </c>
      <c r="W276" s="3">
        <v>11</v>
      </c>
      <c r="X276" s="3">
        <v>121</v>
      </c>
      <c r="Y276" s="3">
        <v>30</v>
      </c>
      <c r="Z276" s="3"/>
      <c r="AA276" s="3">
        <v>1</v>
      </c>
      <c r="AB276" s="3"/>
      <c r="AC276" s="3">
        <v>1</v>
      </c>
      <c r="AD276" s="3">
        <v>230</v>
      </c>
      <c r="AE276" s="3">
        <v>101</v>
      </c>
      <c r="AF276" s="3"/>
      <c r="AG276" s="3">
        <v>1</v>
      </c>
      <c r="AH276" s="3"/>
      <c r="AI276" s="3">
        <v>5</v>
      </c>
      <c r="AJ276" s="5">
        <v>169</v>
      </c>
      <c r="AK276" s="3">
        <v>217</v>
      </c>
      <c r="AL276" s="3"/>
      <c r="AM276" s="3">
        <v>2</v>
      </c>
      <c r="AN276" s="3">
        <v>5</v>
      </c>
      <c r="AO276" s="3">
        <v>68</v>
      </c>
      <c r="AP276" s="3">
        <v>65</v>
      </c>
      <c r="AQ276" s="3"/>
      <c r="AR276" s="3">
        <v>1</v>
      </c>
      <c r="AS276" s="3">
        <v>1</v>
      </c>
      <c r="AT276" s="3">
        <v>151</v>
      </c>
      <c r="AU276" s="3">
        <v>70</v>
      </c>
      <c r="AV276" s="3"/>
      <c r="AW276" s="3">
        <v>1</v>
      </c>
      <c r="AX276" s="3">
        <v>3</v>
      </c>
      <c r="AY276" s="3">
        <v>175</v>
      </c>
      <c r="AZ276" s="3">
        <v>77</v>
      </c>
      <c r="BA276" s="3"/>
      <c r="BB276" s="3">
        <v>0</v>
      </c>
      <c r="BC276" s="3">
        <v>1</v>
      </c>
      <c r="BD276" s="3">
        <v>8</v>
      </c>
      <c r="BE276" s="3">
        <v>169</v>
      </c>
      <c r="BF276" s="3">
        <v>64</v>
      </c>
      <c r="BG276" s="3"/>
      <c r="BH276" s="3"/>
      <c r="BI276" s="3">
        <v>2</v>
      </c>
      <c r="BJ276" s="3">
        <v>2</v>
      </c>
      <c r="BK276" s="3">
        <v>94</v>
      </c>
      <c r="BL276" s="3">
        <v>23</v>
      </c>
      <c r="BM276" s="3"/>
      <c r="BN276" s="3"/>
      <c r="BO276" s="3">
        <v>3</v>
      </c>
      <c r="BP276" s="3">
        <v>19</v>
      </c>
      <c r="BQ276" s="3">
        <v>21</v>
      </c>
      <c r="BR276" s="3"/>
      <c r="BS276" s="3">
        <v>1</v>
      </c>
      <c r="BT276" s="3">
        <v>18</v>
      </c>
      <c r="BU276" s="3">
        <v>14</v>
      </c>
      <c r="BV276" s="3"/>
      <c r="BW276" s="3"/>
      <c r="BX276" s="3">
        <f>SUM(E276:BW276)</f>
        <v>2686</v>
      </c>
      <c r="BY276" s="6" t="s">
        <v>212</v>
      </c>
    </row>
    <row r="277" spans="1:77" ht="24" customHeight="1" x14ac:dyDescent="0.25">
      <c r="C277" s="3"/>
      <c r="D277" s="3" t="s">
        <v>91</v>
      </c>
      <c r="E277" s="3">
        <v>60</v>
      </c>
      <c r="F277" s="3">
        <v>24</v>
      </c>
      <c r="G277" s="3">
        <v>2</v>
      </c>
      <c r="H277" s="3"/>
      <c r="I277" s="3">
        <v>60</v>
      </c>
      <c r="J277" s="3">
        <v>26</v>
      </c>
      <c r="K277" s="3"/>
      <c r="L277" s="3">
        <v>1</v>
      </c>
      <c r="M277" s="3">
        <v>131</v>
      </c>
      <c r="N277" s="3">
        <v>39</v>
      </c>
      <c r="O277" s="3">
        <v>1</v>
      </c>
      <c r="P277" s="3">
        <v>1</v>
      </c>
      <c r="Q277" s="3">
        <v>3</v>
      </c>
      <c r="R277" s="3">
        <v>101</v>
      </c>
      <c r="S277" s="3">
        <v>31</v>
      </c>
      <c r="T277" s="3"/>
      <c r="U277" s="3"/>
      <c r="V277" s="3"/>
      <c r="W277" s="3">
        <v>7</v>
      </c>
      <c r="X277" s="3">
        <v>59</v>
      </c>
      <c r="Y277" s="3">
        <v>14</v>
      </c>
      <c r="Z277" s="3"/>
      <c r="AA277" s="3">
        <v>0</v>
      </c>
      <c r="AB277" s="3">
        <v>1</v>
      </c>
      <c r="AC277" s="3">
        <v>1</v>
      </c>
      <c r="AD277" s="3">
        <v>110</v>
      </c>
      <c r="AE277" s="3">
        <v>78</v>
      </c>
      <c r="AF277" s="3"/>
      <c r="AG277" s="3">
        <v>0</v>
      </c>
      <c r="AH277" s="3">
        <v>2</v>
      </c>
      <c r="AI277" s="3">
        <v>3</v>
      </c>
      <c r="AJ277" s="5">
        <v>93</v>
      </c>
      <c r="AK277" s="3">
        <v>133</v>
      </c>
      <c r="AL277" s="3"/>
      <c r="AM277" s="3"/>
      <c r="AN277" s="3">
        <v>4</v>
      </c>
      <c r="AO277" s="3">
        <v>46</v>
      </c>
      <c r="AP277" s="3">
        <v>56</v>
      </c>
      <c r="AQ277" s="3"/>
      <c r="AR277" s="3">
        <v>1</v>
      </c>
      <c r="AS277" s="3">
        <v>1</v>
      </c>
      <c r="AT277" s="3">
        <v>105</v>
      </c>
      <c r="AU277" s="3">
        <v>45</v>
      </c>
      <c r="AV277" s="3"/>
      <c r="AW277" s="3"/>
      <c r="AX277" s="3">
        <v>3</v>
      </c>
      <c r="AY277" s="3">
        <v>73</v>
      </c>
      <c r="AZ277" s="3">
        <v>39</v>
      </c>
      <c r="BA277" s="3"/>
      <c r="BB277" s="3">
        <v>1</v>
      </c>
      <c r="BC277" s="3"/>
      <c r="BD277" s="3"/>
      <c r="BE277" s="3">
        <v>107</v>
      </c>
      <c r="BF277" s="3">
        <v>45</v>
      </c>
      <c r="BG277" s="3"/>
      <c r="BH277" s="3"/>
      <c r="BI277" s="3">
        <v>1</v>
      </c>
      <c r="BJ277" s="3"/>
      <c r="BK277" s="3">
        <v>60</v>
      </c>
      <c r="BL277" s="3">
        <v>20</v>
      </c>
      <c r="BM277" s="3"/>
      <c r="BN277" s="3"/>
      <c r="BO277" s="3"/>
      <c r="BP277" s="3">
        <v>26</v>
      </c>
      <c r="BQ277" s="3">
        <v>11</v>
      </c>
      <c r="BR277" s="3"/>
      <c r="BS277" s="3">
        <v>2</v>
      </c>
      <c r="BT277" s="3">
        <v>18</v>
      </c>
      <c r="BU277" s="3">
        <v>7</v>
      </c>
      <c r="BV277" s="3"/>
      <c r="BW277" s="3"/>
      <c r="BX277" s="3">
        <f>SUM(E277:BW277)</f>
        <v>1652</v>
      </c>
      <c r="BY277" s="6"/>
    </row>
    <row r="278" spans="1:77" ht="24" customHeight="1" x14ac:dyDescent="0.25">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5"/>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6"/>
    </row>
    <row r="279" spans="1:77" ht="24" customHeight="1" x14ac:dyDescent="0.25">
      <c r="C279" s="3" t="s">
        <v>96</v>
      </c>
      <c r="D279" s="3" t="s">
        <v>90</v>
      </c>
      <c r="E279" s="3">
        <v>65</v>
      </c>
      <c r="F279" s="3">
        <v>28</v>
      </c>
      <c r="G279" s="3">
        <v>1</v>
      </c>
      <c r="H279" s="3">
        <v>2</v>
      </c>
      <c r="I279" s="3">
        <v>96</v>
      </c>
      <c r="J279" s="3">
        <v>32</v>
      </c>
      <c r="K279" s="3"/>
      <c r="L279" s="3"/>
      <c r="M279" s="3">
        <v>206</v>
      </c>
      <c r="N279" s="3">
        <v>75</v>
      </c>
      <c r="O279" s="3">
        <v>0</v>
      </c>
      <c r="P279" s="3">
        <v>1</v>
      </c>
      <c r="Q279" s="3">
        <v>10</v>
      </c>
      <c r="R279" s="3">
        <v>181</v>
      </c>
      <c r="S279" s="3">
        <v>49</v>
      </c>
      <c r="T279" s="3"/>
      <c r="U279" s="3"/>
      <c r="V279" s="3">
        <v>3</v>
      </c>
      <c r="W279" s="3">
        <v>12</v>
      </c>
      <c r="X279" s="3">
        <v>127</v>
      </c>
      <c r="Y279" s="3">
        <v>33</v>
      </c>
      <c r="Z279" s="3"/>
      <c r="AA279" s="3">
        <v>1</v>
      </c>
      <c r="AB279" s="3"/>
      <c r="AC279" s="3">
        <v>1</v>
      </c>
      <c r="AD279" s="3">
        <v>235</v>
      </c>
      <c r="AE279" s="3">
        <v>105</v>
      </c>
      <c r="AF279" s="3"/>
      <c r="AG279" s="3">
        <v>1</v>
      </c>
      <c r="AH279" s="3">
        <v>1</v>
      </c>
      <c r="AI279" s="3">
        <v>6</v>
      </c>
      <c r="AJ279" s="5">
        <v>162</v>
      </c>
      <c r="AK279" s="3">
        <v>211</v>
      </c>
      <c r="AL279" s="3"/>
      <c r="AM279" s="3">
        <v>2</v>
      </c>
      <c r="AN279" s="3">
        <v>5</v>
      </c>
      <c r="AO279" s="3">
        <v>67</v>
      </c>
      <c r="AP279" s="3">
        <v>66</v>
      </c>
      <c r="AQ279" s="3"/>
      <c r="AR279" s="3">
        <v>1</v>
      </c>
      <c r="AS279" s="3">
        <v>1</v>
      </c>
      <c r="AT279" s="3">
        <v>153</v>
      </c>
      <c r="AU279" s="3">
        <v>69</v>
      </c>
      <c r="AV279" s="3"/>
      <c r="AW279" s="3">
        <v>1</v>
      </c>
      <c r="AX279" s="3">
        <v>4</v>
      </c>
      <c r="AY279" s="3">
        <v>177</v>
      </c>
      <c r="AZ279" s="3">
        <v>77</v>
      </c>
      <c r="BA279" s="3"/>
      <c r="BB279" s="3">
        <v>0</v>
      </c>
      <c r="BC279" s="3">
        <v>1</v>
      </c>
      <c r="BD279" s="3">
        <v>8</v>
      </c>
      <c r="BE279" s="3">
        <v>170</v>
      </c>
      <c r="BF279" s="3">
        <v>68</v>
      </c>
      <c r="BG279" s="3"/>
      <c r="BH279" s="3"/>
      <c r="BI279" s="3">
        <v>2</v>
      </c>
      <c r="BJ279" s="3">
        <v>2</v>
      </c>
      <c r="BK279" s="3">
        <v>98</v>
      </c>
      <c r="BL279" s="3">
        <v>23</v>
      </c>
      <c r="BM279" s="3"/>
      <c r="BN279" s="3"/>
      <c r="BO279" s="3">
        <v>3</v>
      </c>
      <c r="BP279" s="3">
        <v>19</v>
      </c>
      <c r="BQ279" s="3">
        <v>22</v>
      </c>
      <c r="BR279" s="3"/>
      <c r="BS279" s="3">
        <v>1</v>
      </c>
      <c r="BT279" s="3">
        <v>18</v>
      </c>
      <c r="BU279" s="3">
        <v>14</v>
      </c>
      <c r="BV279" s="3"/>
      <c r="BW279" s="3"/>
      <c r="BX279" s="3">
        <f>SUM(E279:BW279)</f>
        <v>2716</v>
      </c>
      <c r="BY279" s="6" t="s">
        <v>212</v>
      </c>
    </row>
    <row r="280" spans="1:77" ht="24" customHeight="1" x14ac:dyDescent="0.25">
      <c r="C280" s="3"/>
      <c r="D280" s="3" t="s">
        <v>91</v>
      </c>
      <c r="E280" s="3">
        <v>63</v>
      </c>
      <c r="F280" s="3">
        <v>25</v>
      </c>
      <c r="G280" s="3">
        <v>2</v>
      </c>
      <c r="H280" s="3"/>
      <c r="I280" s="3">
        <v>61</v>
      </c>
      <c r="J280" s="3">
        <v>25</v>
      </c>
      <c r="K280" s="3"/>
      <c r="L280" s="3">
        <v>1</v>
      </c>
      <c r="M280" s="3">
        <v>124</v>
      </c>
      <c r="N280" s="3">
        <v>39</v>
      </c>
      <c r="O280" s="3">
        <v>1</v>
      </c>
      <c r="P280" s="3">
        <v>1</v>
      </c>
      <c r="Q280" s="3">
        <v>3</v>
      </c>
      <c r="R280" s="3">
        <v>94</v>
      </c>
      <c r="S280" s="3">
        <v>29</v>
      </c>
      <c r="T280" s="3"/>
      <c r="U280" s="3"/>
      <c r="V280" s="3"/>
      <c r="W280" s="3">
        <v>6</v>
      </c>
      <c r="X280" s="3">
        <v>53</v>
      </c>
      <c r="Y280" s="3">
        <v>10</v>
      </c>
      <c r="Z280" s="3"/>
      <c r="AA280" s="3">
        <v>0</v>
      </c>
      <c r="AB280" s="3">
        <v>1</v>
      </c>
      <c r="AC280" s="3">
        <v>1</v>
      </c>
      <c r="AD280" s="3">
        <v>107</v>
      </c>
      <c r="AE280" s="3">
        <v>75</v>
      </c>
      <c r="AF280" s="3"/>
      <c r="AG280" s="3">
        <v>0</v>
      </c>
      <c r="AH280" s="3">
        <v>1</v>
      </c>
      <c r="AI280" s="3">
        <v>2</v>
      </c>
      <c r="AJ280" s="5">
        <v>97</v>
      </c>
      <c r="AK280" s="3">
        <v>135</v>
      </c>
      <c r="AL280" s="3"/>
      <c r="AM280" s="3"/>
      <c r="AN280" s="3">
        <v>4</v>
      </c>
      <c r="AO280" s="3">
        <v>47</v>
      </c>
      <c r="AP280" s="3">
        <v>56</v>
      </c>
      <c r="AQ280" s="3"/>
      <c r="AR280" s="3">
        <v>1</v>
      </c>
      <c r="AS280" s="3">
        <v>1</v>
      </c>
      <c r="AT280" s="3">
        <v>105</v>
      </c>
      <c r="AU280" s="3">
        <v>45</v>
      </c>
      <c r="AV280" s="3"/>
      <c r="AW280" s="3"/>
      <c r="AX280" s="3">
        <v>2</v>
      </c>
      <c r="AY280" s="3">
        <v>71</v>
      </c>
      <c r="AZ280" s="3">
        <v>40</v>
      </c>
      <c r="BA280" s="3"/>
      <c r="BB280" s="3">
        <v>1</v>
      </c>
      <c r="BC280" s="3"/>
      <c r="BD280" s="3"/>
      <c r="BE280" s="3">
        <v>106</v>
      </c>
      <c r="BF280" s="3">
        <v>41</v>
      </c>
      <c r="BG280" s="3"/>
      <c r="BH280" s="3"/>
      <c r="BI280" s="3">
        <v>1</v>
      </c>
      <c r="BJ280" s="3"/>
      <c r="BK280" s="3">
        <v>55</v>
      </c>
      <c r="BL280" s="3">
        <v>20</v>
      </c>
      <c r="BM280" s="3"/>
      <c r="BN280" s="3"/>
      <c r="BO280" s="3"/>
      <c r="BP280" s="3">
        <v>26</v>
      </c>
      <c r="BQ280" s="3">
        <v>10</v>
      </c>
      <c r="BR280" s="3"/>
      <c r="BS280" s="3">
        <v>2</v>
      </c>
      <c r="BT280" s="3">
        <v>18</v>
      </c>
      <c r="BU280" s="3">
        <v>7</v>
      </c>
      <c r="BV280" s="3"/>
      <c r="BW280" s="3"/>
      <c r="BX280" s="3">
        <f>SUM(E280:BW280)</f>
        <v>1615</v>
      </c>
      <c r="BY280" s="6"/>
    </row>
    <row r="281" spans="1:77" ht="24" customHeight="1" x14ac:dyDescent="0.25">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5"/>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6"/>
    </row>
    <row r="282" spans="1:77" ht="24" customHeight="1" x14ac:dyDescent="0.25">
      <c r="C282" s="3" t="s">
        <v>97</v>
      </c>
      <c r="D282" s="3" t="s">
        <v>90</v>
      </c>
      <c r="E282" s="3">
        <v>86</v>
      </c>
      <c r="F282" s="3">
        <v>36</v>
      </c>
      <c r="G282" s="3">
        <v>1</v>
      </c>
      <c r="H282" s="3">
        <v>2</v>
      </c>
      <c r="I282" s="3">
        <v>100</v>
      </c>
      <c r="J282" s="3">
        <v>36</v>
      </c>
      <c r="K282" s="3"/>
      <c r="L282" s="3"/>
      <c r="M282" s="3">
        <v>234</v>
      </c>
      <c r="N282" s="3">
        <v>78</v>
      </c>
      <c r="O282" s="3">
        <v>0</v>
      </c>
      <c r="P282" s="3">
        <v>1</v>
      </c>
      <c r="Q282" s="3">
        <v>11</v>
      </c>
      <c r="R282" s="3">
        <v>183</v>
      </c>
      <c r="S282" s="3">
        <v>51</v>
      </c>
      <c r="T282" s="3"/>
      <c r="U282" s="3"/>
      <c r="V282" s="3">
        <v>3</v>
      </c>
      <c r="W282" s="3">
        <v>12</v>
      </c>
      <c r="X282" s="3">
        <v>129</v>
      </c>
      <c r="Y282" s="3">
        <v>33</v>
      </c>
      <c r="Z282" s="3"/>
      <c r="AA282" s="3">
        <v>1</v>
      </c>
      <c r="AB282" s="3"/>
      <c r="AC282" s="3">
        <v>1</v>
      </c>
      <c r="AD282" s="3">
        <v>245</v>
      </c>
      <c r="AE282" s="3">
        <v>121</v>
      </c>
      <c r="AF282" s="3"/>
      <c r="AG282" s="3">
        <v>1</v>
      </c>
      <c r="AH282" s="3">
        <v>1</v>
      </c>
      <c r="AI282" s="3">
        <v>8</v>
      </c>
      <c r="AJ282" s="5">
        <v>186</v>
      </c>
      <c r="AK282" s="3">
        <v>240</v>
      </c>
      <c r="AL282" s="3"/>
      <c r="AM282" s="3">
        <v>2</v>
      </c>
      <c r="AN282" s="3">
        <v>5</v>
      </c>
      <c r="AO282" s="3">
        <v>85</v>
      </c>
      <c r="AP282" s="3">
        <v>75</v>
      </c>
      <c r="AQ282" s="3"/>
      <c r="AR282" s="3">
        <v>1</v>
      </c>
      <c r="AS282" s="3">
        <v>1</v>
      </c>
      <c r="AT282" s="3">
        <v>169</v>
      </c>
      <c r="AU282" s="3">
        <v>78</v>
      </c>
      <c r="AV282" s="3"/>
      <c r="AW282" s="3">
        <v>1</v>
      </c>
      <c r="AX282" s="3">
        <v>4</v>
      </c>
      <c r="AY282" s="3">
        <v>184</v>
      </c>
      <c r="AZ282" s="3">
        <v>79</v>
      </c>
      <c r="BA282" s="3"/>
      <c r="BB282" s="3">
        <v>0</v>
      </c>
      <c r="BC282" s="3">
        <v>1</v>
      </c>
      <c r="BD282" s="3">
        <v>8</v>
      </c>
      <c r="BE282" s="3">
        <v>184</v>
      </c>
      <c r="BF282" s="3">
        <v>75</v>
      </c>
      <c r="BG282" s="3"/>
      <c r="BH282" s="3"/>
      <c r="BI282" s="3">
        <v>1</v>
      </c>
      <c r="BJ282" s="3">
        <v>2</v>
      </c>
      <c r="BK282" s="3">
        <v>99</v>
      </c>
      <c r="BL282" s="3">
        <v>27</v>
      </c>
      <c r="BM282" s="3"/>
      <c r="BN282" s="3"/>
      <c r="BO282" s="3">
        <v>3</v>
      </c>
      <c r="BP282" s="3">
        <v>25</v>
      </c>
      <c r="BQ282" s="3">
        <v>23</v>
      </c>
      <c r="BR282" s="3"/>
      <c r="BS282" s="3">
        <v>1</v>
      </c>
      <c r="BT282" s="3">
        <v>23</v>
      </c>
      <c r="BU282" s="3">
        <v>15</v>
      </c>
      <c r="BV282" s="3"/>
      <c r="BW282" s="3"/>
      <c r="BX282" s="3">
        <f>SUM(E282:BW282)</f>
        <v>2971</v>
      </c>
      <c r="BY282" s="6" t="s">
        <v>212</v>
      </c>
    </row>
    <row r="283" spans="1:77" ht="24" customHeight="1" x14ac:dyDescent="0.25">
      <c r="C283" s="3"/>
      <c r="D283" s="3" t="s">
        <v>91</v>
      </c>
      <c r="E283" s="3">
        <v>44</v>
      </c>
      <c r="F283" s="3">
        <v>17</v>
      </c>
      <c r="G283" s="3">
        <v>2</v>
      </c>
      <c r="H283" s="3"/>
      <c r="I283" s="3">
        <v>56</v>
      </c>
      <c r="J283" s="3">
        <v>21</v>
      </c>
      <c r="K283" s="3"/>
      <c r="L283" s="3">
        <v>1</v>
      </c>
      <c r="M283" s="3">
        <v>94</v>
      </c>
      <c r="N283" s="3">
        <v>37</v>
      </c>
      <c r="O283" s="3">
        <v>1</v>
      </c>
      <c r="P283" s="3">
        <v>1</v>
      </c>
      <c r="Q283" s="3">
        <v>2</v>
      </c>
      <c r="R283" s="3">
        <v>89</v>
      </c>
      <c r="S283" s="3">
        <v>27</v>
      </c>
      <c r="T283" s="3"/>
      <c r="U283" s="3"/>
      <c r="V283" s="3"/>
      <c r="W283" s="3">
        <v>6</v>
      </c>
      <c r="X283" s="3">
        <v>53</v>
      </c>
      <c r="Y283" s="3">
        <v>11</v>
      </c>
      <c r="Z283" s="3"/>
      <c r="AA283" s="3">
        <v>0</v>
      </c>
      <c r="AB283" s="3">
        <v>1</v>
      </c>
      <c r="AC283" s="3">
        <v>1</v>
      </c>
      <c r="AD283" s="3">
        <v>94</v>
      </c>
      <c r="AE283" s="3">
        <v>56</v>
      </c>
      <c r="AF283" s="3"/>
      <c r="AG283" s="3">
        <v>0</v>
      </c>
      <c r="AH283" s="3">
        <v>1</v>
      </c>
      <c r="AI283" s="3"/>
      <c r="AJ283" s="5">
        <v>76</v>
      </c>
      <c r="AK283" s="3">
        <v>109</v>
      </c>
      <c r="AL283" s="3"/>
      <c r="AM283" s="3"/>
      <c r="AN283" s="3">
        <v>4</v>
      </c>
      <c r="AO283" s="3">
        <v>30</v>
      </c>
      <c r="AP283" s="3">
        <v>46</v>
      </c>
      <c r="AQ283" s="3"/>
      <c r="AR283" s="3">
        <v>1</v>
      </c>
      <c r="AS283" s="3">
        <v>1</v>
      </c>
      <c r="AT283" s="3">
        <v>91</v>
      </c>
      <c r="AU283" s="3">
        <v>37</v>
      </c>
      <c r="AV283" s="3"/>
      <c r="AW283" s="3"/>
      <c r="AX283" s="3">
        <v>2</v>
      </c>
      <c r="AY283" s="3">
        <v>62</v>
      </c>
      <c r="AZ283" s="3">
        <v>38</v>
      </c>
      <c r="BA283" s="3"/>
      <c r="BB283" s="3">
        <v>1</v>
      </c>
      <c r="BC283" s="3"/>
      <c r="BD283" s="3"/>
      <c r="BE283" s="3">
        <v>94</v>
      </c>
      <c r="BF283" s="3">
        <v>34</v>
      </c>
      <c r="BG283" s="3"/>
      <c r="BH283" s="3"/>
      <c r="BI283" s="3">
        <v>2</v>
      </c>
      <c r="BJ283" s="3"/>
      <c r="BK283" s="3">
        <v>56</v>
      </c>
      <c r="BL283" s="3">
        <v>16</v>
      </c>
      <c r="BM283" s="3"/>
      <c r="BN283" s="3"/>
      <c r="BO283" s="3"/>
      <c r="BP283" s="3">
        <v>19</v>
      </c>
      <c r="BQ283" s="3">
        <v>10</v>
      </c>
      <c r="BR283" s="3"/>
      <c r="BS283" s="3">
        <v>2</v>
      </c>
      <c r="BT283" s="3">
        <v>13</v>
      </c>
      <c r="BU283" s="3">
        <v>6</v>
      </c>
      <c r="BV283" s="3"/>
      <c r="BW283" s="3"/>
      <c r="BX283" s="3">
        <f>SUM(E283:BW283)</f>
        <v>1365</v>
      </c>
      <c r="BY283" s="6"/>
    </row>
    <row r="284" spans="1:77" ht="24" customHeight="1" x14ac:dyDescent="0.25">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5"/>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6"/>
    </row>
    <row r="285" spans="1:77" ht="24" customHeight="1" x14ac:dyDescent="0.25">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5"/>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6"/>
    </row>
    <row r="286" spans="1:77" ht="100.5" customHeight="1" x14ac:dyDescent="0.25">
      <c r="A286" s="2"/>
      <c r="B286" s="4"/>
      <c r="C286" s="3" t="s">
        <v>0</v>
      </c>
      <c r="D286" s="3" t="s">
        <v>1</v>
      </c>
      <c r="E286" s="19" t="s">
        <v>2</v>
      </c>
      <c r="F286" s="12" t="s">
        <v>3</v>
      </c>
      <c r="G286" s="12" t="s">
        <v>48</v>
      </c>
      <c r="H286" s="12" t="s">
        <v>5</v>
      </c>
      <c r="I286" s="19" t="s">
        <v>6</v>
      </c>
      <c r="J286" s="12" t="s">
        <v>3</v>
      </c>
      <c r="K286" s="12" t="s">
        <v>48</v>
      </c>
      <c r="L286" s="12" t="s">
        <v>5</v>
      </c>
      <c r="M286" s="19" t="s">
        <v>7</v>
      </c>
      <c r="N286" s="12" t="s">
        <v>3</v>
      </c>
      <c r="O286" s="12" t="s">
        <v>66</v>
      </c>
      <c r="P286" s="12" t="s">
        <v>48</v>
      </c>
      <c r="Q286" s="12" t="s">
        <v>5</v>
      </c>
      <c r="R286" s="19" t="s">
        <v>8</v>
      </c>
      <c r="S286" s="12" t="s">
        <v>3</v>
      </c>
      <c r="T286" s="12" t="s">
        <v>47</v>
      </c>
      <c r="U286" s="12" t="s">
        <v>4</v>
      </c>
      <c r="V286" s="12" t="s">
        <v>48</v>
      </c>
      <c r="W286" s="12" t="s">
        <v>5</v>
      </c>
      <c r="X286" s="19" t="s">
        <v>9</v>
      </c>
      <c r="Y286" s="12" t="s">
        <v>3</v>
      </c>
      <c r="Z286" s="12" t="s">
        <v>47</v>
      </c>
      <c r="AA286" s="12" t="s">
        <v>107</v>
      </c>
      <c r="AB286" s="12" t="s">
        <v>48</v>
      </c>
      <c r="AC286" s="12" t="s">
        <v>5</v>
      </c>
      <c r="AD286" s="19" t="s">
        <v>49</v>
      </c>
      <c r="AE286" s="12" t="s">
        <v>3</v>
      </c>
      <c r="AF286" s="12" t="s">
        <v>47</v>
      </c>
      <c r="AG286" s="12" t="s">
        <v>105</v>
      </c>
      <c r="AH286" s="12" t="s">
        <v>48</v>
      </c>
      <c r="AI286" s="12" t="s">
        <v>5</v>
      </c>
      <c r="AJ286" s="19" t="s">
        <v>10</v>
      </c>
      <c r="AK286" s="12" t="s">
        <v>3</v>
      </c>
      <c r="AL286" s="12" t="s">
        <v>47</v>
      </c>
      <c r="AM286" s="12" t="s">
        <v>48</v>
      </c>
      <c r="AN286" s="12" t="s">
        <v>5</v>
      </c>
      <c r="AO286" s="19" t="s">
        <v>11</v>
      </c>
      <c r="AP286" s="12" t="s">
        <v>3</v>
      </c>
      <c r="AQ286" s="12" t="s">
        <v>4</v>
      </c>
      <c r="AR286" s="12" t="s">
        <v>48</v>
      </c>
      <c r="AS286" s="12" t="s">
        <v>5</v>
      </c>
      <c r="AT286" s="19" t="s">
        <v>12</v>
      </c>
      <c r="AU286" s="12" t="s">
        <v>3</v>
      </c>
      <c r="AV286" s="12" t="s">
        <v>4</v>
      </c>
      <c r="AW286" s="12" t="s">
        <v>48</v>
      </c>
      <c r="AX286" s="12" t="s">
        <v>5</v>
      </c>
      <c r="AY286" s="19" t="s">
        <v>13</v>
      </c>
      <c r="AZ286" s="12" t="s">
        <v>3</v>
      </c>
      <c r="BA286" s="12" t="s">
        <v>47</v>
      </c>
      <c r="BB286" s="12" t="s">
        <v>108</v>
      </c>
      <c r="BC286" s="12" t="s">
        <v>48</v>
      </c>
      <c r="BD286" s="12" t="s">
        <v>5</v>
      </c>
      <c r="BE286" s="19" t="s">
        <v>14</v>
      </c>
      <c r="BF286" s="12" t="s">
        <v>3</v>
      </c>
      <c r="BG286" s="12" t="s">
        <v>47</v>
      </c>
      <c r="BH286" s="12" t="s">
        <v>4</v>
      </c>
      <c r="BI286" s="12" t="s">
        <v>48</v>
      </c>
      <c r="BJ286" s="12" t="s">
        <v>5</v>
      </c>
      <c r="BK286" s="19" t="s">
        <v>15</v>
      </c>
      <c r="BL286" s="12" t="s">
        <v>3</v>
      </c>
      <c r="BM286" s="12" t="s">
        <v>47</v>
      </c>
      <c r="BN286" s="12" t="s">
        <v>4</v>
      </c>
      <c r="BO286" s="12" t="s">
        <v>5</v>
      </c>
      <c r="BP286" s="19" t="s">
        <v>16</v>
      </c>
      <c r="BQ286" s="12" t="s">
        <v>3</v>
      </c>
      <c r="BR286" s="12" t="s">
        <v>4</v>
      </c>
      <c r="BS286" s="12" t="s">
        <v>5</v>
      </c>
      <c r="BT286" s="19" t="s">
        <v>17</v>
      </c>
      <c r="BU286" s="12" t="s">
        <v>18</v>
      </c>
      <c r="BV286" s="12" t="s">
        <v>4</v>
      </c>
      <c r="BW286" s="12" t="s">
        <v>5</v>
      </c>
      <c r="BX286" s="19" t="s">
        <v>19</v>
      </c>
      <c r="BY286" s="5" t="s">
        <v>20</v>
      </c>
    </row>
    <row r="287" spans="1:77" s="15" customFormat="1" ht="24" customHeight="1" x14ac:dyDescent="0.25">
      <c r="A287" s="21" t="s">
        <v>88</v>
      </c>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20"/>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4"/>
    </row>
    <row r="288" spans="1:77" ht="24" customHeight="1" x14ac:dyDescent="0.25">
      <c r="C288" s="3" t="s">
        <v>99</v>
      </c>
      <c r="D288" s="3" t="s">
        <v>90</v>
      </c>
      <c r="E288" s="3">
        <v>102</v>
      </c>
      <c r="F288" s="3">
        <v>42</v>
      </c>
      <c r="G288" s="3">
        <v>1</v>
      </c>
      <c r="H288" s="3">
        <v>1</v>
      </c>
      <c r="I288" s="3">
        <v>123</v>
      </c>
      <c r="J288" s="3">
        <v>45</v>
      </c>
      <c r="K288" s="3"/>
      <c r="L288" s="3">
        <v>1</v>
      </c>
      <c r="M288" s="3">
        <v>244</v>
      </c>
      <c r="N288" s="3">
        <v>87</v>
      </c>
      <c r="O288" s="3">
        <v>0</v>
      </c>
      <c r="P288" s="3">
        <v>2</v>
      </c>
      <c r="Q288" s="3">
        <v>9</v>
      </c>
      <c r="R288" s="3">
        <v>210</v>
      </c>
      <c r="S288" s="3">
        <v>60</v>
      </c>
      <c r="T288" s="3"/>
      <c r="U288" s="3"/>
      <c r="V288" s="3">
        <v>3</v>
      </c>
      <c r="W288" s="3">
        <v>14</v>
      </c>
      <c r="X288" s="3">
        <v>141</v>
      </c>
      <c r="Y288" s="3">
        <v>35</v>
      </c>
      <c r="Z288" s="3"/>
      <c r="AA288" s="3">
        <v>1</v>
      </c>
      <c r="AB288" s="3"/>
      <c r="AC288" s="3">
        <v>2</v>
      </c>
      <c r="AD288" s="3">
        <v>273</v>
      </c>
      <c r="AE288" s="3">
        <v>131</v>
      </c>
      <c r="AF288" s="3"/>
      <c r="AG288" s="3">
        <v>1</v>
      </c>
      <c r="AH288" s="3">
        <v>1</v>
      </c>
      <c r="AI288" s="3">
        <v>7</v>
      </c>
      <c r="AJ288" s="5">
        <v>223</v>
      </c>
      <c r="AK288" s="3">
        <v>285</v>
      </c>
      <c r="AL288" s="3"/>
      <c r="AM288" s="3">
        <v>2</v>
      </c>
      <c r="AN288" s="3">
        <v>6</v>
      </c>
      <c r="AO288" s="3">
        <v>86</v>
      </c>
      <c r="AP288" s="3">
        <v>99</v>
      </c>
      <c r="AQ288" s="3"/>
      <c r="AR288" s="3">
        <v>1</v>
      </c>
      <c r="AS288" s="3">
        <v>1</v>
      </c>
      <c r="AT288" s="3">
        <v>203</v>
      </c>
      <c r="AU288" s="3">
        <v>85</v>
      </c>
      <c r="AV288" s="3"/>
      <c r="AW288" s="3">
        <v>1</v>
      </c>
      <c r="AX288" s="3">
        <v>6</v>
      </c>
      <c r="AY288" s="3">
        <v>205</v>
      </c>
      <c r="AZ288" s="3">
        <v>98</v>
      </c>
      <c r="BA288" s="3"/>
      <c r="BB288" s="3">
        <v>0</v>
      </c>
      <c r="BC288" s="3">
        <v>1</v>
      </c>
      <c r="BD288" s="3">
        <v>7</v>
      </c>
      <c r="BE288" s="3">
        <v>198</v>
      </c>
      <c r="BF288" s="3">
        <v>70</v>
      </c>
      <c r="BG288" s="3"/>
      <c r="BH288" s="3"/>
      <c r="BI288" s="3">
        <v>2</v>
      </c>
      <c r="BJ288" s="3">
        <v>2</v>
      </c>
      <c r="BK288" s="3">
        <v>117</v>
      </c>
      <c r="BL288" s="3">
        <v>26</v>
      </c>
      <c r="BM288" s="3"/>
      <c r="BN288" s="3"/>
      <c r="BO288" s="3">
        <v>3</v>
      </c>
      <c r="BP288" s="3">
        <v>36</v>
      </c>
      <c r="BQ288" s="3">
        <v>32</v>
      </c>
      <c r="BR288" s="3"/>
      <c r="BS288" s="3">
        <v>2</v>
      </c>
      <c r="BT288" s="3">
        <v>22</v>
      </c>
      <c r="BU288" s="3">
        <v>17</v>
      </c>
      <c r="BV288" s="3"/>
      <c r="BW288" s="3"/>
      <c r="BX288" s="3">
        <f>SUM(E288:BW288)</f>
        <v>3372</v>
      </c>
      <c r="BY288" s="6" t="s">
        <v>212</v>
      </c>
    </row>
    <row r="289" spans="3:77" ht="24" customHeight="1" x14ac:dyDescent="0.25">
      <c r="C289" s="3"/>
      <c r="D289" s="3" t="s">
        <v>91</v>
      </c>
      <c r="E289" s="3">
        <v>31</v>
      </c>
      <c r="F289" s="3">
        <v>13</v>
      </c>
      <c r="G289" s="3">
        <v>2</v>
      </c>
      <c r="H289" s="3">
        <v>1</v>
      </c>
      <c r="I289" s="3">
        <v>37</v>
      </c>
      <c r="J289" s="3">
        <v>15</v>
      </c>
      <c r="K289" s="3"/>
      <c r="L289" s="3"/>
      <c r="M289" s="3">
        <v>85</v>
      </c>
      <c r="N289" s="3">
        <v>26</v>
      </c>
      <c r="O289" s="3">
        <v>1</v>
      </c>
      <c r="P289" s="3"/>
      <c r="Q289" s="3">
        <v>3</v>
      </c>
      <c r="R289" s="3">
        <v>74</v>
      </c>
      <c r="S289" s="3">
        <v>19</v>
      </c>
      <c r="T289" s="3"/>
      <c r="U289" s="3"/>
      <c r="V289" s="3"/>
      <c r="W289" s="3">
        <v>4</v>
      </c>
      <c r="X289" s="3">
        <v>44</v>
      </c>
      <c r="Y289" s="3">
        <v>10</v>
      </c>
      <c r="Z289" s="3"/>
      <c r="AA289" s="3">
        <v>0</v>
      </c>
      <c r="AB289" s="3">
        <v>1</v>
      </c>
      <c r="AC289" s="3">
        <v>1</v>
      </c>
      <c r="AD289" s="3">
        <v>75</v>
      </c>
      <c r="AE289" s="3">
        <v>51</v>
      </c>
      <c r="AF289" s="3"/>
      <c r="AG289" s="3">
        <v>0</v>
      </c>
      <c r="AH289" s="3">
        <v>1</v>
      </c>
      <c r="AI289" s="3"/>
      <c r="AJ289" s="5">
        <v>53</v>
      </c>
      <c r="AK289" s="3">
        <v>86</v>
      </c>
      <c r="AL289" s="3"/>
      <c r="AM289" s="3"/>
      <c r="AN289" s="3">
        <v>3</v>
      </c>
      <c r="AO289" s="3">
        <v>26</v>
      </c>
      <c r="AP289" s="3">
        <v>30</v>
      </c>
      <c r="AQ289" s="3"/>
      <c r="AR289" s="3">
        <v>1</v>
      </c>
      <c r="AS289" s="3">
        <v>1</v>
      </c>
      <c r="AT289" s="3">
        <v>67</v>
      </c>
      <c r="AU289" s="3">
        <v>32</v>
      </c>
      <c r="AV289" s="3"/>
      <c r="AW289" s="3"/>
      <c r="AX289" s="3"/>
      <c r="AY289" s="3">
        <v>56</v>
      </c>
      <c r="AZ289" s="3">
        <v>27</v>
      </c>
      <c r="BA289" s="3"/>
      <c r="BB289" s="3">
        <v>1</v>
      </c>
      <c r="BC289" s="3"/>
      <c r="BD289" s="3">
        <v>1</v>
      </c>
      <c r="BE289" s="3">
        <v>83</v>
      </c>
      <c r="BF289" s="3">
        <v>44</v>
      </c>
      <c r="BG289" s="3"/>
      <c r="BH289" s="3"/>
      <c r="BI289" s="3">
        <v>1</v>
      </c>
      <c r="BJ289" s="3"/>
      <c r="BK289" s="3">
        <v>42</v>
      </c>
      <c r="BL289" s="3">
        <v>16</v>
      </c>
      <c r="BM289" s="3"/>
      <c r="BN289" s="3"/>
      <c r="BO289" s="3"/>
      <c r="BP289" s="3">
        <v>9</v>
      </c>
      <c r="BQ289" s="3">
        <v>4</v>
      </c>
      <c r="BR289" s="3"/>
      <c r="BS289" s="3">
        <v>1</v>
      </c>
      <c r="BT289" s="3">
        <v>14</v>
      </c>
      <c r="BU289" s="3">
        <v>5</v>
      </c>
      <c r="BV289" s="3"/>
      <c r="BW289" s="3"/>
      <c r="BX289" s="3">
        <f>SUM(E289:BW289)</f>
        <v>1097</v>
      </c>
      <c r="BY289" s="6"/>
    </row>
    <row r="290" spans="3:77" ht="24" customHeight="1" x14ac:dyDescent="0.25">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5"/>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6"/>
    </row>
    <row r="291" spans="3:77" ht="24" customHeight="1" x14ac:dyDescent="0.25">
      <c r="C291" s="3" t="s">
        <v>100</v>
      </c>
      <c r="D291" s="3" t="s">
        <v>90</v>
      </c>
      <c r="E291" s="3">
        <v>97</v>
      </c>
      <c r="F291" s="3">
        <v>38</v>
      </c>
      <c r="G291" s="3">
        <v>2</v>
      </c>
      <c r="H291" s="3">
        <v>1</v>
      </c>
      <c r="I291" s="3">
        <v>111</v>
      </c>
      <c r="J291" s="3">
        <v>40</v>
      </c>
      <c r="K291" s="3"/>
      <c r="L291" s="3"/>
      <c r="M291" s="3">
        <v>234</v>
      </c>
      <c r="N291" s="3">
        <v>85</v>
      </c>
      <c r="O291" s="3">
        <v>0</v>
      </c>
      <c r="P291" s="3">
        <v>2</v>
      </c>
      <c r="Q291" s="3">
        <v>10</v>
      </c>
      <c r="R291" s="3">
        <v>202</v>
      </c>
      <c r="S291" s="3">
        <v>57</v>
      </c>
      <c r="T291" s="3"/>
      <c r="U291" s="3"/>
      <c r="V291" s="3">
        <v>3</v>
      </c>
      <c r="W291" s="3">
        <v>11</v>
      </c>
      <c r="X291" s="3">
        <v>127</v>
      </c>
      <c r="Y291" s="3">
        <v>30</v>
      </c>
      <c r="Z291" s="3"/>
      <c r="AA291" s="3">
        <v>1</v>
      </c>
      <c r="AB291" s="3"/>
      <c r="AC291" s="3">
        <v>1</v>
      </c>
      <c r="AD291" s="3">
        <v>256</v>
      </c>
      <c r="AE291" s="3">
        <v>121</v>
      </c>
      <c r="AF291" s="3"/>
      <c r="AG291" s="3">
        <v>1</v>
      </c>
      <c r="AH291" s="3">
        <v>1</v>
      </c>
      <c r="AI291" s="3">
        <v>6</v>
      </c>
      <c r="AJ291" s="5">
        <v>195</v>
      </c>
      <c r="AK291" s="3">
        <v>263</v>
      </c>
      <c r="AL291" s="3"/>
      <c r="AM291" s="3">
        <v>2</v>
      </c>
      <c r="AN291" s="3">
        <v>8</v>
      </c>
      <c r="AO291" s="3">
        <v>85</v>
      </c>
      <c r="AP291" s="3">
        <v>85</v>
      </c>
      <c r="AQ291" s="3"/>
      <c r="AR291" s="3">
        <v>1</v>
      </c>
      <c r="AS291" s="3">
        <v>1</v>
      </c>
      <c r="AT291" s="3">
        <v>182</v>
      </c>
      <c r="AU291" s="3">
        <v>83</v>
      </c>
      <c r="AV291" s="3"/>
      <c r="AW291" s="3">
        <v>1</v>
      </c>
      <c r="AX291" s="3">
        <v>4</v>
      </c>
      <c r="AY291" s="3">
        <v>198</v>
      </c>
      <c r="AZ291" s="3">
        <v>87</v>
      </c>
      <c r="BA291" s="3"/>
      <c r="BB291" s="3">
        <v>0</v>
      </c>
      <c r="BC291" s="3">
        <v>1</v>
      </c>
      <c r="BD291" s="3">
        <v>7</v>
      </c>
      <c r="BE291" s="3">
        <v>202</v>
      </c>
      <c r="BF291" s="3">
        <v>72</v>
      </c>
      <c r="BG291" s="3"/>
      <c r="BH291" s="3"/>
      <c r="BI291" s="3">
        <v>2</v>
      </c>
      <c r="BJ291" s="3">
        <v>3</v>
      </c>
      <c r="BK291" s="3">
        <v>117</v>
      </c>
      <c r="BL291" s="3">
        <v>28</v>
      </c>
      <c r="BM291" s="3"/>
      <c r="BN291" s="3"/>
      <c r="BO291" s="3">
        <v>3</v>
      </c>
      <c r="BP291" s="3">
        <v>29</v>
      </c>
      <c r="BQ291" s="3">
        <v>31</v>
      </c>
      <c r="BR291" s="3"/>
      <c r="BS291" s="3">
        <v>1</v>
      </c>
      <c r="BT291" s="3">
        <v>24</v>
      </c>
      <c r="BU291" s="3">
        <v>15</v>
      </c>
      <c r="BV291" s="3"/>
      <c r="BW291" s="3"/>
      <c r="BX291" s="3">
        <f>SUM(E291:BW291)</f>
        <v>3167</v>
      </c>
      <c r="BY291" s="6" t="s">
        <v>212</v>
      </c>
    </row>
    <row r="292" spans="3:77" ht="24" customHeight="1" x14ac:dyDescent="0.25">
      <c r="C292" s="3"/>
      <c r="D292" s="3" t="s">
        <v>91</v>
      </c>
      <c r="E292" s="3">
        <v>33</v>
      </c>
      <c r="F292" s="3">
        <v>15</v>
      </c>
      <c r="G292" s="3">
        <v>1</v>
      </c>
      <c r="H292" s="3">
        <v>1</v>
      </c>
      <c r="I292" s="3">
        <v>46</v>
      </c>
      <c r="J292" s="3">
        <v>18</v>
      </c>
      <c r="K292" s="3"/>
      <c r="L292" s="3">
        <v>1</v>
      </c>
      <c r="M292" s="3">
        <v>93</v>
      </c>
      <c r="N292" s="3">
        <v>27</v>
      </c>
      <c r="O292" s="3">
        <v>1</v>
      </c>
      <c r="P292" s="3"/>
      <c r="Q292" s="3">
        <v>2</v>
      </c>
      <c r="R292" s="3">
        <v>73</v>
      </c>
      <c r="S292" s="3">
        <v>22</v>
      </c>
      <c r="T292" s="3"/>
      <c r="U292" s="3"/>
      <c r="V292" s="3"/>
      <c r="W292" s="3">
        <v>7</v>
      </c>
      <c r="X292" s="3">
        <v>55</v>
      </c>
      <c r="Y292" s="3">
        <v>13</v>
      </c>
      <c r="Z292" s="3"/>
      <c r="AA292" s="3">
        <v>0</v>
      </c>
      <c r="AB292" s="3">
        <v>1</v>
      </c>
      <c r="AC292" s="3">
        <v>1</v>
      </c>
      <c r="AD292" s="3">
        <v>85</v>
      </c>
      <c r="AE292" s="3">
        <v>57</v>
      </c>
      <c r="AF292" s="3"/>
      <c r="AG292" s="3">
        <v>0</v>
      </c>
      <c r="AH292" s="3">
        <v>1</v>
      </c>
      <c r="AI292" s="3">
        <v>1</v>
      </c>
      <c r="AJ292" s="5">
        <v>68</v>
      </c>
      <c r="AK292" s="3">
        <v>94</v>
      </c>
      <c r="AL292" s="3"/>
      <c r="AM292" s="3"/>
      <c r="AN292" s="3">
        <v>1</v>
      </c>
      <c r="AO292" s="3">
        <v>28</v>
      </c>
      <c r="AP292" s="3">
        <v>40</v>
      </c>
      <c r="AQ292" s="3"/>
      <c r="AR292" s="3">
        <v>1</v>
      </c>
      <c r="AS292" s="3">
        <v>1</v>
      </c>
      <c r="AT292" s="3">
        <v>81</v>
      </c>
      <c r="AU292" s="3">
        <v>31</v>
      </c>
      <c r="AV292" s="3"/>
      <c r="AW292" s="3"/>
      <c r="AX292" s="3">
        <v>1</v>
      </c>
      <c r="AY292" s="3">
        <v>56</v>
      </c>
      <c r="AZ292" s="3">
        <v>34</v>
      </c>
      <c r="BA292" s="3"/>
      <c r="BB292" s="3">
        <v>1</v>
      </c>
      <c r="BC292" s="3"/>
      <c r="BD292" s="3">
        <v>1</v>
      </c>
      <c r="BE292" s="3">
        <v>75</v>
      </c>
      <c r="BF292" s="3">
        <v>38</v>
      </c>
      <c r="BG292" s="3"/>
      <c r="BH292" s="3"/>
      <c r="BI292" s="3">
        <v>1</v>
      </c>
      <c r="BJ292" s="3"/>
      <c r="BK292" s="3">
        <v>43</v>
      </c>
      <c r="BL292" s="3">
        <v>15</v>
      </c>
      <c r="BM292" s="3"/>
      <c r="BN292" s="3"/>
      <c r="BO292" s="3"/>
      <c r="BP292" s="3">
        <v>16</v>
      </c>
      <c r="BQ292" s="3">
        <v>5</v>
      </c>
      <c r="BR292" s="3"/>
      <c r="BS292" s="3">
        <v>2</v>
      </c>
      <c r="BT292" s="3">
        <v>11</v>
      </c>
      <c r="BU292" s="3">
        <v>7</v>
      </c>
      <c r="BV292" s="3"/>
      <c r="BW292" s="3"/>
      <c r="BX292" s="3">
        <f>SUM(E292:BW292)</f>
        <v>1205</v>
      </c>
      <c r="BY292" s="6"/>
    </row>
    <row r="293" spans="3:77" ht="24" customHeight="1" x14ac:dyDescent="0.25">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5"/>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6"/>
    </row>
    <row r="294" spans="3:77" ht="24" customHeight="1" x14ac:dyDescent="0.25">
      <c r="C294" s="3" t="s">
        <v>101</v>
      </c>
      <c r="D294" s="3" t="s">
        <v>90</v>
      </c>
      <c r="E294" s="3">
        <v>87</v>
      </c>
      <c r="F294" s="3">
        <v>39</v>
      </c>
      <c r="G294" s="3">
        <v>1</v>
      </c>
      <c r="H294" s="3">
        <v>1</v>
      </c>
      <c r="I294" s="3">
        <v>109</v>
      </c>
      <c r="J294" s="3">
        <v>40</v>
      </c>
      <c r="K294" s="3"/>
      <c r="L294" s="3"/>
      <c r="M294" s="3">
        <v>236</v>
      </c>
      <c r="N294" s="3">
        <v>82</v>
      </c>
      <c r="O294" s="3">
        <v>0</v>
      </c>
      <c r="P294" s="3">
        <v>2</v>
      </c>
      <c r="Q294" s="3">
        <v>10</v>
      </c>
      <c r="R294" s="3">
        <v>203</v>
      </c>
      <c r="S294" s="3">
        <v>57</v>
      </c>
      <c r="T294" s="3"/>
      <c r="U294" s="3"/>
      <c r="V294" s="3">
        <v>3</v>
      </c>
      <c r="W294" s="3">
        <v>13</v>
      </c>
      <c r="X294" s="3">
        <v>129</v>
      </c>
      <c r="Y294" s="3">
        <v>30</v>
      </c>
      <c r="Z294" s="3"/>
      <c r="AA294" s="3">
        <v>1</v>
      </c>
      <c r="AB294" s="3"/>
      <c r="AC294" s="3">
        <v>1</v>
      </c>
      <c r="AD294" s="3">
        <v>255</v>
      </c>
      <c r="AE294" s="3">
        <v>121</v>
      </c>
      <c r="AF294" s="3"/>
      <c r="AG294" s="3">
        <v>1</v>
      </c>
      <c r="AH294" s="3">
        <v>1</v>
      </c>
      <c r="AI294" s="3">
        <v>6</v>
      </c>
      <c r="AJ294" s="5">
        <v>188</v>
      </c>
      <c r="AK294" s="3">
        <v>249</v>
      </c>
      <c r="AL294" s="3"/>
      <c r="AM294" s="3">
        <v>2</v>
      </c>
      <c r="AN294" s="3">
        <v>7</v>
      </c>
      <c r="AO294" s="3">
        <v>78</v>
      </c>
      <c r="AP294" s="3">
        <v>79</v>
      </c>
      <c r="AQ294" s="3"/>
      <c r="AR294" s="3">
        <v>1</v>
      </c>
      <c r="AS294" s="3">
        <v>1</v>
      </c>
      <c r="AT294" s="3">
        <v>181</v>
      </c>
      <c r="AU294" s="3">
        <v>85</v>
      </c>
      <c r="AV294" s="3"/>
      <c r="AW294" s="3">
        <v>1</v>
      </c>
      <c r="AX294" s="3">
        <v>4</v>
      </c>
      <c r="AY294" s="3">
        <v>198</v>
      </c>
      <c r="AZ294" s="3">
        <v>92</v>
      </c>
      <c r="BA294" s="3"/>
      <c r="BB294" s="3">
        <v>0</v>
      </c>
      <c r="BC294" s="3">
        <v>1</v>
      </c>
      <c r="BD294" s="3">
        <v>8</v>
      </c>
      <c r="BE294" s="3">
        <v>195</v>
      </c>
      <c r="BF294" s="3">
        <v>73</v>
      </c>
      <c r="BG294" s="3"/>
      <c r="BH294" s="3"/>
      <c r="BI294" s="3">
        <v>1</v>
      </c>
      <c r="BJ294" s="3">
        <v>2</v>
      </c>
      <c r="BK294" s="3">
        <v>106</v>
      </c>
      <c r="BL294" s="3">
        <v>29</v>
      </c>
      <c r="BM294" s="3"/>
      <c r="BN294" s="3"/>
      <c r="BO294" s="3">
        <v>3</v>
      </c>
      <c r="BP294" s="3">
        <v>27</v>
      </c>
      <c r="BQ294" s="3">
        <v>29</v>
      </c>
      <c r="BR294" s="3"/>
      <c r="BS294" s="3">
        <v>1</v>
      </c>
      <c r="BT294" s="3">
        <v>22</v>
      </c>
      <c r="BU294" s="3">
        <v>16</v>
      </c>
      <c r="BV294" s="3"/>
      <c r="BW294" s="3"/>
      <c r="BX294" s="3">
        <f>SUM(E294:BW294)</f>
        <v>3107</v>
      </c>
      <c r="BY294" s="6" t="s">
        <v>212</v>
      </c>
    </row>
    <row r="295" spans="3:77" ht="24" customHeight="1" x14ac:dyDescent="0.25">
      <c r="C295" s="3"/>
      <c r="D295" s="3" t="s">
        <v>91</v>
      </c>
      <c r="E295" s="3">
        <v>42</v>
      </c>
      <c r="F295" s="3">
        <v>15</v>
      </c>
      <c r="G295" s="3">
        <v>2</v>
      </c>
      <c r="H295" s="3">
        <v>1</v>
      </c>
      <c r="I295" s="3">
        <v>47</v>
      </c>
      <c r="J295" s="3">
        <v>18</v>
      </c>
      <c r="K295" s="3"/>
      <c r="L295" s="3">
        <v>1</v>
      </c>
      <c r="M295" s="3">
        <v>91</v>
      </c>
      <c r="N295" s="3">
        <v>29</v>
      </c>
      <c r="O295" s="3">
        <v>1</v>
      </c>
      <c r="P295" s="3"/>
      <c r="Q295" s="3">
        <v>2</v>
      </c>
      <c r="R295" s="3">
        <v>74</v>
      </c>
      <c r="S295" s="3">
        <v>22</v>
      </c>
      <c r="T295" s="3"/>
      <c r="U295" s="3"/>
      <c r="V295" s="3"/>
      <c r="W295" s="3">
        <v>5</v>
      </c>
      <c r="X295" s="3">
        <v>52</v>
      </c>
      <c r="Y295" s="3">
        <v>13</v>
      </c>
      <c r="Z295" s="3"/>
      <c r="AA295" s="3">
        <v>0</v>
      </c>
      <c r="AB295" s="3">
        <v>1</v>
      </c>
      <c r="AC295" s="3">
        <v>1</v>
      </c>
      <c r="AD295" s="3">
        <v>86</v>
      </c>
      <c r="AE295" s="3">
        <v>57</v>
      </c>
      <c r="AF295" s="3"/>
      <c r="AG295" s="3">
        <v>0</v>
      </c>
      <c r="AH295" s="3">
        <v>1</v>
      </c>
      <c r="AI295" s="3">
        <v>1</v>
      </c>
      <c r="AJ295" s="5">
        <v>75</v>
      </c>
      <c r="AK295" s="3">
        <v>102</v>
      </c>
      <c r="AL295" s="3"/>
      <c r="AM295" s="3"/>
      <c r="AN295" s="3">
        <v>2</v>
      </c>
      <c r="AO295" s="3">
        <v>32</v>
      </c>
      <c r="AP295" s="3">
        <v>42</v>
      </c>
      <c r="AQ295" s="3"/>
      <c r="AR295" s="3">
        <v>1</v>
      </c>
      <c r="AS295" s="3">
        <v>1</v>
      </c>
      <c r="AT295" s="3">
        <v>83</v>
      </c>
      <c r="AU295" s="3">
        <v>30</v>
      </c>
      <c r="AV295" s="3"/>
      <c r="AW295" s="3"/>
      <c r="AX295" s="3">
        <v>1</v>
      </c>
      <c r="AY295" s="3">
        <v>56</v>
      </c>
      <c r="AZ295" s="3">
        <v>30</v>
      </c>
      <c r="BA295" s="3"/>
      <c r="BB295" s="3">
        <v>1</v>
      </c>
      <c r="BC295" s="3"/>
      <c r="BD295" s="3"/>
      <c r="BE295" s="3">
        <v>82</v>
      </c>
      <c r="BF295" s="3">
        <v>36</v>
      </c>
      <c r="BG295" s="3"/>
      <c r="BH295" s="3"/>
      <c r="BI295" s="3">
        <v>2</v>
      </c>
      <c r="BJ295" s="3"/>
      <c r="BK295" s="3">
        <v>49</v>
      </c>
      <c r="BL295" s="3">
        <v>13</v>
      </c>
      <c r="BM295" s="3"/>
      <c r="BN295" s="3"/>
      <c r="BO295" s="3"/>
      <c r="BP295" s="3">
        <v>17</v>
      </c>
      <c r="BQ295" s="3">
        <v>6</v>
      </c>
      <c r="BR295" s="3"/>
      <c r="BS295" s="3">
        <v>2</v>
      </c>
      <c r="BT295" s="3">
        <v>13</v>
      </c>
      <c r="BU295" s="3">
        <v>5</v>
      </c>
      <c r="BV295" s="3"/>
      <c r="BW295" s="3"/>
      <c r="BX295" s="3">
        <f>SUM(E295:BW295)</f>
        <v>1243</v>
      </c>
      <c r="BY295" s="6"/>
    </row>
    <row r="296" spans="3:77" ht="24" customHeight="1" x14ac:dyDescent="0.25">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5"/>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6"/>
    </row>
    <row r="297" spans="3:77" ht="24" customHeight="1" x14ac:dyDescent="0.25">
      <c r="C297" s="3" t="s">
        <v>102</v>
      </c>
      <c r="D297" s="3" t="s">
        <v>90</v>
      </c>
      <c r="E297" s="3">
        <v>87</v>
      </c>
      <c r="F297" s="3">
        <v>37</v>
      </c>
      <c r="G297" s="3">
        <v>2</v>
      </c>
      <c r="H297" s="3">
        <v>1</v>
      </c>
      <c r="I297" s="3">
        <v>109</v>
      </c>
      <c r="J297" s="3">
        <v>38</v>
      </c>
      <c r="K297" s="3"/>
      <c r="L297" s="3">
        <v>1</v>
      </c>
      <c r="M297" s="3">
        <v>235</v>
      </c>
      <c r="N297" s="3">
        <v>81</v>
      </c>
      <c r="O297" s="3">
        <v>0</v>
      </c>
      <c r="P297" s="3">
        <v>1</v>
      </c>
      <c r="Q297" s="3">
        <v>10</v>
      </c>
      <c r="R297" s="3">
        <v>198</v>
      </c>
      <c r="S297" s="3">
        <v>57</v>
      </c>
      <c r="T297" s="3"/>
      <c r="U297" s="3"/>
      <c r="V297" s="3">
        <v>3</v>
      </c>
      <c r="W297" s="3">
        <v>9</v>
      </c>
      <c r="X297" s="3">
        <v>126</v>
      </c>
      <c r="Y297" s="3">
        <v>30</v>
      </c>
      <c r="Z297" s="3"/>
      <c r="AA297" s="3">
        <v>1</v>
      </c>
      <c r="AB297" s="3"/>
      <c r="AC297" s="3">
        <v>2</v>
      </c>
      <c r="AD297" s="3">
        <v>243</v>
      </c>
      <c r="AE297" s="3">
        <v>124</v>
      </c>
      <c r="AF297" s="3"/>
      <c r="AG297" s="3">
        <v>1</v>
      </c>
      <c r="AH297" s="3">
        <v>1</v>
      </c>
      <c r="AI297" s="3">
        <v>6</v>
      </c>
      <c r="AJ297" s="5">
        <v>184</v>
      </c>
      <c r="AK297" s="3">
        <v>248</v>
      </c>
      <c r="AL297" s="3"/>
      <c r="AM297" s="3">
        <v>2</v>
      </c>
      <c r="AN297" s="3">
        <v>7</v>
      </c>
      <c r="AO297" s="3">
        <v>83</v>
      </c>
      <c r="AP297" s="3">
        <v>77</v>
      </c>
      <c r="AQ297" s="3"/>
      <c r="AR297" s="3">
        <v>1</v>
      </c>
      <c r="AS297" s="3">
        <v>1</v>
      </c>
      <c r="AT297" s="3">
        <v>155</v>
      </c>
      <c r="AU297" s="3">
        <v>82</v>
      </c>
      <c r="AV297" s="3"/>
      <c r="AW297" s="3">
        <v>1</v>
      </c>
      <c r="AX297" s="3">
        <v>3</v>
      </c>
      <c r="AY297" s="3">
        <v>189</v>
      </c>
      <c r="AZ297" s="3">
        <v>83</v>
      </c>
      <c r="BA297" s="3"/>
      <c r="BB297" s="3">
        <v>0</v>
      </c>
      <c r="BC297" s="3">
        <v>1</v>
      </c>
      <c r="BD297" s="3">
        <v>6</v>
      </c>
      <c r="BE297" s="3">
        <v>196</v>
      </c>
      <c r="BF297" s="3">
        <v>73</v>
      </c>
      <c r="BG297" s="3"/>
      <c r="BH297" s="3"/>
      <c r="BI297" s="3"/>
      <c r="BJ297" s="3">
        <v>1</v>
      </c>
      <c r="BK297" s="3">
        <v>106</v>
      </c>
      <c r="BL297" s="3">
        <v>31</v>
      </c>
      <c r="BM297" s="3"/>
      <c r="BN297" s="3"/>
      <c r="BO297" s="3">
        <v>3</v>
      </c>
      <c r="BP297" s="3">
        <v>30</v>
      </c>
      <c r="BQ297" s="3">
        <v>25</v>
      </c>
      <c r="BR297" s="3"/>
      <c r="BS297" s="3">
        <v>1</v>
      </c>
      <c r="BT297" s="3">
        <v>22</v>
      </c>
      <c r="BU297" s="3">
        <v>14</v>
      </c>
      <c r="BV297" s="3"/>
      <c r="BW297" s="3"/>
      <c r="BX297" s="3">
        <f>SUM(E297:BW297)</f>
        <v>3028</v>
      </c>
      <c r="BY297" s="6" t="s">
        <v>212</v>
      </c>
    </row>
    <row r="298" spans="3:77" ht="24" customHeight="1" x14ac:dyDescent="0.25">
      <c r="C298" s="3"/>
      <c r="D298" s="3" t="s">
        <v>91</v>
      </c>
      <c r="E298" s="3">
        <v>44</v>
      </c>
      <c r="F298" s="3">
        <v>17</v>
      </c>
      <c r="G298" s="3">
        <v>1</v>
      </c>
      <c r="H298" s="3">
        <v>1</v>
      </c>
      <c r="I298" s="3">
        <v>46</v>
      </c>
      <c r="J298" s="3">
        <v>20</v>
      </c>
      <c r="K298" s="3"/>
      <c r="L298" s="3"/>
      <c r="M298" s="3">
        <v>95</v>
      </c>
      <c r="N298" s="3">
        <v>29</v>
      </c>
      <c r="O298" s="3">
        <v>1</v>
      </c>
      <c r="P298" s="3">
        <v>1</v>
      </c>
      <c r="Q298" s="3">
        <v>2</v>
      </c>
      <c r="R298" s="3">
        <v>79</v>
      </c>
      <c r="S298" s="3">
        <v>20</v>
      </c>
      <c r="T298" s="3"/>
      <c r="U298" s="3"/>
      <c r="V298" s="3"/>
      <c r="W298" s="3">
        <v>8</v>
      </c>
      <c r="X298" s="3">
        <v>56</v>
      </c>
      <c r="Y298" s="3">
        <v>12</v>
      </c>
      <c r="Z298" s="3"/>
      <c r="AA298" s="3">
        <v>0</v>
      </c>
      <c r="AB298" s="3">
        <v>1</v>
      </c>
      <c r="AC298" s="3">
        <v>1</v>
      </c>
      <c r="AD298" s="3">
        <v>94</v>
      </c>
      <c r="AE298" s="3">
        <v>54</v>
      </c>
      <c r="AF298" s="3"/>
      <c r="AG298" s="3">
        <v>0</v>
      </c>
      <c r="AH298" s="3">
        <v>1</v>
      </c>
      <c r="AI298" s="3">
        <v>1</v>
      </c>
      <c r="AJ298" s="5">
        <v>76</v>
      </c>
      <c r="AK298" s="3">
        <v>103</v>
      </c>
      <c r="AL298" s="3"/>
      <c r="AM298" s="3"/>
      <c r="AN298" s="3">
        <v>2</v>
      </c>
      <c r="AO298" s="3">
        <v>30</v>
      </c>
      <c r="AP298" s="3">
        <v>45</v>
      </c>
      <c r="AQ298" s="3"/>
      <c r="AR298" s="3">
        <v>1</v>
      </c>
      <c r="AS298" s="3">
        <v>1</v>
      </c>
      <c r="AT298" s="3">
        <v>98</v>
      </c>
      <c r="AU298" s="3">
        <v>32</v>
      </c>
      <c r="AV298" s="3"/>
      <c r="AW298" s="3"/>
      <c r="AX298" s="3">
        <v>2</v>
      </c>
      <c r="AY298" s="3">
        <v>63</v>
      </c>
      <c r="AZ298" s="3">
        <v>32</v>
      </c>
      <c r="BA298" s="3"/>
      <c r="BB298" s="3">
        <v>1</v>
      </c>
      <c r="BC298" s="3"/>
      <c r="BD298" s="3">
        <v>1</v>
      </c>
      <c r="BE298" s="3">
        <v>86</v>
      </c>
      <c r="BF298" s="3">
        <v>37</v>
      </c>
      <c r="BG298" s="3"/>
      <c r="BH298" s="3"/>
      <c r="BI298" s="3">
        <v>1</v>
      </c>
      <c r="BJ298" s="3">
        <v>1</v>
      </c>
      <c r="BK298" s="3">
        <v>47</v>
      </c>
      <c r="BL298" s="3">
        <v>10</v>
      </c>
      <c r="BM298" s="3"/>
      <c r="BN298" s="3"/>
      <c r="BO298" s="3"/>
      <c r="BP298" s="3">
        <v>13</v>
      </c>
      <c r="BQ298" s="3">
        <v>8</v>
      </c>
      <c r="BR298" s="3"/>
      <c r="BS298" s="3">
        <v>2</v>
      </c>
      <c r="BT298" s="3">
        <v>11</v>
      </c>
      <c r="BU298" s="3">
        <v>7</v>
      </c>
      <c r="BV298" s="3"/>
      <c r="BW298" s="3"/>
      <c r="BX298" s="3">
        <f>SUM(E298:BW298)</f>
        <v>1294</v>
      </c>
      <c r="BY298" s="6"/>
    </row>
    <row r="299" spans="3:77" ht="24" customHeight="1" x14ac:dyDescent="0.25">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5"/>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6"/>
    </row>
    <row r="300" spans="3:77" ht="24" customHeight="1" x14ac:dyDescent="0.25">
      <c r="C300" s="3" t="s">
        <v>104</v>
      </c>
      <c r="D300" s="3" t="s">
        <v>90</v>
      </c>
      <c r="E300" s="3">
        <v>82</v>
      </c>
      <c r="F300" s="3">
        <v>38</v>
      </c>
      <c r="G300" s="3">
        <v>1</v>
      </c>
      <c r="H300" s="3">
        <v>1</v>
      </c>
      <c r="I300" s="3">
        <v>105</v>
      </c>
      <c r="J300" s="3">
        <v>36</v>
      </c>
      <c r="K300" s="3"/>
      <c r="L300" s="3">
        <v>1</v>
      </c>
      <c r="M300" s="3">
        <v>232</v>
      </c>
      <c r="N300" s="3">
        <v>73</v>
      </c>
      <c r="O300" s="3">
        <v>0</v>
      </c>
      <c r="P300" s="3">
        <v>1</v>
      </c>
      <c r="Q300" s="3">
        <v>10</v>
      </c>
      <c r="R300" s="3">
        <v>187</v>
      </c>
      <c r="S300" s="3">
        <v>56</v>
      </c>
      <c r="T300" s="3"/>
      <c r="U300" s="3"/>
      <c r="V300" s="3">
        <v>3</v>
      </c>
      <c r="W300" s="3">
        <v>12</v>
      </c>
      <c r="X300" s="3">
        <v>126</v>
      </c>
      <c r="Y300" s="3">
        <v>30</v>
      </c>
      <c r="Z300" s="3"/>
      <c r="AA300" s="3">
        <v>1</v>
      </c>
      <c r="AB300" s="3"/>
      <c r="AC300" s="3">
        <v>1</v>
      </c>
      <c r="AD300" s="3">
        <v>239</v>
      </c>
      <c r="AE300" s="3">
        <v>119</v>
      </c>
      <c r="AF300" s="3"/>
      <c r="AG300" s="3">
        <v>1</v>
      </c>
      <c r="AH300" s="3">
        <v>1</v>
      </c>
      <c r="AI300" s="3">
        <v>7</v>
      </c>
      <c r="AJ300" s="5">
        <v>181</v>
      </c>
      <c r="AK300" s="3">
        <v>239</v>
      </c>
      <c r="AL300" s="3"/>
      <c r="AM300" s="3">
        <v>2</v>
      </c>
      <c r="AN300" s="3">
        <v>5</v>
      </c>
      <c r="AO300" s="3">
        <v>79</v>
      </c>
      <c r="AP300" s="3">
        <v>76</v>
      </c>
      <c r="AQ300" s="3"/>
      <c r="AR300" s="3">
        <v>1</v>
      </c>
      <c r="AS300" s="3">
        <v>1</v>
      </c>
      <c r="AT300" s="3">
        <v>167</v>
      </c>
      <c r="AU300" s="3">
        <v>83</v>
      </c>
      <c r="AV300" s="3"/>
      <c r="AW300" s="3">
        <v>1</v>
      </c>
      <c r="AX300" s="3">
        <v>4</v>
      </c>
      <c r="AY300" s="3">
        <v>188</v>
      </c>
      <c r="AZ300" s="3">
        <v>85</v>
      </c>
      <c r="BA300" s="3"/>
      <c r="BB300" s="3">
        <v>0</v>
      </c>
      <c r="BC300" s="3">
        <v>1</v>
      </c>
      <c r="BD300" s="3">
        <v>7</v>
      </c>
      <c r="BE300" s="3">
        <v>184</v>
      </c>
      <c r="BF300" s="3">
        <v>68</v>
      </c>
      <c r="BG300" s="3"/>
      <c r="BH300" s="3"/>
      <c r="BI300" s="3">
        <v>1</v>
      </c>
      <c r="BJ300" s="3">
        <v>3</v>
      </c>
      <c r="BK300" s="3">
        <v>106</v>
      </c>
      <c r="BL300" s="3">
        <v>27</v>
      </c>
      <c r="BM300" s="3"/>
      <c r="BN300" s="3"/>
      <c r="BO300" s="3">
        <v>3</v>
      </c>
      <c r="BP300" s="3">
        <v>26</v>
      </c>
      <c r="BQ300" s="3">
        <v>25</v>
      </c>
      <c r="BR300" s="3"/>
      <c r="BS300" s="3">
        <v>2</v>
      </c>
      <c r="BT300" s="3">
        <v>21</v>
      </c>
      <c r="BU300" s="3">
        <v>16</v>
      </c>
      <c r="BV300" s="3"/>
      <c r="BW300" s="3"/>
      <c r="BX300" s="3">
        <f>SUM(E300:BW300)</f>
        <v>2965</v>
      </c>
      <c r="BY300" s="6" t="s">
        <v>212</v>
      </c>
    </row>
    <row r="301" spans="3:77" ht="24" customHeight="1" x14ac:dyDescent="0.25">
      <c r="C301" s="3" t="s">
        <v>103</v>
      </c>
      <c r="D301" s="3" t="s">
        <v>91</v>
      </c>
      <c r="E301" s="3">
        <v>46</v>
      </c>
      <c r="F301" s="3">
        <v>16</v>
      </c>
      <c r="G301" s="3">
        <v>2</v>
      </c>
      <c r="H301" s="3">
        <v>1</v>
      </c>
      <c r="I301" s="3">
        <v>48</v>
      </c>
      <c r="J301" s="3">
        <v>21</v>
      </c>
      <c r="K301" s="3"/>
      <c r="L301" s="3"/>
      <c r="M301" s="3">
        <v>97</v>
      </c>
      <c r="N301" s="3">
        <v>38</v>
      </c>
      <c r="O301" s="3">
        <v>1</v>
      </c>
      <c r="P301" s="3">
        <v>1</v>
      </c>
      <c r="Q301" s="3">
        <v>2</v>
      </c>
      <c r="R301" s="3">
        <v>88</v>
      </c>
      <c r="S301" s="3">
        <v>21</v>
      </c>
      <c r="T301" s="3"/>
      <c r="U301" s="3"/>
      <c r="V301" s="3"/>
      <c r="W301" s="3">
        <v>4</v>
      </c>
      <c r="X301" s="3">
        <v>56</v>
      </c>
      <c r="Y301" s="3">
        <v>12</v>
      </c>
      <c r="Z301" s="3"/>
      <c r="AA301" s="3">
        <v>0</v>
      </c>
      <c r="AB301" s="3">
        <v>1</v>
      </c>
      <c r="AC301" s="3">
        <v>1</v>
      </c>
      <c r="AD301" s="3">
        <v>100</v>
      </c>
      <c r="AE301" s="3">
        <v>61</v>
      </c>
      <c r="AF301" s="3"/>
      <c r="AG301" s="3">
        <v>0</v>
      </c>
      <c r="AH301" s="3">
        <v>1</v>
      </c>
      <c r="AI301" s="3"/>
      <c r="AJ301" s="5">
        <v>79</v>
      </c>
      <c r="AK301" s="3">
        <v>111</v>
      </c>
      <c r="AL301" s="3"/>
      <c r="AM301" s="3"/>
      <c r="AN301" s="3">
        <v>3</v>
      </c>
      <c r="AO301" s="3">
        <v>30</v>
      </c>
      <c r="AP301" s="3">
        <v>44</v>
      </c>
      <c r="AQ301" s="3"/>
      <c r="AR301" s="3">
        <v>1</v>
      </c>
      <c r="AS301" s="3">
        <v>1</v>
      </c>
      <c r="AT301" s="3">
        <v>85</v>
      </c>
      <c r="AU301" s="3">
        <v>30</v>
      </c>
      <c r="AV301" s="3"/>
      <c r="AW301" s="3"/>
      <c r="AX301" s="3">
        <v>1</v>
      </c>
      <c r="AY301" s="3">
        <v>62</v>
      </c>
      <c r="AZ301" s="3">
        <v>31</v>
      </c>
      <c r="BA301" s="3"/>
      <c r="BB301" s="3">
        <v>1</v>
      </c>
      <c r="BC301" s="3"/>
      <c r="BD301" s="3"/>
      <c r="BE301" s="3">
        <v>92</v>
      </c>
      <c r="BF301" s="3">
        <v>43</v>
      </c>
      <c r="BG301" s="3"/>
      <c r="BH301" s="3"/>
      <c r="BI301" s="3">
        <v>1</v>
      </c>
      <c r="BJ301" s="3"/>
      <c r="BK301" s="3">
        <v>47</v>
      </c>
      <c r="BL301" s="3">
        <v>15</v>
      </c>
      <c r="BM301" s="3"/>
      <c r="BN301" s="3"/>
      <c r="BO301" s="3"/>
      <c r="BP301" s="3">
        <v>16</v>
      </c>
      <c r="BQ301" s="3">
        <v>9</v>
      </c>
      <c r="BR301" s="3"/>
      <c r="BS301" s="3">
        <v>1</v>
      </c>
      <c r="BT301" s="3">
        <v>12</v>
      </c>
      <c r="BU301" s="3">
        <v>5</v>
      </c>
      <c r="BV301" s="3"/>
      <c r="BW301" s="3"/>
      <c r="BX301" s="3">
        <f>SUM(E301:BW301)</f>
        <v>1338</v>
      </c>
      <c r="BY301" s="6"/>
    </row>
    <row r="302" spans="3:77" ht="24" customHeight="1" x14ac:dyDescent="0.25">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5"/>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6"/>
    </row>
    <row r="303" spans="3:77" ht="24" customHeight="1" x14ac:dyDescent="0.25">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5"/>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6"/>
    </row>
    <row r="304" spans="3:77" ht="24" customHeight="1" x14ac:dyDescent="0.25">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5"/>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6"/>
    </row>
    <row r="305" spans="1:77" ht="27" customHeight="1" x14ac:dyDescent="0.25">
      <c r="AK305" s="7" t="s">
        <v>24</v>
      </c>
      <c r="AL305" s="8"/>
      <c r="AN305" s="7"/>
      <c r="AO305" s="7"/>
      <c r="AP305" s="7"/>
      <c r="AS305" s="7"/>
      <c r="AT305" s="7"/>
      <c r="AU305" s="7"/>
      <c r="AW305" s="8"/>
      <c r="AX305" s="7"/>
      <c r="AY305" s="7"/>
      <c r="AZ305" s="7"/>
      <c r="BA305" s="8"/>
      <c r="BD305" s="7"/>
      <c r="BE305" s="7"/>
      <c r="BF305" s="7"/>
      <c r="BG305" s="8"/>
      <c r="BJ305" s="7"/>
      <c r="BK305" s="7"/>
      <c r="BL305" s="7"/>
      <c r="BM305" s="8"/>
      <c r="BO305" s="7"/>
      <c r="BP305" s="7"/>
      <c r="BQ305" s="7"/>
      <c r="BS305" s="7"/>
      <c r="BT305" s="7"/>
      <c r="BU305" s="7"/>
      <c r="BW305" s="7"/>
      <c r="BX305" s="7"/>
      <c r="BY305" s="7"/>
    </row>
    <row r="306" spans="1:77" ht="114.75" customHeight="1" x14ac:dyDescent="0.25">
      <c r="A306" s="22" t="s">
        <v>79</v>
      </c>
      <c r="B306" s="22"/>
      <c r="C306" s="22"/>
      <c r="D306" s="22"/>
      <c r="E306" s="22"/>
      <c r="F306" s="22"/>
      <c r="G306" s="22"/>
      <c r="H306" s="22"/>
      <c r="I306" s="16"/>
      <c r="J306" s="23" t="s">
        <v>25</v>
      </c>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c r="AJ306" s="24"/>
      <c r="AK306" s="24"/>
      <c r="AL306" s="24"/>
      <c r="AM306" s="24"/>
      <c r="AN306" s="24"/>
      <c r="AO306" s="24"/>
      <c r="AP306" s="24"/>
      <c r="AQ306" s="24"/>
      <c r="AR306" s="24"/>
      <c r="AS306" s="24"/>
      <c r="AT306" s="24"/>
      <c r="AU306" s="24"/>
      <c r="AV306" s="24"/>
      <c r="AW306" s="24"/>
      <c r="AX306" s="24"/>
      <c r="AY306" s="24"/>
      <c r="AZ306" s="24"/>
      <c r="BA306" s="24"/>
      <c r="BB306" s="24"/>
      <c r="BC306" s="24"/>
      <c r="BD306" s="24"/>
      <c r="BE306" s="24"/>
      <c r="BF306" s="24"/>
      <c r="BG306" s="24"/>
      <c r="BH306" s="24"/>
      <c r="BI306" s="24"/>
      <c r="BJ306" s="24"/>
      <c r="BK306" s="24"/>
      <c r="BL306" s="24"/>
      <c r="BM306" s="24"/>
      <c r="BN306" s="24"/>
      <c r="BO306" s="24"/>
      <c r="BP306" s="24"/>
      <c r="BQ306" s="24"/>
      <c r="BR306" s="24"/>
      <c r="BS306" s="24"/>
      <c r="BT306" s="24"/>
      <c r="BU306" s="24"/>
      <c r="BV306" s="24"/>
      <c r="BW306" s="24"/>
      <c r="BX306" s="24"/>
      <c r="BY306" s="25"/>
    </row>
    <row r="307" spans="1:77" ht="18" customHeight="1" x14ac:dyDescent="0.25">
      <c r="A307" s="22"/>
      <c r="B307" s="22"/>
      <c r="C307" s="22"/>
      <c r="D307" s="22"/>
      <c r="E307" s="22"/>
      <c r="F307" s="22"/>
      <c r="G307" s="22"/>
      <c r="H307" s="22"/>
      <c r="I307" s="16"/>
      <c r="J307" s="26"/>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7"/>
      <c r="BO307" s="27"/>
      <c r="BP307" s="27"/>
      <c r="BQ307" s="27"/>
      <c r="BR307" s="27"/>
      <c r="BS307" s="27"/>
      <c r="BT307" s="27"/>
      <c r="BU307" s="27"/>
      <c r="BV307" s="27"/>
      <c r="BW307" s="27"/>
      <c r="BX307" s="27"/>
      <c r="BY307" s="28"/>
    </row>
    <row r="308" spans="1:77" ht="18" customHeight="1" x14ac:dyDescent="0.25">
      <c r="AK308" s="8"/>
      <c r="AL308" s="8"/>
      <c r="AN308" s="8"/>
      <c r="AO308" s="8"/>
      <c r="AP308" s="8"/>
      <c r="AS308" s="8"/>
      <c r="AT308" s="8"/>
      <c r="AU308" s="8"/>
      <c r="AW308" s="8"/>
      <c r="AX308" s="8"/>
      <c r="AY308" s="8"/>
      <c r="AZ308" s="8"/>
      <c r="BA308" s="8"/>
      <c r="BD308" s="8"/>
      <c r="BE308" s="8"/>
      <c r="BF308" s="8"/>
      <c r="BG308" s="8"/>
      <c r="BJ308" s="8"/>
      <c r="BK308" s="8"/>
      <c r="BL308" s="8"/>
      <c r="BM308" s="8"/>
      <c r="BO308" s="8"/>
      <c r="BP308" s="8"/>
      <c r="BQ308" s="8"/>
      <c r="BS308" s="8"/>
      <c r="BT308" s="8"/>
      <c r="BU308" s="8"/>
      <c r="BW308" s="8"/>
      <c r="BX308" s="8"/>
      <c r="BY308" s="8"/>
    </row>
    <row r="309" spans="1:77" ht="18" customHeight="1" x14ac:dyDescent="0.25">
      <c r="AK309" s="8"/>
      <c r="AL309" s="8"/>
      <c r="AN309" s="8"/>
      <c r="AO309" s="8"/>
      <c r="AP309" s="8"/>
      <c r="AS309" s="8"/>
      <c r="AT309" s="8"/>
      <c r="AU309" s="8"/>
      <c r="AW309" s="8"/>
      <c r="AX309" s="8"/>
      <c r="AY309" s="8"/>
      <c r="AZ309" s="8"/>
      <c r="BA309" s="8"/>
      <c r="BD309" s="8"/>
      <c r="BE309" s="8"/>
      <c r="BF309" s="8"/>
      <c r="BG309" s="8"/>
      <c r="BJ309" s="8"/>
      <c r="BK309" s="8"/>
      <c r="BL309" s="8"/>
      <c r="BM309" s="8"/>
      <c r="BO309" s="8"/>
      <c r="BP309" s="8"/>
      <c r="BQ309" s="8"/>
      <c r="BS309" s="8"/>
      <c r="BT309" s="8"/>
      <c r="BU309" s="8"/>
      <c r="BW309" s="8"/>
      <c r="BX309" s="8"/>
      <c r="BY309" s="8"/>
    </row>
    <row r="310" spans="1:77" ht="12.75" customHeight="1" x14ac:dyDescent="0.25">
      <c r="AK310" s="9"/>
      <c r="AL310" s="9"/>
      <c r="AN310" s="9"/>
      <c r="AO310" s="9"/>
      <c r="AP310" s="9"/>
      <c r="AS310" s="9"/>
      <c r="AT310" s="9"/>
      <c r="AU310" s="9"/>
      <c r="AW310" s="9"/>
      <c r="AX310" s="9"/>
      <c r="AY310" s="9"/>
      <c r="AZ310" s="9"/>
      <c r="BA310" s="9"/>
      <c r="BD310" s="9"/>
      <c r="BE310" s="9"/>
      <c r="BF310" s="9"/>
      <c r="BG310" s="9"/>
      <c r="BJ310" s="9"/>
      <c r="BK310" s="9"/>
      <c r="BL310" s="9"/>
      <c r="BM310" s="9"/>
      <c r="BO310" s="9"/>
      <c r="BP310" s="9"/>
      <c r="BQ310" s="9"/>
      <c r="BS310" s="9"/>
      <c r="BT310" s="9"/>
      <c r="BU310" s="9"/>
      <c r="BW310" s="9"/>
      <c r="BX310" s="9"/>
      <c r="BY310" s="9"/>
    </row>
  </sheetData>
  <mergeCells count="3">
    <mergeCell ref="A306:H307"/>
    <mergeCell ref="J306:BY307"/>
    <mergeCell ref="A1:BX1"/>
  </mergeCells>
  <pageMargins left="0.7" right="0.7" top="0.75" bottom="0.75" header="0.3" footer="0.3"/>
  <pageSetup paperSize="3" scale="4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Republican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Cindy Holt</dc:creator>
  <cp:lastModifiedBy>Amos, Brian</cp:lastModifiedBy>
  <cp:lastPrinted>2024-11-19T20:15:25Z</cp:lastPrinted>
  <dcterms:created xsi:type="dcterms:W3CDTF">2018-08-02T13:24:48Z</dcterms:created>
  <dcterms:modified xsi:type="dcterms:W3CDTF">2025-06-18T15:21:20Z</dcterms:modified>
</cp:coreProperties>
</file>