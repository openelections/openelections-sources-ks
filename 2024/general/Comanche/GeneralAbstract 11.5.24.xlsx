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anchecountyks-my.sharepoint.com/personal/chuck_comanchecountyks_gov/Documents/Documents/Election 2024/2024 General/"/>
    </mc:Choice>
  </mc:AlternateContent>
  <xr:revisionPtr revIDLastSave="1999" documentId="8_{A753BAF8-14FC-41C8-9A5A-BF76D73DE06F}" xr6:coauthVersionLast="47" xr6:coauthVersionMax="47" xr10:uidLastSave="{7E09C0F0-4BE0-49DF-A303-8BBFC8B63AA3}"/>
  <bookViews>
    <workbookView xWindow="-120" yWindow="-120" windowWidth="29040" windowHeight="15840" activeTab="1" xr2:uid="{A7105486-4D25-4A66-AC04-27C3D5697043}"/>
  </bookViews>
  <sheets>
    <sheet name="Chart1" sheetId="2" r:id="rId1"/>
    <sheet name="Sheet2" sheetId="3" r:id="rId2"/>
    <sheet name="Sheet1" sheetId="1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3" l="1"/>
  <c r="I110" i="3"/>
  <c r="I108" i="3"/>
  <c r="I107" i="3"/>
  <c r="I105" i="3"/>
  <c r="I104" i="3"/>
  <c r="I102" i="3"/>
  <c r="I101" i="3"/>
  <c r="I99" i="3"/>
  <c r="I98" i="3"/>
  <c r="I96" i="3"/>
  <c r="I95" i="3"/>
  <c r="I93" i="3"/>
  <c r="I92" i="3"/>
  <c r="I90" i="3"/>
  <c r="I89" i="3"/>
  <c r="I88" i="3"/>
  <c r="I87" i="3"/>
  <c r="I86" i="3"/>
  <c r="I84" i="3"/>
  <c r="I76" i="3"/>
  <c r="I75" i="3"/>
  <c r="I73" i="3"/>
  <c r="I72" i="3"/>
  <c r="I70" i="3"/>
  <c r="I69" i="3"/>
  <c r="I67" i="3"/>
  <c r="I65" i="3"/>
  <c r="I62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2" i="3"/>
  <c r="I41" i="3"/>
  <c r="I36" i="3"/>
  <c r="I34" i="3"/>
  <c r="I32" i="3"/>
  <c r="I30" i="3"/>
  <c r="I28" i="3"/>
  <c r="I26" i="3"/>
  <c r="I25" i="3"/>
  <c r="I23" i="3"/>
  <c r="I21" i="3"/>
  <c r="I19" i="3"/>
  <c r="I17" i="3"/>
  <c r="I15" i="3"/>
  <c r="I13" i="3"/>
  <c r="I12" i="3"/>
  <c r="I10" i="3"/>
  <c r="I9" i="3"/>
  <c r="I7" i="3"/>
  <c r="I6" i="3"/>
  <c r="I5" i="3"/>
  <c r="I4" i="3"/>
  <c r="AB73" i="1"/>
  <c r="AB72" i="1"/>
  <c r="AB70" i="1"/>
  <c r="AB69" i="1"/>
  <c r="AB67" i="1"/>
  <c r="AB66" i="1"/>
  <c r="AB64" i="1"/>
  <c r="AB63" i="1"/>
  <c r="AB61" i="1"/>
  <c r="AB60" i="1"/>
  <c r="AB58" i="1"/>
  <c r="AB57" i="1"/>
  <c r="AB55" i="1"/>
  <c r="AB54" i="1"/>
  <c r="AB52" i="1"/>
  <c r="AB50" i="1"/>
  <c r="AB49" i="1"/>
  <c r="AB47" i="1"/>
  <c r="AB45" i="1"/>
  <c r="AB43" i="1"/>
  <c r="AB41" i="1"/>
  <c r="AB36" i="1"/>
  <c r="AB34" i="1"/>
  <c r="AB32" i="1"/>
  <c r="AB30" i="1"/>
  <c r="AB28" i="1"/>
  <c r="AB26" i="1"/>
  <c r="AB25" i="1"/>
  <c r="AB23" i="1"/>
  <c r="AB21" i="1"/>
  <c r="AB19" i="1"/>
  <c r="AB17" i="1"/>
  <c r="AB15" i="1"/>
  <c r="AB13" i="1"/>
  <c r="AB12" i="1"/>
  <c r="AB10" i="1"/>
  <c r="AB9" i="1"/>
  <c r="AB7" i="1"/>
  <c r="AB6" i="1"/>
  <c r="AB5" i="1"/>
  <c r="AB4" i="1"/>
  <c r="S111" i="1"/>
  <c r="S110" i="1"/>
  <c r="S108" i="1"/>
  <c r="S107" i="1"/>
  <c r="S105" i="1"/>
  <c r="S104" i="1"/>
  <c r="S102" i="1"/>
  <c r="S101" i="1"/>
  <c r="S99" i="1"/>
  <c r="S98" i="1"/>
  <c r="S96" i="1"/>
  <c r="S95" i="1"/>
  <c r="S93" i="1"/>
  <c r="S92" i="1"/>
  <c r="S67" i="1"/>
  <c r="S65" i="1"/>
  <c r="S41" i="1"/>
  <c r="S36" i="1"/>
  <c r="S26" i="1"/>
  <c r="S34" i="1"/>
  <c r="S32" i="1"/>
  <c r="S30" i="1"/>
  <c r="S28" i="1"/>
  <c r="S25" i="1"/>
  <c r="S23" i="1"/>
  <c r="S21" i="1"/>
  <c r="S19" i="1"/>
  <c r="S17" i="1"/>
  <c r="S15" i="1"/>
  <c r="S13" i="1"/>
  <c r="S12" i="1"/>
  <c r="S10" i="1"/>
  <c r="S9" i="1"/>
  <c r="S7" i="1"/>
  <c r="S6" i="1"/>
  <c r="S5" i="1"/>
  <c r="S4" i="1"/>
  <c r="J99" i="1"/>
  <c r="J92" i="1"/>
  <c r="J101" i="1"/>
  <c r="J104" i="1"/>
  <c r="J95" i="1"/>
  <c r="J32" i="1"/>
  <c r="J57" i="1" l="1"/>
  <c r="J26" i="1"/>
  <c r="J42" i="1"/>
  <c r="J90" i="1"/>
  <c r="J89" i="1"/>
  <c r="J88" i="1"/>
  <c r="J87" i="1"/>
  <c r="J86" i="1"/>
  <c r="J84" i="1"/>
  <c r="J76" i="1"/>
  <c r="J75" i="1"/>
  <c r="J73" i="1"/>
  <c r="J72" i="1"/>
  <c r="J70" i="1"/>
  <c r="J69" i="1"/>
  <c r="J62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111" i="1"/>
  <c r="J110" i="1"/>
  <c r="J108" i="1"/>
  <c r="J107" i="1"/>
  <c r="J105" i="1"/>
  <c r="J102" i="1"/>
  <c r="J98" i="1"/>
  <c r="J96" i="1"/>
  <c r="J93" i="1"/>
  <c r="J67" i="1"/>
  <c r="J65" i="1"/>
  <c r="J41" i="1"/>
  <c r="J36" i="1"/>
  <c r="J34" i="1"/>
  <c r="J30" i="1"/>
  <c r="J28" i="1"/>
  <c r="J25" i="1"/>
  <c r="J23" i="1"/>
  <c r="J21" i="1"/>
  <c r="J19" i="1"/>
  <c r="J17" i="1"/>
  <c r="J15" i="1"/>
  <c r="J13" i="1"/>
  <c r="J12" i="1"/>
  <c r="J10" i="1"/>
  <c r="J9" i="1"/>
  <c r="J7" i="1"/>
  <c r="J6" i="1"/>
  <c r="J5" i="1"/>
  <c r="J4" i="1"/>
</calcChain>
</file>

<file path=xl/sharedStrings.xml><?xml version="1.0" encoding="utf-8"?>
<sst xmlns="http://schemas.openxmlformats.org/spreadsheetml/2006/main" count="423" uniqueCount="109">
  <si>
    <t xml:space="preserve">United States House of Representative 4th District </t>
  </si>
  <si>
    <t>Ron Estes- R</t>
  </si>
  <si>
    <t xml:space="preserve">State Sentae, 33rd District </t>
  </si>
  <si>
    <t>Tory Marie Blew- R</t>
  </si>
  <si>
    <t>Esau Freeman- D</t>
  </si>
  <si>
    <t>Avilla</t>
  </si>
  <si>
    <t>Powell</t>
  </si>
  <si>
    <t>Matthew Westenfeld-D</t>
  </si>
  <si>
    <t>Total</t>
  </si>
  <si>
    <t xml:space="preserve">State Representative, 116th District </t>
  </si>
  <si>
    <t>Kyle D. Hoffman- R</t>
  </si>
  <si>
    <t>District Court Judge, 16th District, 2nd Division</t>
  </si>
  <si>
    <t>Andrew M. Stein- D</t>
  </si>
  <si>
    <t xml:space="preserve">District Court Judge, 16th District, 3rd Division </t>
  </si>
  <si>
    <t>Laura H. Lewis- R</t>
  </si>
  <si>
    <t>District Magistrate Judge 16th District, Position 2</t>
  </si>
  <si>
    <t>County Commissioner, District 3</t>
  </si>
  <si>
    <t>County Commissioner, District 2</t>
  </si>
  <si>
    <t xml:space="preserve">Joseph R. Moore- R </t>
  </si>
  <si>
    <t xml:space="preserve">County Clerk </t>
  </si>
  <si>
    <t xml:space="preserve">Casey Huck- R </t>
  </si>
  <si>
    <t>County Treasurer</t>
  </si>
  <si>
    <t>Laura Sawyers- R</t>
  </si>
  <si>
    <t xml:space="preserve">County Register of Deeds </t>
  </si>
  <si>
    <t>Heather Puderbaugh- R</t>
  </si>
  <si>
    <t>County Attorney</t>
  </si>
  <si>
    <t xml:space="preserve">Clay Kuhns- R </t>
  </si>
  <si>
    <t>County Sheriff</t>
  </si>
  <si>
    <t>Jacob Bruckner- R</t>
  </si>
  <si>
    <t>Coldwater Township Trustee</t>
  </si>
  <si>
    <t xml:space="preserve">Saige Gerstner- R </t>
  </si>
  <si>
    <t xml:space="preserve">Steve J. Prusa- R </t>
  </si>
  <si>
    <t>Coldwater Township Treasurer</t>
  </si>
  <si>
    <t>Protection Township Trustee</t>
  </si>
  <si>
    <t>Protection Township Treasurer</t>
  </si>
  <si>
    <t>Avilla Township Trustee</t>
  </si>
  <si>
    <t>Avilla Township Treasurer</t>
  </si>
  <si>
    <t>Powell Township Trustee</t>
  </si>
  <si>
    <t>Powell Township Treasurer</t>
  </si>
  <si>
    <t>Rustin Martin- R</t>
  </si>
  <si>
    <t>Ron Sawyers</t>
  </si>
  <si>
    <t xml:space="preserve">Bryan Shanniak </t>
  </si>
  <si>
    <t xml:space="preserve">Clark Yost </t>
  </si>
  <si>
    <t xml:space="preserve">Roger Unruh </t>
  </si>
  <si>
    <t xml:space="preserve">Norine Fry </t>
  </si>
  <si>
    <t>ATTEST:</t>
  </si>
  <si>
    <t>County Election Officer</t>
  </si>
  <si>
    <t>_______________________________________</t>
  </si>
  <si>
    <t>Chairman</t>
  </si>
  <si>
    <t>Commissioner</t>
  </si>
  <si>
    <t xml:space="preserve">Commissioner </t>
  </si>
  <si>
    <t>US President &amp; Vice President</t>
  </si>
  <si>
    <t>Harris &amp; Walx- D</t>
  </si>
  <si>
    <t>Kennedy Jr. &amp; Shanahan - IND</t>
  </si>
  <si>
    <t>Oliver &amp; ter Maat- LIB</t>
  </si>
  <si>
    <t>Trump &amp; Vance- REP</t>
  </si>
  <si>
    <t>Retain Court of Appeals Judge, Warner</t>
  </si>
  <si>
    <t>Yes</t>
  </si>
  <si>
    <t xml:space="preserve">No </t>
  </si>
  <si>
    <t>Retain Court of Appeals Judge, Bruns</t>
  </si>
  <si>
    <t>Retain Court of Appeals Judge, Atcheson</t>
  </si>
  <si>
    <t xml:space="preserve">Yes </t>
  </si>
  <si>
    <t>Retain Court of Appeals Judge, Arnold-Burger</t>
  </si>
  <si>
    <t xml:space="preserve">Retain Court of Appeals Judge, Pickering </t>
  </si>
  <si>
    <t>Retain Court of Appeals Judge, Coble</t>
  </si>
  <si>
    <t>Retain Court of Appeals Judge, Gardner</t>
  </si>
  <si>
    <t xml:space="preserve">Protection </t>
  </si>
  <si>
    <t>Early Voters</t>
  </si>
  <si>
    <t>Doug Brooks- R</t>
  </si>
  <si>
    <t>Becky Holler- R</t>
  </si>
  <si>
    <t xml:space="preserve">  </t>
  </si>
  <si>
    <t>`</t>
  </si>
  <si>
    <t>Terri Olson</t>
  </si>
  <si>
    <t>Melissa Haas</t>
  </si>
  <si>
    <t xml:space="preserve">Melissa Haas </t>
  </si>
  <si>
    <t xml:space="preserve">Dallas Wilson </t>
  </si>
  <si>
    <t>Jerrica Glenn</t>
  </si>
  <si>
    <t xml:space="preserve">Kenny Timmer </t>
  </si>
  <si>
    <t xml:space="preserve">Mike Lehl </t>
  </si>
  <si>
    <t xml:space="preserve">Rusty Frazier </t>
  </si>
  <si>
    <t xml:space="preserve">Wynn Alexander </t>
  </si>
  <si>
    <t xml:space="preserve">Judson Tillotson </t>
  </si>
  <si>
    <t>Katie Underwood</t>
  </si>
  <si>
    <t xml:space="preserve">Dylan Bolton </t>
  </si>
  <si>
    <t>Krystal Sherman</t>
  </si>
  <si>
    <t xml:space="preserve">Penny Bruckner </t>
  </si>
  <si>
    <t xml:space="preserve">Christa Minton </t>
  </si>
  <si>
    <t xml:space="preserve">Pat Lohrding </t>
  </si>
  <si>
    <t>Diana Thompson</t>
  </si>
  <si>
    <t xml:space="preserve">Devin Duffield </t>
  </si>
  <si>
    <t xml:space="preserve">Chelsay Jackson </t>
  </si>
  <si>
    <t xml:space="preserve">Roy Hoffman </t>
  </si>
  <si>
    <t xml:space="preserve">Mark Sherman </t>
  </si>
  <si>
    <t xml:space="preserve">Abstract of votes cast at the General Election held in the several Precencts in said County on the   </t>
  </si>
  <si>
    <t xml:space="preserve">5th day of November, 2024 is true and correct, as shown by the returns of said election on file in the County </t>
  </si>
  <si>
    <t>Election Officer's office, and canvassed by us this 12th day of November, 2024.</t>
  </si>
  <si>
    <t>WITNESS our hands, this 12th day of November,  2024.</t>
  </si>
  <si>
    <t>Coldwater Commission 2</t>
  </si>
  <si>
    <t>Coldwater Commission 1</t>
  </si>
  <si>
    <t xml:space="preserve">Steve Prusa </t>
  </si>
  <si>
    <t xml:space="preserve">Lisa Girk </t>
  </si>
  <si>
    <t xml:space="preserve">David Thompson </t>
  </si>
  <si>
    <t xml:space="preserve">AJ Prusa </t>
  </si>
  <si>
    <t xml:space="preserve">Arrow Zanghi </t>
  </si>
  <si>
    <t>Jill Harrell</t>
  </si>
  <si>
    <t>Houston Victor Crumpler</t>
  </si>
  <si>
    <t xml:space="preserve">Betty Yost </t>
  </si>
  <si>
    <t>Provisionals</t>
  </si>
  <si>
    <t>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</si>
</sst>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2" xfId="0" applyBorder="1"/>
    <xf numFmtId="0" fontId="0" fillId="0" borderId="4" xfId="0" applyBorder="1"/>
    <xf numFmtId="0" fontId="2" fillId="0" borderId="6" xfId="0" applyFon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5" xfId="0" applyBorder="1"/>
    <xf numFmtId="0" fontId="1" fillId="0" borderId="1" xfId="0" applyFont="1" applyBorder="1"/>
    <xf numFmtId="0" fontId="2" fillId="0" borderId="0" xfId="0" applyFont="1"/>
    <xf numFmtId="0" fontId="1" fillId="0" borderId="10" xfId="0" applyFont="1" applyBorder="1"/>
    <xf numFmtId="0" fontId="1" fillId="0" borderId="0" xfId="0" applyFont="1"/>
    <xf numFmtId="0" fontId="4" fillId="0" borderId="6" xfId="0" applyFont="1" applyBorder="1"/>
    <xf numFmtId="0" fontId="6" fillId="0" borderId="3" xfId="0" applyFont="1" applyBorder="1"/>
    <xf numFmtId="0" fontId="6" fillId="0" borderId="5" xfId="0" applyFont="1" applyBorder="1"/>
    <xf numFmtId="0" fontId="5" fillId="0" borderId="4" xfId="0" applyFont="1" applyBorder="1"/>
    <xf numFmtId="0" fontId="2" fillId="0" borderId="4" xfId="0" applyFont="1" applyBorder="1"/>
    <xf numFmtId="0" fontId="0" fillId="0" borderId="0" xfId="0" applyAlignment="1">
      <alignment textRotation="255"/>
    </xf>
    <xf numFmtId="0" fontId="0" fillId="0" borderId="5" xfId="0" applyBorder="1" applyAlignment="1">
      <alignment horizontal="right"/>
    </xf>
    <xf numFmtId="0" fontId="6" fillId="0" borderId="1" xfId="0" applyFont="1" applyBorder="1"/>
    <xf numFmtId="0" fontId="0" fillId="0" borderId="11" xfId="0" applyBorder="1"/>
    <xf numFmtId="0" fontId="6" fillId="0" borderId="12" xfId="0" applyFont="1" applyBorder="1"/>
    <xf numFmtId="0" fontId="2" fillId="0" borderId="1" xfId="0" applyFont="1" applyBorder="1"/>
    <xf numFmtId="0" fontId="1" fillId="0" borderId="8" xfId="0" applyFont="1" applyBorder="1"/>
    <xf numFmtId="0" fontId="2" fillId="0" borderId="7" xfId="0" applyFont="1" applyBorder="1"/>
    <xf numFmtId="0" fontId="0" fillId="0" borderId="0" xfId="0" applyAlignment="1">
      <alignment horizontal="right" textRotation="255"/>
    </xf>
    <xf numFmtId="0" fontId="0" fillId="0" borderId="13" xfId="0" applyBorder="1"/>
    <xf numFmtId="0" fontId="6" fillId="0" borderId="11" xfId="0" applyFont="1" applyBorder="1"/>
    <xf numFmtId="0" fontId="3" fillId="0" borderId="7" xfId="0" applyFont="1" applyBorder="1" applyAlignment="1">
      <alignment textRotation="45"/>
    </xf>
    <xf numFmtId="0" fontId="7" fillId="0" borderId="1" xfId="0" applyFont="1" applyBorder="1" applyAlignment="1">
      <alignment textRotation="45"/>
    </xf>
    <xf numFmtId="0" fontId="7" fillId="0" borderId="6" xfId="0" applyFont="1" applyBorder="1" applyAlignment="1">
      <alignment textRotation="45"/>
    </xf>
    <xf numFmtId="0" fontId="0" fillId="2" borderId="1" xfId="0" applyFill="1" applyBorder="1"/>
    <xf numFmtId="0" fontId="0" fillId="0" borderId="12" xfId="0" applyBorder="1"/>
    <xf numFmtId="0" fontId="0" fillId="0" borderId="0" xfId="0" applyBorder="1"/>
    <xf numFmtId="0" fontId="0" fillId="0" borderId="3" xfId="0" applyBorder="1"/>
    <xf numFmtId="0" fontId="0" fillId="0" borderId="0" xfId="0" applyFill="1" applyBorder="1"/>
    <xf numFmtId="0" fontId="0" fillId="0" borderId="1" xfId="0" applyFill="1" applyBorder="1"/>
    <xf numFmtId="0" fontId="0" fillId="0" borderId="7" xfId="0" applyBorder="1"/>
    <xf numFmtId="0" fontId="6" fillId="0" borderId="7" xfId="0" applyFont="1" applyBorder="1"/>
    <xf numFmtId="0" fontId="3" fillId="0" borderId="1" xfId="0" applyFont="1" applyBorder="1" applyAlignment="1">
      <alignment textRotation="255"/>
    </xf>
    <xf numFmtId="0" fontId="6" fillId="0" borderId="6" xfId="0" applyFont="1" applyBorder="1"/>
    <xf numFmtId="0" fontId="6" fillId="0" borderId="0" xfId="0" applyFont="1" applyBorder="1"/>
    <xf numFmtId="0" fontId="0" fillId="0" borderId="7" xfId="0" applyBorder="1" applyAlignment="1">
      <alignment textRotation="45"/>
    </xf>
    <xf numFmtId="0" fontId="2" fillId="0" borderId="0" xfId="0" applyFont="1" applyBorder="1"/>
    <xf numFmtId="0" fontId="1" fillId="0" borderId="0" xfId="0" applyFont="1" applyBorder="1"/>
    <xf numFmtId="0" fontId="0" fillId="0" borderId="14" xfId="0" applyBorder="1"/>
    <xf numFmtId="0" fontId="1" fillId="2" borderId="1" xfId="0" applyFont="1" applyFill="1" applyBorder="1"/>
    <xf numFmtId="0" fontId="1" fillId="2" borderId="8" xfId="0" applyFont="1" applyFill="1" applyBorder="1"/>
    <xf numFmtId="0" fontId="0" fillId="0" borderId="10" xfId="0" applyFill="1" applyBorder="1"/>
    <xf numFmtId="0" fontId="8" fillId="0" borderId="2" xfId="0" applyFont="1" applyBorder="1" applyAlignment="1">
      <alignment textRotation="45"/>
    </xf>
    <xf numFmtId="0" fontId="1" fillId="2" borderId="7" xfId="0" applyFont="1" applyFill="1" applyBorder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Sheet1!$F$23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61F-4436-AEFF-FCFD4A471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447320"/>
        <c:axId val="879445160"/>
      </c:barChart>
      <c:catAx>
        <c:axId val="879447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45160"/>
        <c:crosses val="autoZero"/>
        <c:auto val="1"/>
        <c:lblAlgn val="ctr"/>
        <c:lblOffset val="100"/>
        <c:noMultiLvlLbl val="0"/>
      </c:catAx>
      <c:valAx>
        <c:axId val="87944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47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2DC3A1-895D-494E-9F97-2371AA47D2CA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7821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69D19-0718-F991-6D73-3E1666DF03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7111-18B2-47C7-B37F-B7787A815689}">
  <dimension ref="A2:J125"/>
  <sheetViews>
    <sheetView tabSelected="1" view="pageLayout" topLeftCell="A96" zoomScaleNormal="100" workbookViewId="0">
      <selection activeCell="A118" sqref="A118:XFD118"/>
    </sheetView>
  </sheetViews>
  <sheetFormatPr defaultRowHeight="15" x14ac:dyDescent="0.25"/>
  <cols>
    <col min="1" max="1" width="3.7109375" customWidth="1"/>
    <col min="2" max="2" width="27.42578125" bestFit="1" customWidth="1"/>
    <col min="3" max="7" width="6.5703125" customWidth="1"/>
    <col min="8" max="8" width="4.7109375" customWidth="1"/>
    <col min="9" max="9" width="6.7109375" customWidth="1"/>
    <col min="10" max="10" width="6.85546875" customWidth="1"/>
  </cols>
  <sheetData>
    <row r="2" spans="1:10" ht="87.75" x14ac:dyDescent="0.25">
      <c r="A2" s="9"/>
      <c r="B2" s="44"/>
      <c r="C2" s="31" t="s">
        <v>98</v>
      </c>
      <c r="D2" s="31" t="s">
        <v>97</v>
      </c>
      <c r="E2" s="31" t="s">
        <v>66</v>
      </c>
      <c r="F2" s="31" t="s">
        <v>5</v>
      </c>
      <c r="G2" s="31" t="s">
        <v>6</v>
      </c>
      <c r="H2" s="32"/>
      <c r="I2" s="30" t="s">
        <v>8</v>
      </c>
    </row>
    <row r="3" spans="1:10" ht="15.75" x14ac:dyDescent="0.25">
      <c r="A3" s="43" t="s">
        <v>51</v>
      </c>
      <c r="B3" s="35"/>
      <c r="C3" s="19"/>
      <c r="D3" s="19"/>
      <c r="E3" s="19"/>
      <c r="F3" s="27"/>
      <c r="G3" s="27"/>
      <c r="H3" s="19"/>
      <c r="I3" s="41"/>
      <c r="J3" s="35"/>
    </row>
    <row r="4" spans="1:10" x14ac:dyDescent="0.25">
      <c r="A4" s="35"/>
      <c r="B4" s="8" t="s">
        <v>52</v>
      </c>
      <c r="C4" s="20">
        <v>39</v>
      </c>
      <c r="D4" s="20">
        <v>42</v>
      </c>
      <c r="E4" s="20">
        <v>39</v>
      </c>
      <c r="F4" s="20">
        <v>2</v>
      </c>
      <c r="G4" s="20">
        <v>8</v>
      </c>
      <c r="H4" s="20"/>
      <c r="I4" s="8">
        <f>SUM(C4:H4)</f>
        <v>130</v>
      </c>
      <c r="J4" s="35"/>
    </row>
    <row r="5" spans="1:10" x14ac:dyDescent="0.25">
      <c r="A5" s="35"/>
      <c r="B5" s="8" t="s">
        <v>53</v>
      </c>
      <c r="C5" s="20">
        <v>6</v>
      </c>
      <c r="D5" s="20">
        <v>6</v>
      </c>
      <c r="E5" s="20">
        <v>0</v>
      </c>
      <c r="F5" s="20">
        <v>1</v>
      </c>
      <c r="G5" s="20">
        <v>0</v>
      </c>
      <c r="H5" s="20"/>
      <c r="I5" s="8">
        <f>SUM(C5:H5)</f>
        <v>13</v>
      </c>
      <c r="J5" s="35"/>
    </row>
    <row r="6" spans="1:10" x14ac:dyDescent="0.25">
      <c r="A6" s="35"/>
      <c r="B6" s="8" t="s">
        <v>54</v>
      </c>
      <c r="C6" s="20">
        <v>1</v>
      </c>
      <c r="D6" s="20">
        <v>2</v>
      </c>
      <c r="E6" s="20">
        <v>1</v>
      </c>
      <c r="F6" s="20">
        <v>0</v>
      </c>
      <c r="G6" s="20">
        <v>0</v>
      </c>
      <c r="H6" s="20"/>
      <c r="I6" s="8">
        <f>SUM(C6:H6)</f>
        <v>4</v>
      </c>
      <c r="J6" s="35"/>
    </row>
    <row r="7" spans="1:10" x14ac:dyDescent="0.25">
      <c r="A7" s="35"/>
      <c r="B7" s="10" t="s">
        <v>55</v>
      </c>
      <c r="C7" s="20">
        <v>202</v>
      </c>
      <c r="D7" s="20">
        <v>172</v>
      </c>
      <c r="E7" s="20">
        <v>280</v>
      </c>
      <c r="F7" s="20">
        <v>37</v>
      </c>
      <c r="G7" s="20">
        <v>36</v>
      </c>
      <c r="H7" s="20"/>
      <c r="I7" s="48">
        <f>SUM(C7:H7)</f>
        <v>727</v>
      </c>
      <c r="J7" s="35"/>
    </row>
    <row r="8" spans="1:10" ht="18.75" x14ac:dyDescent="0.3">
      <c r="A8" s="43" t="s">
        <v>0</v>
      </c>
      <c r="B8" s="17"/>
      <c r="C8" s="17"/>
      <c r="D8" s="17"/>
      <c r="E8" s="18"/>
      <c r="F8" s="2"/>
      <c r="G8" s="2"/>
      <c r="J8" s="35"/>
    </row>
    <row r="9" spans="1:10" x14ac:dyDescent="0.25">
      <c r="A9" s="35"/>
      <c r="B9" s="10" t="s">
        <v>1</v>
      </c>
      <c r="C9" s="8">
        <v>209</v>
      </c>
      <c r="D9" s="8">
        <v>188</v>
      </c>
      <c r="E9" s="8">
        <v>284</v>
      </c>
      <c r="F9" s="8">
        <v>39</v>
      </c>
      <c r="G9" s="8">
        <v>37</v>
      </c>
      <c r="I9" s="48">
        <f>SUM(C9:H9)</f>
        <v>757</v>
      </c>
      <c r="J9" s="35"/>
    </row>
    <row r="10" spans="1:10" x14ac:dyDescent="0.25">
      <c r="A10" s="35"/>
      <c r="B10" s="8" t="s">
        <v>4</v>
      </c>
      <c r="C10" s="8">
        <v>36</v>
      </c>
      <c r="D10" s="8">
        <v>32</v>
      </c>
      <c r="E10" s="8">
        <v>33</v>
      </c>
      <c r="F10" s="8">
        <v>2</v>
      </c>
      <c r="G10" s="8">
        <v>8</v>
      </c>
      <c r="I10" s="8">
        <f>SUM(C10:H10)</f>
        <v>111</v>
      </c>
      <c r="J10" s="35"/>
    </row>
    <row r="11" spans="1:10" ht="18.75" x14ac:dyDescent="0.3">
      <c r="A11" s="43" t="s">
        <v>2</v>
      </c>
      <c r="B11" s="14"/>
      <c r="C11" s="4"/>
      <c r="D11" s="4"/>
      <c r="E11" s="4"/>
      <c r="F11" s="4"/>
      <c r="G11" s="4"/>
      <c r="J11" s="35"/>
    </row>
    <row r="12" spans="1:10" x14ac:dyDescent="0.25">
      <c r="A12" s="35"/>
      <c r="B12" s="10" t="s">
        <v>3</v>
      </c>
      <c r="C12" s="8">
        <v>186</v>
      </c>
      <c r="D12" s="8">
        <v>170</v>
      </c>
      <c r="E12" s="8">
        <v>263</v>
      </c>
      <c r="F12" s="8">
        <v>36</v>
      </c>
      <c r="G12" s="8">
        <v>36</v>
      </c>
      <c r="I12" s="48">
        <f>SUM(C12:H12)</f>
        <v>691</v>
      </c>
      <c r="J12" s="35"/>
    </row>
    <row r="13" spans="1:10" x14ac:dyDescent="0.25">
      <c r="A13" s="35"/>
      <c r="B13" s="8" t="s">
        <v>7</v>
      </c>
      <c r="C13" s="8">
        <v>48</v>
      </c>
      <c r="D13" s="8">
        <v>41</v>
      </c>
      <c r="E13" s="8">
        <v>42</v>
      </c>
      <c r="F13" s="8">
        <v>4</v>
      </c>
      <c r="G13" s="8">
        <v>8</v>
      </c>
      <c r="I13" s="8">
        <f>SUM(C13:H13)</f>
        <v>143</v>
      </c>
      <c r="J13" s="35"/>
    </row>
    <row r="14" spans="1:10" ht="15.75" x14ac:dyDescent="0.25">
      <c r="A14" s="43" t="s">
        <v>9</v>
      </c>
      <c r="B14" s="45"/>
      <c r="J14" s="35"/>
    </row>
    <row r="15" spans="1:10" x14ac:dyDescent="0.25">
      <c r="A15" s="35"/>
      <c r="B15" s="10" t="s">
        <v>10</v>
      </c>
      <c r="C15" s="39">
        <v>191</v>
      </c>
      <c r="D15" s="8">
        <v>153</v>
      </c>
      <c r="E15" s="8">
        <v>278</v>
      </c>
      <c r="F15" s="8">
        <v>36</v>
      </c>
      <c r="G15" s="8">
        <v>32</v>
      </c>
      <c r="I15" s="48">
        <f>SUM(C15:H15)</f>
        <v>690</v>
      </c>
      <c r="J15" s="35"/>
    </row>
    <row r="16" spans="1:10" ht="15.75" x14ac:dyDescent="0.25">
      <c r="A16" s="43" t="s">
        <v>11</v>
      </c>
      <c r="B16" s="45"/>
      <c r="J16" s="35"/>
    </row>
    <row r="17" spans="1:10" x14ac:dyDescent="0.25">
      <c r="A17" s="35"/>
      <c r="B17" s="10" t="s">
        <v>12</v>
      </c>
      <c r="C17" s="39">
        <v>132</v>
      </c>
      <c r="D17" s="8">
        <v>154</v>
      </c>
      <c r="E17" s="8">
        <v>182</v>
      </c>
      <c r="F17" s="8">
        <v>26</v>
      </c>
      <c r="G17" s="8">
        <v>22</v>
      </c>
      <c r="I17" s="48">
        <f>SUM(C17:H17)</f>
        <v>516</v>
      </c>
      <c r="J17" s="35"/>
    </row>
    <row r="18" spans="1:10" ht="15.75" x14ac:dyDescent="0.25">
      <c r="A18" s="43" t="s">
        <v>13</v>
      </c>
      <c r="B18" s="45"/>
      <c r="J18" s="35"/>
    </row>
    <row r="19" spans="1:10" x14ac:dyDescent="0.25">
      <c r="A19" s="35"/>
      <c r="B19" s="10" t="s">
        <v>14</v>
      </c>
      <c r="C19" s="39">
        <v>211</v>
      </c>
      <c r="D19" s="8">
        <v>191</v>
      </c>
      <c r="E19" s="8">
        <v>283</v>
      </c>
      <c r="F19" s="8">
        <v>36</v>
      </c>
      <c r="G19" s="8">
        <v>37</v>
      </c>
      <c r="I19" s="48">
        <f>SUM(C19:H19)</f>
        <v>758</v>
      </c>
      <c r="J19" s="35"/>
    </row>
    <row r="20" spans="1:10" ht="15.75" x14ac:dyDescent="0.25">
      <c r="A20" s="43" t="s">
        <v>15</v>
      </c>
      <c r="B20" s="45"/>
      <c r="C20" s="11"/>
      <c r="D20" s="11"/>
      <c r="J20" s="35"/>
    </row>
    <row r="21" spans="1:10" x14ac:dyDescent="0.25">
      <c r="A21" s="35"/>
      <c r="B21" s="10" t="s">
        <v>39</v>
      </c>
      <c r="C21" s="39">
        <v>228</v>
      </c>
      <c r="D21" s="8">
        <v>206</v>
      </c>
      <c r="E21" s="8">
        <v>294</v>
      </c>
      <c r="F21" s="8">
        <v>38</v>
      </c>
      <c r="G21" s="8">
        <v>40</v>
      </c>
      <c r="I21" s="48">
        <f>SUM(C21:H21)</f>
        <v>806</v>
      </c>
      <c r="J21" s="35"/>
    </row>
    <row r="22" spans="1:10" ht="15.75" x14ac:dyDescent="0.25">
      <c r="A22" s="43" t="s">
        <v>17</v>
      </c>
      <c r="B22" s="45"/>
      <c r="J22" s="35"/>
    </row>
    <row r="23" spans="1:10" x14ac:dyDescent="0.25">
      <c r="A23" s="35"/>
      <c r="B23" s="10" t="s">
        <v>30</v>
      </c>
      <c r="C23" s="39"/>
      <c r="D23" s="8">
        <v>244</v>
      </c>
      <c r="E23" s="8"/>
      <c r="F23" s="8"/>
      <c r="G23" s="8"/>
      <c r="I23" s="48">
        <f>SUM(C23:H23)</f>
        <v>244</v>
      </c>
      <c r="J23" s="35"/>
    </row>
    <row r="24" spans="1:10" ht="15.75" x14ac:dyDescent="0.25">
      <c r="A24" s="43" t="s">
        <v>16</v>
      </c>
      <c r="B24" s="45"/>
      <c r="J24" s="35"/>
    </row>
    <row r="25" spans="1:10" x14ac:dyDescent="0.25">
      <c r="A25" s="35"/>
      <c r="B25" s="10" t="s">
        <v>18</v>
      </c>
      <c r="C25" s="39"/>
      <c r="D25" s="8"/>
      <c r="E25" s="8">
        <v>247</v>
      </c>
      <c r="F25" s="8"/>
      <c r="G25" s="8"/>
      <c r="I25" s="48">
        <f>SUM(C25:H25)</f>
        <v>247</v>
      </c>
      <c r="J25" s="35"/>
    </row>
    <row r="26" spans="1:10" x14ac:dyDescent="0.25">
      <c r="A26" s="35"/>
      <c r="B26" s="8" t="s">
        <v>40</v>
      </c>
      <c r="C26" s="39"/>
      <c r="D26" s="8"/>
      <c r="E26" s="8">
        <v>52</v>
      </c>
      <c r="F26" s="8"/>
      <c r="G26" s="8"/>
      <c r="I26" s="8">
        <f>SUM(C26:H26)</f>
        <v>52</v>
      </c>
      <c r="J26" s="35"/>
    </row>
    <row r="27" spans="1:10" ht="15.75" x14ac:dyDescent="0.25">
      <c r="A27" s="43" t="s">
        <v>19</v>
      </c>
      <c r="B27" s="35"/>
      <c r="C27" s="4"/>
      <c r="D27" s="4"/>
      <c r="E27" s="4"/>
      <c r="F27" s="4"/>
      <c r="G27" s="4"/>
      <c r="J27" s="35"/>
    </row>
    <row r="28" spans="1:10" x14ac:dyDescent="0.25">
      <c r="A28" s="35"/>
      <c r="B28" s="10" t="s">
        <v>20</v>
      </c>
      <c r="C28" s="39">
        <v>219</v>
      </c>
      <c r="D28" s="8">
        <v>182</v>
      </c>
      <c r="E28" s="8">
        <v>284</v>
      </c>
      <c r="F28" s="8">
        <v>35</v>
      </c>
      <c r="G28" s="8">
        <v>42</v>
      </c>
      <c r="I28" s="48">
        <f>SUM(C28:H28)</f>
        <v>762</v>
      </c>
      <c r="J28" s="35"/>
    </row>
    <row r="29" spans="1:10" ht="15.75" x14ac:dyDescent="0.25">
      <c r="A29" s="43" t="s">
        <v>21</v>
      </c>
      <c r="B29" s="35"/>
      <c r="J29" s="35"/>
    </row>
    <row r="30" spans="1:10" x14ac:dyDescent="0.25">
      <c r="A30" s="35"/>
      <c r="B30" s="10" t="s">
        <v>22</v>
      </c>
      <c r="C30" s="39">
        <v>214</v>
      </c>
      <c r="D30" s="8">
        <v>185</v>
      </c>
      <c r="E30" s="8">
        <v>294</v>
      </c>
      <c r="F30" s="8">
        <v>36</v>
      </c>
      <c r="G30" s="8">
        <v>43</v>
      </c>
      <c r="I30" s="48">
        <f>SUM(C30:H30)</f>
        <v>772</v>
      </c>
      <c r="J30" s="35"/>
    </row>
    <row r="31" spans="1:10" ht="15.75" x14ac:dyDescent="0.25">
      <c r="A31" s="43" t="s">
        <v>23</v>
      </c>
      <c r="B31" s="45"/>
      <c r="J31" s="35"/>
    </row>
    <row r="32" spans="1:10" x14ac:dyDescent="0.25">
      <c r="A32" s="35"/>
      <c r="B32" s="10" t="s">
        <v>24</v>
      </c>
      <c r="C32" s="39">
        <v>233</v>
      </c>
      <c r="D32" s="8">
        <v>211</v>
      </c>
      <c r="E32" s="8">
        <v>295</v>
      </c>
      <c r="F32" s="8">
        <v>39</v>
      </c>
      <c r="G32" s="8">
        <v>43</v>
      </c>
      <c r="I32" s="48">
        <f>SUM(C32:H32)</f>
        <v>821</v>
      </c>
      <c r="J32" s="35"/>
    </row>
    <row r="33" spans="1:10" ht="15.75" x14ac:dyDescent="0.25">
      <c r="A33" s="43" t="s">
        <v>25</v>
      </c>
      <c r="B33" s="35"/>
      <c r="J33" s="35"/>
    </row>
    <row r="34" spans="1:10" x14ac:dyDescent="0.25">
      <c r="A34" s="35"/>
      <c r="B34" s="10" t="s">
        <v>26</v>
      </c>
      <c r="C34" s="39">
        <v>218</v>
      </c>
      <c r="D34" s="8">
        <v>192</v>
      </c>
      <c r="E34" s="8">
        <v>284</v>
      </c>
      <c r="F34" s="8">
        <v>35</v>
      </c>
      <c r="G34" s="8">
        <v>39</v>
      </c>
      <c r="I34" s="48">
        <f>SUM(C34:H34)</f>
        <v>768</v>
      </c>
      <c r="J34" s="35"/>
    </row>
    <row r="35" spans="1:10" ht="15.75" x14ac:dyDescent="0.25">
      <c r="A35" s="43" t="s">
        <v>27</v>
      </c>
      <c r="B35" s="35"/>
      <c r="J35" s="35"/>
    </row>
    <row r="36" spans="1:10" x14ac:dyDescent="0.25">
      <c r="A36" s="35"/>
      <c r="B36" s="10" t="s">
        <v>28</v>
      </c>
      <c r="C36" s="39">
        <v>219</v>
      </c>
      <c r="D36" s="8">
        <v>207</v>
      </c>
      <c r="E36" s="8">
        <v>287</v>
      </c>
      <c r="F36" s="8">
        <v>37</v>
      </c>
      <c r="G36" s="8">
        <v>42</v>
      </c>
      <c r="I36" s="48">
        <f>SUM(C36:H36)</f>
        <v>792</v>
      </c>
      <c r="J36" s="35"/>
    </row>
    <row r="37" spans="1:10" x14ac:dyDescent="0.25">
      <c r="A37" s="35"/>
      <c r="B37" s="46"/>
    </row>
    <row r="38" spans="1:10" x14ac:dyDescent="0.25">
      <c r="A38" s="35"/>
      <c r="B38" s="46"/>
    </row>
    <row r="39" spans="1:10" x14ac:dyDescent="0.25">
      <c r="A39" s="35"/>
      <c r="B39" s="46"/>
    </row>
    <row r="40" spans="1:10" ht="15.75" x14ac:dyDescent="0.25">
      <c r="A40" s="43" t="s">
        <v>29</v>
      </c>
      <c r="B40" s="45"/>
    </row>
    <row r="41" spans="1:10" x14ac:dyDescent="0.25">
      <c r="A41" s="35"/>
      <c r="B41" s="10" t="s">
        <v>31</v>
      </c>
      <c r="C41" s="1">
        <v>238</v>
      </c>
      <c r="D41" s="5">
        <v>215</v>
      </c>
      <c r="E41" s="5"/>
      <c r="F41" s="5"/>
      <c r="G41" s="5"/>
      <c r="H41" s="28"/>
      <c r="I41" s="49">
        <f>SUM(C41:H41)</f>
        <v>453</v>
      </c>
    </row>
    <row r="42" spans="1:10" x14ac:dyDescent="0.25">
      <c r="A42" s="35"/>
      <c r="B42" s="8" t="s">
        <v>79</v>
      </c>
      <c r="C42" s="39"/>
      <c r="D42" s="8">
        <v>1</v>
      </c>
      <c r="E42" s="8"/>
      <c r="F42" s="8"/>
      <c r="G42" s="8"/>
      <c r="H42" s="8"/>
      <c r="I42" s="8">
        <f>SUM(C42:H42)</f>
        <v>1</v>
      </c>
    </row>
    <row r="43" spans="1:10" ht="15.75" x14ac:dyDescent="0.25">
      <c r="A43" s="43" t="s">
        <v>32</v>
      </c>
      <c r="B43" s="45"/>
    </row>
    <row r="44" spans="1:10" ht="15.75" x14ac:dyDescent="0.25">
      <c r="A44" s="43"/>
      <c r="B44" s="10" t="s">
        <v>41</v>
      </c>
      <c r="C44" s="39">
        <v>4</v>
      </c>
      <c r="D44" s="8">
        <v>5</v>
      </c>
      <c r="E44" s="8"/>
      <c r="F44" s="8"/>
      <c r="G44" s="8"/>
      <c r="H44" s="8"/>
      <c r="I44" s="48">
        <f>SUM(C44:H44)</f>
        <v>9</v>
      </c>
    </row>
    <row r="45" spans="1:10" ht="15.75" x14ac:dyDescent="0.25">
      <c r="A45" s="43"/>
      <c r="B45" s="8" t="s">
        <v>80</v>
      </c>
      <c r="C45" s="39">
        <v>1</v>
      </c>
      <c r="D45" s="8"/>
      <c r="E45" s="8"/>
      <c r="F45" s="8"/>
      <c r="G45" s="8"/>
      <c r="H45" s="8"/>
      <c r="I45" s="5">
        <f>SUM(C45:H45)</f>
        <v>1</v>
      </c>
    </row>
    <row r="46" spans="1:10" ht="15.75" x14ac:dyDescent="0.25">
      <c r="A46" s="43"/>
      <c r="B46" s="8" t="s">
        <v>81</v>
      </c>
      <c r="C46" s="39"/>
      <c r="D46" s="8">
        <v>1</v>
      </c>
      <c r="E46" s="8"/>
      <c r="F46" s="8"/>
      <c r="G46" s="8"/>
      <c r="H46" s="8"/>
      <c r="I46" s="5">
        <f>SUM(C46:H46)</f>
        <v>1</v>
      </c>
    </row>
    <row r="47" spans="1:10" ht="15.75" x14ac:dyDescent="0.25">
      <c r="A47" s="43"/>
      <c r="B47" s="8" t="s">
        <v>82</v>
      </c>
      <c r="C47" s="39">
        <v>1</v>
      </c>
      <c r="D47" s="8"/>
      <c r="E47" s="8"/>
      <c r="F47" s="8"/>
      <c r="G47" s="8"/>
      <c r="H47" s="8"/>
      <c r="I47" s="5">
        <f>SUM(C47:H47)</f>
        <v>1</v>
      </c>
    </row>
    <row r="48" spans="1:10" ht="15.75" x14ac:dyDescent="0.25">
      <c r="A48" s="43"/>
      <c r="B48" s="8" t="s">
        <v>83</v>
      </c>
      <c r="C48" s="39"/>
      <c r="D48" s="8">
        <v>1</v>
      </c>
      <c r="E48" s="8"/>
      <c r="F48" s="8"/>
      <c r="G48" s="8"/>
      <c r="H48" s="8"/>
      <c r="I48" s="5">
        <f>SUM(C48:H48)</f>
        <v>1</v>
      </c>
    </row>
    <row r="49" spans="1:9" ht="15.75" x14ac:dyDescent="0.25">
      <c r="A49" s="43"/>
      <c r="B49" s="8" t="s">
        <v>84</v>
      </c>
      <c r="C49" s="39"/>
      <c r="D49" s="8">
        <v>2</v>
      </c>
      <c r="E49" s="8"/>
      <c r="F49" s="8"/>
      <c r="G49" s="8"/>
      <c r="H49" s="8"/>
      <c r="I49" s="5">
        <f>SUM(C49:H49)</f>
        <v>2</v>
      </c>
    </row>
    <row r="50" spans="1:9" ht="15.75" x14ac:dyDescent="0.25">
      <c r="A50" s="43"/>
      <c r="B50" s="8" t="s">
        <v>85</v>
      </c>
      <c r="C50" s="39">
        <v>1</v>
      </c>
      <c r="D50" s="8"/>
      <c r="E50" s="8"/>
      <c r="F50" s="8"/>
      <c r="G50" s="8"/>
      <c r="H50" s="8"/>
      <c r="I50" s="5">
        <f>SUM(C50:H50)</f>
        <v>1</v>
      </c>
    </row>
    <row r="51" spans="1:9" ht="15.75" x14ac:dyDescent="0.25">
      <c r="A51" s="43"/>
      <c r="B51" s="8" t="s">
        <v>86</v>
      </c>
      <c r="C51" s="39"/>
      <c r="D51" s="8">
        <v>1</v>
      </c>
      <c r="E51" s="8"/>
      <c r="F51" s="8"/>
      <c r="G51" s="8"/>
      <c r="H51" s="8"/>
      <c r="I51" s="5">
        <f>SUM(C51:H51)</f>
        <v>1</v>
      </c>
    </row>
    <row r="52" spans="1:9" ht="15.75" x14ac:dyDescent="0.25">
      <c r="A52" s="43"/>
      <c r="B52" s="8" t="s">
        <v>87</v>
      </c>
      <c r="C52" s="39">
        <v>1</v>
      </c>
      <c r="D52" s="8"/>
      <c r="E52" s="8"/>
      <c r="F52" s="8"/>
      <c r="G52" s="8"/>
      <c r="H52" s="8"/>
      <c r="I52" s="5">
        <f>SUM(C52:H52)</f>
        <v>1</v>
      </c>
    </row>
    <row r="53" spans="1:9" ht="15.75" x14ac:dyDescent="0.25">
      <c r="A53" s="43"/>
      <c r="B53" s="8" t="s">
        <v>88</v>
      </c>
      <c r="C53" s="39"/>
      <c r="D53" s="8">
        <v>1</v>
      </c>
      <c r="E53" s="8"/>
      <c r="F53" s="8"/>
      <c r="G53" s="8"/>
      <c r="H53" s="8"/>
      <c r="I53" s="5">
        <f>SUM(C53:H53)</f>
        <v>1</v>
      </c>
    </row>
    <row r="54" spans="1:9" ht="15.75" x14ac:dyDescent="0.25">
      <c r="A54" s="43"/>
      <c r="B54" s="8" t="s">
        <v>89</v>
      </c>
      <c r="C54" s="39">
        <v>1</v>
      </c>
      <c r="D54" s="8"/>
      <c r="E54" s="8"/>
      <c r="F54" s="8"/>
      <c r="G54" s="8"/>
      <c r="H54" s="8"/>
      <c r="I54" s="5">
        <f>SUM(C54:H54)</f>
        <v>1</v>
      </c>
    </row>
    <row r="55" spans="1:9" ht="15.75" x14ac:dyDescent="0.25">
      <c r="A55" s="43"/>
      <c r="B55" s="8" t="s">
        <v>90</v>
      </c>
      <c r="C55" s="39"/>
      <c r="D55" s="8">
        <v>1</v>
      </c>
      <c r="E55" s="8"/>
      <c r="F55" s="8"/>
      <c r="G55" s="8"/>
      <c r="H55" s="8"/>
      <c r="I55" s="5">
        <f>SUM(C55:H55)</f>
        <v>1</v>
      </c>
    </row>
    <row r="56" spans="1:9" ht="15.75" x14ac:dyDescent="0.25">
      <c r="A56" s="43"/>
      <c r="B56" s="8" t="s">
        <v>91</v>
      </c>
      <c r="C56" s="39"/>
      <c r="D56" s="8">
        <v>3</v>
      </c>
      <c r="E56" s="8"/>
      <c r="F56" s="8"/>
      <c r="G56" s="8"/>
      <c r="H56" s="8"/>
      <c r="I56" s="5">
        <f>SUM(C56:H56)</f>
        <v>3</v>
      </c>
    </row>
    <row r="57" spans="1:9" ht="15.75" x14ac:dyDescent="0.25">
      <c r="A57" s="43"/>
      <c r="B57" s="8" t="s">
        <v>92</v>
      </c>
      <c r="C57" s="39"/>
      <c r="D57" s="8">
        <v>1</v>
      </c>
      <c r="E57" s="8"/>
      <c r="F57" s="8"/>
      <c r="G57" s="8"/>
      <c r="H57" s="8"/>
      <c r="I57" s="5">
        <f>SUM(C57:H57)</f>
        <v>1</v>
      </c>
    </row>
    <row r="58" spans="1:9" ht="15.75" x14ac:dyDescent="0.25">
      <c r="A58" s="43"/>
      <c r="B58" s="8" t="s">
        <v>99</v>
      </c>
      <c r="C58" s="39"/>
      <c r="D58" s="8"/>
      <c r="E58" s="8"/>
      <c r="F58" s="8"/>
      <c r="G58" s="8"/>
      <c r="H58" s="8"/>
      <c r="I58" s="5"/>
    </row>
    <row r="59" spans="1:9" ht="15.75" x14ac:dyDescent="0.25">
      <c r="A59" s="43"/>
      <c r="B59" s="8" t="s">
        <v>100</v>
      </c>
      <c r="C59" s="39"/>
      <c r="D59" s="8"/>
      <c r="E59" s="8"/>
      <c r="F59" s="8"/>
      <c r="G59" s="8"/>
      <c r="H59" s="8"/>
      <c r="I59" s="5"/>
    </row>
    <row r="60" spans="1:9" ht="15.75" x14ac:dyDescent="0.25">
      <c r="A60" s="43"/>
      <c r="B60" s="8" t="s">
        <v>101</v>
      </c>
      <c r="C60" s="39"/>
      <c r="D60" s="8"/>
      <c r="E60" s="8"/>
      <c r="F60" s="8"/>
      <c r="G60" s="8"/>
      <c r="H60" s="8"/>
      <c r="I60" s="5"/>
    </row>
    <row r="61" spans="1:9" ht="15.75" x14ac:dyDescent="0.25">
      <c r="A61" s="43"/>
      <c r="B61" s="8" t="s">
        <v>102</v>
      </c>
      <c r="C61" s="39"/>
      <c r="D61" s="8"/>
      <c r="E61" s="8"/>
      <c r="F61" s="8"/>
      <c r="G61" s="8"/>
      <c r="H61" s="8"/>
      <c r="I61" s="5"/>
    </row>
    <row r="62" spans="1:9" x14ac:dyDescent="0.25">
      <c r="A62" s="35"/>
      <c r="B62" s="8" t="s">
        <v>103</v>
      </c>
      <c r="C62" s="39"/>
      <c r="D62" s="8"/>
      <c r="E62" s="8"/>
      <c r="F62" s="8"/>
      <c r="G62" s="8"/>
      <c r="H62" s="8"/>
      <c r="I62" s="8">
        <f>SUM(C62:H62)</f>
        <v>0</v>
      </c>
    </row>
    <row r="63" spans="1:9" x14ac:dyDescent="0.25">
      <c r="A63" s="35"/>
      <c r="B63" s="8" t="s">
        <v>104</v>
      </c>
      <c r="C63" s="39"/>
      <c r="D63" s="8">
        <v>1</v>
      </c>
      <c r="E63" s="8"/>
      <c r="F63" s="8"/>
      <c r="G63" s="8"/>
      <c r="H63" s="8"/>
      <c r="I63" s="8"/>
    </row>
    <row r="64" spans="1:9" ht="15.75" x14ac:dyDescent="0.25">
      <c r="A64" s="43" t="s">
        <v>33</v>
      </c>
      <c r="B64" s="45"/>
      <c r="C64" s="2"/>
      <c r="D64" s="2"/>
      <c r="E64" s="2"/>
      <c r="F64" s="2"/>
      <c r="G64" s="2"/>
    </row>
    <row r="65" spans="1:9" x14ac:dyDescent="0.25">
      <c r="A65" s="35"/>
      <c r="B65" s="10" t="s">
        <v>69</v>
      </c>
      <c r="C65" s="47"/>
      <c r="D65" s="7"/>
      <c r="E65" s="7">
        <v>313</v>
      </c>
      <c r="F65" s="7"/>
      <c r="G65" s="34"/>
      <c r="H65" s="8"/>
      <c r="I65" s="52">
        <f>SUM(C65:H65)</f>
        <v>313</v>
      </c>
    </row>
    <row r="66" spans="1:9" ht="15.75" x14ac:dyDescent="0.25">
      <c r="A66" s="43" t="s">
        <v>34</v>
      </c>
      <c r="B66" s="45"/>
      <c r="H66" s="8"/>
    </row>
    <row r="67" spans="1:9" x14ac:dyDescent="0.25">
      <c r="A67" s="35"/>
      <c r="B67" s="10" t="s">
        <v>68</v>
      </c>
      <c r="C67" s="39"/>
      <c r="D67" s="8"/>
      <c r="E67" s="8">
        <v>298</v>
      </c>
      <c r="F67" s="8"/>
      <c r="G67" s="9"/>
      <c r="H67" s="8"/>
      <c r="I67" s="52">
        <f>SUM(C67:H67)</f>
        <v>298</v>
      </c>
    </row>
    <row r="68" spans="1:9" ht="15.75" x14ac:dyDescent="0.25">
      <c r="A68" s="43" t="s">
        <v>35</v>
      </c>
      <c r="B68" s="45"/>
      <c r="C68" s="4"/>
      <c r="D68" s="4"/>
      <c r="E68" s="4"/>
      <c r="F68" s="4"/>
      <c r="G68" s="4"/>
      <c r="H68" s="8"/>
    </row>
    <row r="69" spans="1:9" x14ac:dyDescent="0.25">
      <c r="A69" s="35"/>
      <c r="B69" s="8" t="s">
        <v>72</v>
      </c>
      <c r="C69" s="47"/>
      <c r="D69" s="7"/>
      <c r="E69" s="7"/>
      <c r="F69" s="7">
        <v>1</v>
      </c>
      <c r="G69" s="34"/>
      <c r="H69" s="8"/>
      <c r="I69" s="39">
        <f>SUM(C69:H69)</f>
        <v>1</v>
      </c>
    </row>
    <row r="70" spans="1:9" x14ac:dyDescent="0.25">
      <c r="A70" s="35"/>
      <c r="B70" s="10" t="s">
        <v>73</v>
      </c>
      <c r="C70" s="39"/>
      <c r="D70" s="8"/>
      <c r="E70" s="8"/>
      <c r="F70" s="8">
        <v>2</v>
      </c>
      <c r="G70" s="9"/>
      <c r="H70" s="8"/>
      <c r="I70" s="53">
        <f>SUM(C70:H70)</f>
        <v>2</v>
      </c>
    </row>
    <row r="71" spans="1:9" ht="15.75" x14ac:dyDescent="0.25">
      <c r="A71" s="43" t="s">
        <v>36</v>
      </c>
      <c r="B71" s="45"/>
      <c r="H71" s="8"/>
    </row>
    <row r="72" spans="1:9" x14ac:dyDescent="0.25">
      <c r="A72" s="35"/>
      <c r="B72" s="8" t="s">
        <v>72</v>
      </c>
      <c r="C72" s="39"/>
      <c r="D72" s="8"/>
      <c r="E72" s="8"/>
      <c r="F72" s="8">
        <v>1</v>
      </c>
      <c r="G72" s="9"/>
      <c r="H72" s="8"/>
      <c r="I72" s="39">
        <f>SUM(C72:H72)</f>
        <v>1</v>
      </c>
    </row>
    <row r="73" spans="1:9" x14ac:dyDescent="0.25">
      <c r="A73" s="35"/>
      <c r="B73" s="8" t="s">
        <v>74</v>
      </c>
      <c r="C73" s="39"/>
      <c r="D73" s="8"/>
      <c r="E73" s="8"/>
      <c r="F73" s="8">
        <v>2</v>
      </c>
      <c r="G73" s="9"/>
      <c r="H73" s="8"/>
      <c r="I73" s="39">
        <f>SUM(C73:H73)</f>
        <v>2</v>
      </c>
    </row>
    <row r="74" spans="1:9" ht="15.75" x14ac:dyDescent="0.25">
      <c r="A74" s="43" t="s">
        <v>37</v>
      </c>
      <c r="B74" s="45"/>
      <c r="H74" s="8"/>
    </row>
    <row r="75" spans="1:9" x14ac:dyDescent="0.25">
      <c r="A75" s="35"/>
      <c r="B75" s="10" t="s">
        <v>42</v>
      </c>
      <c r="C75" s="39"/>
      <c r="D75" s="8"/>
      <c r="E75" s="8"/>
      <c r="F75" s="8"/>
      <c r="G75" s="9">
        <v>12</v>
      </c>
      <c r="H75" s="8"/>
      <c r="I75" s="52">
        <f>SUM(C75:H75)</f>
        <v>12</v>
      </c>
    </row>
    <row r="76" spans="1:9" x14ac:dyDescent="0.25">
      <c r="A76" s="35"/>
      <c r="B76" s="8" t="s">
        <v>43</v>
      </c>
      <c r="C76" s="1"/>
      <c r="D76" s="5"/>
      <c r="E76" s="5"/>
      <c r="F76" s="5"/>
      <c r="G76" s="22">
        <v>1</v>
      </c>
      <c r="H76" s="8"/>
      <c r="I76" s="1">
        <f>SUM(C76:H76)</f>
        <v>1</v>
      </c>
    </row>
    <row r="77" spans="1:9" x14ac:dyDescent="0.25">
      <c r="A77" s="35"/>
      <c r="B77" s="38" t="s">
        <v>105</v>
      </c>
      <c r="C77" s="39"/>
      <c r="D77" s="8"/>
      <c r="E77" s="8"/>
      <c r="F77" s="8"/>
      <c r="G77" s="9">
        <v>1</v>
      </c>
      <c r="H77" s="8"/>
      <c r="I77" s="39"/>
    </row>
    <row r="78" spans="1:9" x14ac:dyDescent="0.25">
      <c r="A78" s="35"/>
      <c r="B78" s="37"/>
      <c r="C78" s="35"/>
      <c r="D78" s="35"/>
      <c r="E78" s="35"/>
      <c r="F78" s="35"/>
      <c r="G78" s="35"/>
      <c r="H78" s="35"/>
      <c r="I78" s="35"/>
    </row>
    <row r="79" spans="1:9" x14ac:dyDescent="0.25">
      <c r="A79" s="35"/>
      <c r="B79" s="37"/>
      <c r="C79" s="35"/>
      <c r="D79" s="35"/>
      <c r="E79" s="35"/>
      <c r="F79" s="35"/>
      <c r="G79" s="35"/>
      <c r="H79" s="35"/>
      <c r="I79" s="35"/>
    </row>
    <row r="80" spans="1:9" x14ac:dyDescent="0.25">
      <c r="A80" s="35"/>
      <c r="B80" s="37"/>
      <c r="C80" s="35"/>
      <c r="D80" s="35"/>
      <c r="E80" s="35"/>
      <c r="F80" s="35"/>
      <c r="G80" s="35"/>
      <c r="H80" s="35"/>
      <c r="I80" s="35"/>
    </row>
    <row r="81" spans="1:9" x14ac:dyDescent="0.25">
      <c r="A81" s="35"/>
      <c r="B81" s="37"/>
      <c r="C81" s="35"/>
      <c r="D81" s="35"/>
      <c r="E81" s="35"/>
      <c r="F81" s="35"/>
      <c r="G81" s="35"/>
      <c r="H81" s="35"/>
      <c r="I81" s="35"/>
    </row>
    <row r="82" spans="1:9" x14ac:dyDescent="0.25">
      <c r="A82" s="35"/>
      <c r="B82" s="37"/>
      <c r="C82" s="35"/>
      <c r="D82" s="35"/>
      <c r="E82" s="35"/>
      <c r="F82" s="35"/>
      <c r="G82" s="35"/>
      <c r="H82" s="35"/>
      <c r="I82" s="35"/>
    </row>
    <row r="83" spans="1:9" ht="15.75" x14ac:dyDescent="0.25">
      <c r="A83" s="43" t="s">
        <v>38</v>
      </c>
      <c r="B83" s="45"/>
    </row>
    <row r="84" spans="1:9" ht="15.75" x14ac:dyDescent="0.25">
      <c r="A84" s="43"/>
      <c r="B84" s="8" t="s">
        <v>44</v>
      </c>
      <c r="C84" s="39"/>
      <c r="D84" s="8"/>
      <c r="E84" s="8"/>
      <c r="F84" s="8"/>
      <c r="G84" s="8">
        <v>4</v>
      </c>
      <c r="H84" s="8"/>
      <c r="I84" s="8">
        <f>SUM(C84:H84)</f>
        <v>4</v>
      </c>
    </row>
    <row r="85" spans="1:9" ht="15.75" x14ac:dyDescent="0.25">
      <c r="A85" s="43"/>
      <c r="B85" s="8" t="s">
        <v>106</v>
      </c>
      <c r="C85" s="39"/>
      <c r="D85" s="8"/>
      <c r="E85" s="8"/>
      <c r="F85" s="8"/>
      <c r="G85" s="8">
        <v>1</v>
      </c>
      <c r="H85" s="8"/>
      <c r="I85" s="8"/>
    </row>
    <row r="86" spans="1:9" ht="15.75" x14ac:dyDescent="0.25">
      <c r="A86" s="43"/>
      <c r="B86" s="8" t="s">
        <v>77</v>
      </c>
      <c r="C86" s="39"/>
      <c r="D86" s="8"/>
      <c r="E86" s="8"/>
      <c r="F86" s="8"/>
      <c r="G86" s="8">
        <v>3</v>
      </c>
      <c r="H86" s="8"/>
      <c r="I86" s="8">
        <f>SUM(C86:H86)</f>
        <v>3</v>
      </c>
    </row>
    <row r="87" spans="1:9" ht="15.75" x14ac:dyDescent="0.25">
      <c r="A87" s="43"/>
      <c r="B87" s="8" t="s">
        <v>78</v>
      </c>
      <c r="C87" s="39"/>
      <c r="D87" s="8"/>
      <c r="E87" s="8"/>
      <c r="F87" s="8"/>
      <c r="G87" s="8">
        <v>1</v>
      </c>
      <c r="H87" s="8"/>
      <c r="I87" s="8">
        <f>SUM(C87:H87)</f>
        <v>1</v>
      </c>
    </row>
    <row r="88" spans="1:9" ht="15.75" x14ac:dyDescent="0.25">
      <c r="A88" s="43"/>
      <c r="B88" s="8" t="s">
        <v>42</v>
      </c>
      <c r="C88" s="39"/>
      <c r="D88" s="8"/>
      <c r="E88" s="8"/>
      <c r="F88" s="8"/>
      <c r="G88" s="8">
        <v>2</v>
      </c>
      <c r="H88" s="8"/>
      <c r="I88" s="8">
        <f>SUM(C88:H88)</f>
        <v>2</v>
      </c>
    </row>
    <row r="89" spans="1:9" ht="15.75" x14ac:dyDescent="0.25">
      <c r="A89" s="43"/>
      <c r="B89" s="8" t="s">
        <v>76</v>
      </c>
      <c r="C89" s="39"/>
      <c r="D89" s="8"/>
      <c r="E89" s="8"/>
      <c r="F89" s="8"/>
      <c r="G89" s="8">
        <v>1</v>
      </c>
      <c r="H89" s="8"/>
      <c r="I89" s="8">
        <f>SUM(C89:H89)</f>
        <v>1</v>
      </c>
    </row>
    <row r="90" spans="1:9" x14ac:dyDescent="0.25">
      <c r="A90" s="35"/>
      <c r="B90" s="8" t="s">
        <v>75</v>
      </c>
      <c r="C90" s="39"/>
      <c r="D90" s="8"/>
      <c r="E90" s="8"/>
      <c r="F90" s="8"/>
      <c r="G90" s="8">
        <v>1</v>
      </c>
      <c r="H90" s="8"/>
      <c r="I90" s="8">
        <f>SUM(C90:H90)</f>
        <v>1</v>
      </c>
    </row>
    <row r="91" spans="1:9" ht="15.75" x14ac:dyDescent="0.25">
      <c r="A91" s="43" t="s">
        <v>56</v>
      </c>
      <c r="B91" s="35"/>
    </row>
    <row r="92" spans="1:9" x14ac:dyDescent="0.25">
      <c r="A92" s="35"/>
      <c r="B92" s="8" t="s">
        <v>57</v>
      </c>
      <c r="C92" s="1">
        <v>85</v>
      </c>
      <c r="D92" s="5">
        <v>156</v>
      </c>
      <c r="E92" s="5">
        <v>171</v>
      </c>
      <c r="F92" s="22">
        <v>27</v>
      </c>
      <c r="G92" s="5">
        <v>22</v>
      </c>
      <c r="H92" s="28"/>
      <c r="I92" s="49">
        <f>SUM(C92:H92)</f>
        <v>461</v>
      </c>
    </row>
    <row r="93" spans="1:9" x14ac:dyDescent="0.25">
      <c r="A93" s="35"/>
      <c r="B93" s="8" t="s">
        <v>58</v>
      </c>
      <c r="C93" s="39">
        <v>40</v>
      </c>
      <c r="D93" s="8">
        <v>66</v>
      </c>
      <c r="E93" s="8">
        <v>59</v>
      </c>
      <c r="F93" s="8">
        <v>4</v>
      </c>
      <c r="G93" s="8">
        <v>10</v>
      </c>
      <c r="H93" s="8"/>
      <c r="I93" s="8">
        <f>SUM(C93:H93)</f>
        <v>179</v>
      </c>
    </row>
    <row r="94" spans="1:9" ht="15.75" x14ac:dyDescent="0.25">
      <c r="A94" s="43" t="s">
        <v>59</v>
      </c>
      <c r="B94" s="35"/>
    </row>
    <row r="95" spans="1:9" x14ac:dyDescent="0.25">
      <c r="A95" s="35"/>
      <c r="B95" s="8" t="s">
        <v>57</v>
      </c>
      <c r="C95" s="39">
        <v>82</v>
      </c>
      <c r="D95" s="8">
        <v>151</v>
      </c>
      <c r="E95" s="8">
        <v>177</v>
      </c>
      <c r="F95" s="8">
        <v>26</v>
      </c>
      <c r="G95" s="8">
        <v>22</v>
      </c>
      <c r="H95" s="8"/>
      <c r="I95" s="48">
        <f>SUM(C95:H95)</f>
        <v>458</v>
      </c>
    </row>
    <row r="96" spans="1:9" x14ac:dyDescent="0.25">
      <c r="A96" s="35"/>
      <c r="B96" s="8" t="s">
        <v>58</v>
      </c>
      <c r="C96" s="39">
        <v>39</v>
      </c>
      <c r="D96" s="8">
        <v>66</v>
      </c>
      <c r="E96" s="8">
        <v>50</v>
      </c>
      <c r="F96" s="8">
        <v>6</v>
      </c>
      <c r="G96" s="8">
        <v>10</v>
      </c>
      <c r="H96" s="8"/>
      <c r="I96" s="8">
        <f>SUM(C96:H96)</f>
        <v>171</v>
      </c>
    </row>
    <row r="97" spans="1:10" ht="15.75" x14ac:dyDescent="0.25">
      <c r="A97" s="43" t="s">
        <v>60</v>
      </c>
      <c r="B97" s="35"/>
    </row>
    <row r="98" spans="1:10" x14ac:dyDescent="0.25">
      <c r="A98" s="35"/>
      <c r="B98" s="8" t="s">
        <v>61</v>
      </c>
      <c r="C98" s="1">
        <v>79</v>
      </c>
      <c r="D98" s="5">
        <v>146</v>
      </c>
      <c r="E98" s="5">
        <v>172</v>
      </c>
      <c r="F98" s="22">
        <v>23</v>
      </c>
      <c r="G98" s="5">
        <v>18</v>
      </c>
      <c r="H98" s="28"/>
      <c r="I98" s="49">
        <f>SUM(C98:H98)</f>
        <v>438</v>
      </c>
    </row>
    <row r="99" spans="1:10" x14ac:dyDescent="0.25">
      <c r="A99" s="35"/>
      <c r="B99" s="8" t="s">
        <v>58</v>
      </c>
      <c r="C99" s="39">
        <v>44</v>
      </c>
      <c r="D99" s="8">
        <v>70</v>
      </c>
      <c r="E99" s="8">
        <v>55</v>
      </c>
      <c r="F99" s="8">
        <v>9</v>
      </c>
      <c r="G99" s="8">
        <v>13</v>
      </c>
      <c r="H99" s="8"/>
      <c r="I99" s="8">
        <f>SUM(C99:H99)</f>
        <v>191</v>
      </c>
    </row>
    <row r="100" spans="1:10" ht="15.75" x14ac:dyDescent="0.25">
      <c r="A100" s="43" t="s">
        <v>62</v>
      </c>
      <c r="B100" s="35"/>
    </row>
    <row r="101" spans="1:10" x14ac:dyDescent="0.25">
      <c r="A101" s="35"/>
      <c r="B101" s="8" t="s">
        <v>57</v>
      </c>
      <c r="C101" s="39">
        <v>79</v>
      </c>
      <c r="D101" s="8">
        <v>142</v>
      </c>
      <c r="E101" s="8">
        <v>169</v>
      </c>
      <c r="F101" s="8">
        <v>23</v>
      </c>
      <c r="G101" s="8">
        <v>22</v>
      </c>
      <c r="H101" s="8"/>
      <c r="I101" s="48">
        <f>SUM(C101:H101)</f>
        <v>435</v>
      </c>
      <c r="J101" s="37"/>
    </row>
    <row r="102" spans="1:10" x14ac:dyDescent="0.25">
      <c r="A102" s="35"/>
      <c r="B102" s="8" t="s">
        <v>58</v>
      </c>
      <c r="C102" s="39">
        <v>43</v>
      </c>
      <c r="D102" s="8">
        <v>75</v>
      </c>
      <c r="E102" s="8">
        <v>56</v>
      </c>
      <c r="F102" s="8">
        <v>9</v>
      </c>
      <c r="G102" s="8">
        <v>10</v>
      </c>
      <c r="H102" s="8"/>
      <c r="I102" s="8">
        <f>SUM(C102:H102)</f>
        <v>193</v>
      </c>
    </row>
    <row r="103" spans="1:10" ht="15.75" x14ac:dyDescent="0.25">
      <c r="A103" s="43" t="s">
        <v>63</v>
      </c>
      <c r="B103" s="35"/>
    </row>
    <row r="104" spans="1:10" x14ac:dyDescent="0.25">
      <c r="A104" s="35"/>
      <c r="B104" s="8" t="s">
        <v>57</v>
      </c>
      <c r="C104" s="39">
        <v>83</v>
      </c>
      <c r="D104" s="8">
        <v>141</v>
      </c>
      <c r="E104" s="8">
        <v>166</v>
      </c>
      <c r="F104" s="8">
        <v>22</v>
      </c>
      <c r="G104" s="8">
        <v>20</v>
      </c>
      <c r="H104" s="8"/>
      <c r="I104" s="48">
        <f>SUM(C104:H104)</f>
        <v>432</v>
      </c>
    </row>
    <row r="105" spans="1:10" x14ac:dyDescent="0.25">
      <c r="A105" s="35"/>
      <c r="B105" s="8" t="s">
        <v>58</v>
      </c>
      <c r="C105" s="39">
        <v>38</v>
      </c>
      <c r="D105" s="8">
        <v>74</v>
      </c>
      <c r="E105" s="8">
        <v>60</v>
      </c>
      <c r="F105" s="8">
        <v>9</v>
      </c>
      <c r="G105" s="8">
        <v>12</v>
      </c>
      <c r="H105" s="8"/>
      <c r="I105" s="8">
        <f>SUM(C105:H105)</f>
        <v>193</v>
      </c>
    </row>
    <row r="106" spans="1:10" ht="15.75" x14ac:dyDescent="0.25">
      <c r="A106" s="43" t="s">
        <v>64</v>
      </c>
      <c r="B106" s="35"/>
    </row>
    <row r="107" spans="1:10" x14ac:dyDescent="0.25">
      <c r="A107" s="35"/>
      <c r="B107" s="8" t="s">
        <v>61</v>
      </c>
      <c r="C107" s="39">
        <v>85</v>
      </c>
      <c r="D107" s="8">
        <v>157</v>
      </c>
      <c r="E107" s="8">
        <v>175</v>
      </c>
      <c r="F107" s="8">
        <v>23</v>
      </c>
      <c r="G107" s="8">
        <v>23</v>
      </c>
      <c r="H107" s="8"/>
      <c r="I107" s="48">
        <f>SUM(C107:H107)</f>
        <v>463</v>
      </c>
    </row>
    <row r="108" spans="1:10" x14ac:dyDescent="0.25">
      <c r="A108" s="35"/>
      <c r="B108" s="8" t="s">
        <v>58</v>
      </c>
      <c r="C108" s="39">
        <v>37</v>
      </c>
      <c r="D108" s="8">
        <v>59</v>
      </c>
      <c r="E108" s="8">
        <v>49</v>
      </c>
      <c r="F108" s="8">
        <v>9</v>
      </c>
      <c r="G108" s="8">
        <v>9</v>
      </c>
      <c r="H108" s="8"/>
      <c r="I108" s="8">
        <f>SUM(C108:H108)</f>
        <v>163</v>
      </c>
    </row>
    <row r="109" spans="1:10" ht="15.75" x14ac:dyDescent="0.25">
      <c r="A109" s="43" t="s">
        <v>65</v>
      </c>
      <c r="B109" s="35"/>
    </row>
    <row r="110" spans="1:10" x14ac:dyDescent="0.25">
      <c r="A110" s="35"/>
      <c r="B110" s="8" t="s">
        <v>57</v>
      </c>
      <c r="C110" s="39">
        <v>88</v>
      </c>
      <c r="D110" s="8">
        <v>148</v>
      </c>
      <c r="E110" s="8">
        <v>175</v>
      </c>
      <c r="F110" s="8">
        <v>28</v>
      </c>
      <c r="G110" s="8">
        <v>23</v>
      </c>
      <c r="H110" s="8"/>
      <c r="I110" s="48">
        <f>SUM(C110:H110)</f>
        <v>462</v>
      </c>
    </row>
    <row r="111" spans="1:10" x14ac:dyDescent="0.25">
      <c r="A111" s="35"/>
      <c r="B111" s="8" t="s">
        <v>58</v>
      </c>
      <c r="C111" s="39">
        <v>35</v>
      </c>
      <c r="D111" s="8">
        <v>69</v>
      </c>
      <c r="E111" s="8">
        <v>54</v>
      </c>
      <c r="F111" s="8">
        <v>5</v>
      </c>
      <c r="G111" s="8">
        <v>9</v>
      </c>
      <c r="H111" s="8"/>
      <c r="I111" s="8">
        <f>SUM(C111:H111)</f>
        <v>172</v>
      </c>
    </row>
    <row r="113" spans="1:9" x14ac:dyDescent="0.25">
      <c r="I113" t="s">
        <v>70</v>
      </c>
    </row>
    <row r="114" spans="1:9" x14ac:dyDescent="0.25">
      <c r="A114" t="s">
        <v>93</v>
      </c>
    </row>
    <row r="115" spans="1:9" x14ac:dyDescent="0.25">
      <c r="A115" t="s">
        <v>94</v>
      </c>
    </row>
    <row r="116" spans="1:9" x14ac:dyDescent="0.25">
      <c r="A116" t="s">
        <v>95</v>
      </c>
    </row>
    <row r="117" spans="1:9" x14ac:dyDescent="0.25">
      <c r="A117" t="s">
        <v>96</v>
      </c>
    </row>
    <row r="119" spans="1:9" x14ac:dyDescent="0.25">
      <c r="A119" t="s">
        <v>45</v>
      </c>
    </row>
    <row r="121" spans="1:9" x14ac:dyDescent="0.25">
      <c r="A121" t="s">
        <v>47</v>
      </c>
      <c r="E121" t="s">
        <v>47</v>
      </c>
    </row>
    <row r="122" spans="1:9" x14ac:dyDescent="0.25">
      <c r="A122" t="s">
        <v>46</v>
      </c>
      <c r="E122" t="s">
        <v>49</v>
      </c>
    </row>
    <row r="124" spans="1:9" x14ac:dyDescent="0.25">
      <c r="A124" t="s">
        <v>47</v>
      </c>
      <c r="E124" t="s">
        <v>47</v>
      </c>
    </row>
    <row r="125" spans="1:9" x14ac:dyDescent="0.25">
      <c r="A125" t="s">
        <v>48</v>
      </c>
      <c r="E125" t="s">
        <v>50</v>
      </c>
    </row>
  </sheetData>
  <pageMargins left="0.7" right="0.7" top="0.75" bottom="0.75" header="0.3" footer="0.3"/>
  <pageSetup orientation="portrait" r:id="rId1"/>
  <headerFooter>
    <oddHeader>&amp;C&amp;"-,Bold"&amp;14Abstract of Votes Cast at the General Electionin Comanche County, State of KS, on the
5th day of November, 2024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C8EF-A6BA-4083-A221-38799809BBD4}">
  <sheetPr>
    <tabColor theme="6" tint="0.39997558519241921"/>
  </sheetPr>
  <dimension ref="A2:AB126"/>
  <sheetViews>
    <sheetView view="pageLayout" topLeftCell="A2" zoomScaleNormal="100" workbookViewId="0">
      <selection activeCell="N24" sqref="N24"/>
    </sheetView>
  </sheetViews>
  <sheetFormatPr defaultRowHeight="15" x14ac:dyDescent="0.25"/>
  <cols>
    <col min="2" max="2" width="29.28515625" customWidth="1"/>
    <col min="3" max="4" width="5.85546875" customWidth="1"/>
    <col min="5" max="7" width="5.5703125" customWidth="1"/>
    <col min="8" max="8" width="9.140625" hidden="1" customWidth="1"/>
    <col min="9" max="9" width="5.5703125" customWidth="1"/>
    <col min="10" max="10" width="5.85546875" customWidth="1"/>
    <col min="11" max="11" width="6.7109375" customWidth="1"/>
    <col min="12" max="12" width="27.85546875" customWidth="1"/>
    <col min="13" max="13" width="22.5703125" customWidth="1"/>
    <col min="14" max="14" width="5.7109375" customWidth="1"/>
    <col min="15" max="15" width="4.85546875" customWidth="1"/>
    <col min="16" max="16" width="3.5703125" customWidth="1"/>
    <col min="17" max="17" width="5" customWidth="1"/>
    <col min="18" max="18" width="3.7109375" customWidth="1"/>
    <col min="20" max="20" width="5.42578125" customWidth="1"/>
    <col min="22" max="22" width="35.5703125" customWidth="1"/>
    <col min="23" max="23" width="7.28515625" customWidth="1"/>
    <col min="24" max="24" width="7.140625" customWidth="1"/>
    <col min="25" max="25" width="6" customWidth="1"/>
    <col min="26" max="26" width="6.7109375" customWidth="1"/>
    <col min="27" max="27" width="6.140625" customWidth="1"/>
    <col min="28" max="28" width="5.7109375" customWidth="1"/>
  </cols>
  <sheetData>
    <row r="2" spans="1:28" ht="86.25" x14ac:dyDescent="0.25">
      <c r="A2" s="9"/>
      <c r="B2" s="44"/>
      <c r="C2" s="31" t="s">
        <v>98</v>
      </c>
      <c r="D2" s="31" t="s">
        <v>97</v>
      </c>
      <c r="E2" s="31" t="s">
        <v>66</v>
      </c>
      <c r="F2" s="31" t="s">
        <v>5</v>
      </c>
      <c r="G2" s="31" t="s">
        <v>6</v>
      </c>
      <c r="H2" s="32"/>
      <c r="I2" s="31" t="s">
        <v>67</v>
      </c>
      <c r="J2" s="30" t="s">
        <v>8</v>
      </c>
      <c r="L2" s="9"/>
      <c r="M2" s="51" t="s">
        <v>108</v>
      </c>
      <c r="N2" s="31" t="s">
        <v>98</v>
      </c>
      <c r="O2" s="31" t="s">
        <v>97</v>
      </c>
      <c r="P2" s="31" t="s">
        <v>66</v>
      </c>
      <c r="Q2" s="31" t="s">
        <v>5</v>
      </c>
      <c r="R2" s="31" t="s">
        <v>6</v>
      </c>
      <c r="S2" s="30" t="s">
        <v>8</v>
      </c>
      <c r="U2" s="9"/>
      <c r="V2" s="51" t="s">
        <v>107</v>
      </c>
      <c r="W2" s="31" t="s">
        <v>98</v>
      </c>
      <c r="X2" s="31" t="s">
        <v>97</v>
      </c>
      <c r="Y2" s="31" t="s">
        <v>66</v>
      </c>
      <c r="Z2" s="31" t="s">
        <v>5</v>
      </c>
      <c r="AA2" s="31" t="s">
        <v>6</v>
      </c>
    </row>
    <row r="3" spans="1:28" ht="15.75" x14ac:dyDescent="0.25">
      <c r="A3" s="43" t="s">
        <v>51</v>
      </c>
      <c r="B3" s="35"/>
      <c r="C3" s="19"/>
      <c r="D3" s="19"/>
      <c r="E3" s="19"/>
      <c r="F3" s="27"/>
      <c r="G3" s="27"/>
      <c r="H3" s="19"/>
      <c r="I3" s="19"/>
      <c r="J3" s="41"/>
      <c r="K3" s="35"/>
      <c r="L3" s="40" t="s">
        <v>51</v>
      </c>
      <c r="M3" s="8"/>
      <c r="U3" s="40" t="s">
        <v>51</v>
      </c>
      <c r="V3" s="8"/>
    </row>
    <row r="4" spans="1:28" x14ac:dyDescent="0.25">
      <c r="A4" s="35"/>
      <c r="B4" s="8" t="s">
        <v>52</v>
      </c>
      <c r="C4" s="20">
        <v>15</v>
      </c>
      <c r="D4" s="20">
        <v>42</v>
      </c>
      <c r="E4" s="20">
        <v>29</v>
      </c>
      <c r="F4" s="20">
        <v>2</v>
      </c>
      <c r="G4" s="20">
        <v>7</v>
      </c>
      <c r="H4" s="20"/>
      <c r="I4" s="20">
        <v>35</v>
      </c>
      <c r="J4" s="8">
        <f>SUM(C4:I4)</f>
        <v>130</v>
      </c>
      <c r="K4" s="35"/>
      <c r="L4" s="4"/>
      <c r="M4" s="8" t="s">
        <v>52</v>
      </c>
      <c r="N4" s="8">
        <v>24</v>
      </c>
      <c r="O4" s="8"/>
      <c r="P4" s="8">
        <v>10</v>
      </c>
      <c r="Q4" s="8">
        <v>0</v>
      </c>
      <c r="R4" s="8">
        <v>1</v>
      </c>
      <c r="S4" s="8">
        <f>SUM(N4:R4)</f>
        <v>35</v>
      </c>
      <c r="U4" s="4"/>
      <c r="V4" s="8" t="s">
        <v>52</v>
      </c>
      <c r="W4" s="8"/>
      <c r="X4" s="8">
        <v>1</v>
      </c>
      <c r="Y4" s="8">
        <v>2</v>
      </c>
      <c r="Z4" s="8"/>
      <c r="AA4" s="8"/>
      <c r="AB4" s="8">
        <f t="shared" ref="AB4:AB7" si="0">SUM(W4:AA4)</f>
        <v>3</v>
      </c>
    </row>
    <row r="5" spans="1:28" x14ac:dyDescent="0.25">
      <c r="A5" s="35"/>
      <c r="B5" s="8" t="s">
        <v>53</v>
      </c>
      <c r="C5" s="20">
        <v>3</v>
      </c>
      <c r="D5" s="20">
        <v>6</v>
      </c>
      <c r="E5" s="20">
        <v>0</v>
      </c>
      <c r="F5" s="20">
        <v>1</v>
      </c>
      <c r="G5" s="20">
        <v>0</v>
      </c>
      <c r="H5" s="20"/>
      <c r="I5" s="20">
        <v>3</v>
      </c>
      <c r="J5" s="8">
        <f t="shared" ref="J5:J102" si="1">SUM(C5:I5)</f>
        <v>13</v>
      </c>
      <c r="K5" s="35"/>
      <c r="L5" s="4"/>
      <c r="M5" s="8" t="s">
        <v>53</v>
      </c>
      <c r="N5" s="8">
        <v>3</v>
      </c>
      <c r="O5" s="8"/>
      <c r="P5" s="8">
        <v>0</v>
      </c>
      <c r="Q5" s="8">
        <v>0</v>
      </c>
      <c r="R5" s="8">
        <v>0</v>
      </c>
      <c r="S5" s="8">
        <f t="shared" ref="S5:S7" si="2">SUM(N5:R5)</f>
        <v>3</v>
      </c>
      <c r="U5" s="4"/>
      <c r="V5" s="8" t="s">
        <v>53</v>
      </c>
      <c r="W5" s="8"/>
      <c r="X5" s="8">
        <v>2</v>
      </c>
      <c r="Y5" s="8">
        <v>0</v>
      </c>
      <c r="Z5" s="8"/>
      <c r="AA5" s="8"/>
      <c r="AB5" s="8">
        <f t="shared" si="0"/>
        <v>2</v>
      </c>
    </row>
    <row r="6" spans="1:28" x14ac:dyDescent="0.25">
      <c r="A6" s="35"/>
      <c r="B6" s="8" t="s">
        <v>54</v>
      </c>
      <c r="C6" s="20">
        <v>0</v>
      </c>
      <c r="D6" s="20">
        <v>2</v>
      </c>
      <c r="E6" s="20">
        <v>0</v>
      </c>
      <c r="F6" s="20">
        <v>0</v>
      </c>
      <c r="G6" s="20">
        <v>0</v>
      </c>
      <c r="H6" s="20"/>
      <c r="I6" s="20">
        <v>2</v>
      </c>
      <c r="J6" s="8">
        <f t="shared" si="1"/>
        <v>4</v>
      </c>
      <c r="K6" s="35"/>
      <c r="L6" s="4"/>
      <c r="M6" s="8" t="s">
        <v>54</v>
      </c>
      <c r="N6" s="8">
        <v>1</v>
      </c>
      <c r="O6" s="8"/>
      <c r="P6" s="8">
        <v>1</v>
      </c>
      <c r="Q6" s="8">
        <v>0</v>
      </c>
      <c r="R6" s="8">
        <v>0</v>
      </c>
      <c r="S6" s="8">
        <f t="shared" si="2"/>
        <v>2</v>
      </c>
      <c r="U6" s="4"/>
      <c r="V6" s="8" t="s">
        <v>54</v>
      </c>
      <c r="W6" s="8"/>
      <c r="X6" s="8">
        <v>0</v>
      </c>
      <c r="Y6" s="8">
        <v>0</v>
      </c>
      <c r="Z6" s="8"/>
      <c r="AA6" s="8"/>
      <c r="AB6" s="8">
        <f t="shared" si="0"/>
        <v>0</v>
      </c>
    </row>
    <row r="7" spans="1:28" x14ac:dyDescent="0.25">
      <c r="A7" s="35"/>
      <c r="B7" s="10" t="s">
        <v>55</v>
      </c>
      <c r="C7" s="20">
        <v>107</v>
      </c>
      <c r="D7" s="20">
        <v>172</v>
      </c>
      <c r="E7" s="20">
        <v>238</v>
      </c>
      <c r="F7" s="20">
        <v>34</v>
      </c>
      <c r="G7" s="20">
        <v>30</v>
      </c>
      <c r="H7" s="20"/>
      <c r="I7" s="20">
        <v>146</v>
      </c>
      <c r="J7" s="48">
        <f t="shared" si="1"/>
        <v>727</v>
      </c>
      <c r="K7" s="35"/>
      <c r="L7" s="4"/>
      <c r="M7" s="10" t="s">
        <v>55</v>
      </c>
      <c r="N7" s="8">
        <v>95</v>
      </c>
      <c r="O7" s="8"/>
      <c r="P7" s="8">
        <v>42</v>
      </c>
      <c r="Q7" s="8">
        <v>3</v>
      </c>
      <c r="R7" s="8">
        <v>6</v>
      </c>
      <c r="S7" s="8">
        <f t="shared" si="2"/>
        <v>146</v>
      </c>
      <c r="U7" s="4"/>
      <c r="V7" s="10" t="s">
        <v>55</v>
      </c>
      <c r="W7" s="8">
        <v>5</v>
      </c>
      <c r="X7" s="8">
        <v>6</v>
      </c>
      <c r="Y7" s="8">
        <v>13</v>
      </c>
      <c r="Z7" s="8"/>
      <c r="AA7" s="8">
        <v>2</v>
      </c>
      <c r="AB7" s="8">
        <f t="shared" si="0"/>
        <v>26</v>
      </c>
    </row>
    <row r="8" spans="1:28" ht="18.75" x14ac:dyDescent="0.3">
      <c r="A8" s="43" t="s">
        <v>0</v>
      </c>
      <c r="B8" s="17"/>
      <c r="C8" s="17"/>
      <c r="D8" s="17"/>
      <c r="E8" s="18"/>
      <c r="F8" s="2"/>
      <c r="G8" s="2"/>
      <c r="K8" s="35"/>
      <c r="L8" s="42" t="s">
        <v>0</v>
      </c>
      <c r="M8" s="17"/>
      <c r="U8" s="42" t="s">
        <v>0</v>
      </c>
      <c r="V8" s="17"/>
    </row>
    <row r="9" spans="1:28" x14ac:dyDescent="0.25">
      <c r="A9" s="35"/>
      <c r="B9" s="10" t="s">
        <v>1</v>
      </c>
      <c r="C9" s="8">
        <v>112</v>
      </c>
      <c r="D9" s="8">
        <v>188</v>
      </c>
      <c r="E9" s="8">
        <v>243</v>
      </c>
      <c r="F9" s="8">
        <v>35</v>
      </c>
      <c r="G9" s="8">
        <v>31</v>
      </c>
      <c r="I9" s="8">
        <v>148</v>
      </c>
      <c r="J9" s="48">
        <f t="shared" si="1"/>
        <v>757</v>
      </c>
      <c r="K9" s="35"/>
      <c r="L9" s="39"/>
      <c r="M9" s="10" t="s">
        <v>1</v>
      </c>
      <c r="N9" s="8">
        <v>97</v>
      </c>
      <c r="O9" s="8"/>
      <c r="P9" s="8">
        <v>41</v>
      </c>
      <c r="Q9" s="8">
        <v>4</v>
      </c>
      <c r="R9" s="8">
        <v>6</v>
      </c>
      <c r="S9" s="8">
        <f t="shared" ref="S9:S10" si="3">SUM(N9:R9)</f>
        <v>148</v>
      </c>
      <c r="U9" s="39"/>
      <c r="V9" s="10" t="s">
        <v>1</v>
      </c>
      <c r="W9" s="8">
        <v>4</v>
      </c>
      <c r="X9" s="8">
        <v>8</v>
      </c>
      <c r="Y9" s="8">
        <v>12</v>
      </c>
      <c r="Z9" s="8"/>
      <c r="AA9" s="8">
        <v>2</v>
      </c>
      <c r="AB9" s="8">
        <f t="shared" ref="AB9:AB10" si="4">SUM(W9:AA9)</f>
        <v>26</v>
      </c>
    </row>
    <row r="10" spans="1:28" x14ac:dyDescent="0.25">
      <c r="A10" s="35"/>
      <c r="B10" s="8" t="s">
        <v>4</v>
      </c>
      <c r="C10" s="8">
        <v>11</v>
      </c>
      <c r="D10" s="8">
        <v>32</v>
      </c>
      <c r="E10" s="8">
        <v>23</v>
      </c>
      <c r="F10" s="8">
        <v>2</v>
      </c>
      <c r="G10" s="8">
        <v>7</v>
      </c>
      <c r="I10" s="8">
        <v>36</v>
      </c>
      <c r="J10" s="8">
        <f t="shared" si="1"/>
        <v>111</v>
      </c>
      <c r="K10" s="35"/>
      <c r="L10" s="39"/>
      <c r="M10" s="8" t="s">
        <v>4</v>
      </c>
      <c r="N10" s="8">
        <v>25</v>
      </c>
      <c r="O10" s="8"/>
      <c r="P10" s="8">
        <v>10</v>
      </c>
      <c r="Q10" s="8">
        <v>0</v>
      </c>
      <c r="R10" s="8">
        <v>1</v>
      </c>
      <c r="S10" s="8">
        <f t="shared" si="3"/>
        <v>36</v>
      </c>
      <c r="U10" s="39"/>
      <c r="V10" s="8" t="s">
        <v>4</v>
      </c>
      <c r="W10" s="8">
        <v>1</v>
      </c>
      <c r="X10" s="8">
        <v>1</v>
      </c>
      <c r="Y10" s="8">
        <v>2</v>
      </c>
      <c r="Z10" s="8"/>
      <c r="AA10" s="8"/>
      <c r="AB10" s="8">
        <f t="shared" si="4"/>
        <v>4</v>
      </c>
    </row>
    <row r="11" spans="1:28" ht="18.75" x14ac:dyDescent="0.3">
      <c r="A11" s="43" t="s">
        <v>2</v>
      </c>
      <c r="B11" s="14"/>
      <c r="C11" s="4"/>
      <c r="D11" s="4"/>
      <c r="E11" s="4"/>
      <c r="F11" s="4"/>
      <c r="G11" s="4"/>
      <c r="K11" s="35"/>
      <c r="L11" s="42" t="s">
        <v>2</v>
      </c>
      <c r="M11" s="14"/>
      <c r="U11" s="42" t="s">
        <v>2</v>
      </c>
      <c r="V11" s="14"/>
    </row>
    <row r="12" spans="1:28" x14ac:dyDescent="0.25">
      <c r="A12" s="35"/>
      <c r="B12" s="10" t="s">
        <v>3</v>
      </c>
      <c r="C12" s="8">
        <v>94</v>
      </c>
      <c r="D12" s="8">
        <v>170</v>
      </c>
      <c r="E12" s="8">
        <v>223</v>
      </c>
      <c r="F12" s="8">
        <v>33</v>
      </c>
      <c r="G12" s="8">
        <v>31</v>
      </c>
      <c r="I12" s="8">
        <v>140</v>
      </c>
      <c r="J12" s="48">
        <f t="shared" si="1"/>
        <v>691</v>
      </c>
      <c r="K12" s="35"/>
      <c r="L12" s="39"/>
      <c r="M12" s="10" t="s">
        <v>3</v>
      </c>
      <c r="N12" s="8">
        <v>92</v>
      </c>
      <c r="O12" s="8"/>
      <c r="P12" s="8">
        <v>40</v>
      </c>
      <c r="Q12" s="8">
        <v>3</v>
      </c>
      <c r="R12" s="8">
        <v>5</v>
      </c>
      <c r="S12" s="8">
        <f t="shared" ref="S12:S13" si="5">SUM(N12:R12)</f>
        <v>140</v>
      </c>
      <c r="U12" s="39"/>
      <c r="V12" s="10" t="s">
        <v>3</v>
      </c>
      <c r="W12" s="8">
        <v>3</v>
      </c>
      <c r="X12" s="8">
        <v>7</v>
      </c>
      <c r="Y12" s="8">
        <v>10</v>
      </c>
      <c r="Z12" s="8">
        <v>2</v>
      </c>
      <c r="AA12" s="8"/>
      <c r="AB12" s="8">
        <f t="shared" ref="AB12:AB13" si="6">SUM(W12:AA12)</f>
        <v>22</v>
      </c>
    </row>
    <row r="13" spans="1:28" x14ac:dyDescent="0.25">
      <c r="A13" s="35"/>
      <c r="B13" s="8" t="s">
        <v>7</v>
      </c>
      <c r="C13" s="8">
        <v>23</v>
      </c>
      <c r="D13" s="8">
        <v>41</v>
      </c>
      <c r="E13" s="8">
        <v>33</v>
      </c>
      <c r="F13" s="8">
        <v>4</v>
      </c>
      <c r="G13" s="8">
        <v>7</v>
      </c>
      <c r="I13" s="8">
        <v>35</v>
      </c>
      <c r="J13" s="8">
        <f t="shared" si="1"/>
        <v>143</v>
      </c>
      <c r="K13" s="35"/>
      <c r="L13" s="39"/>
      <c r="M13" s="8" t="s">
        <v>7</v>
      </c>
      <c r="N13" s="8">
        <v>25</v>
      </c>
      <c r="O13" s="8"/>
      <c r="P13" s="8">
        <v>9</v>
      </c>
      <c r="Q13" s="8">
        <v>0</v>
      </c>
      <c r="R13" s="8">
        <v>1</v>
      </c>
      <c r="S13" s="8">
        <f t="shared" si="5"/>
        <v>35</v>
      </c>
      <c r="U13" s="39"/>
      <c r="V13" s="8" t="s">
        <v>7</v>
      </c>
      <c r="W13" s="8">
        <v>2</v>
      </c>
      <c r="X13" s="8">
        <v>2</v>
      </c>
      <c r="Y13" s="8">
        <v>3</v>
      </c>
      <c r="Z13" s="8">
        <v>0</v>
      </c>
      <c r="AA13" s="8">
        <v>0</v>
      </c>
      <c r="AB13" s="8">
        <f t="shared" si="6"/>
        <v>7</v>
      </c>
    </row>
    <row r="14" spans="1:28" ht="15.75" x14ac:dyDescent="0.25">
      <c r="A14" s="43" t="s">
        <v>9</v>
      </c>
      <c r="B14" s="45"/>
      <c r="K14" s="35"/>
      <c r="L14" s="43" t="s">
        <v>9</v>
      </c>
      <c r="M14" s="11"/>
      <c r="U14" s="43" t="s">
        <v>9</v>
      </c>
      <c r="V14" s="11"/>
    </row>
    <row r="15" spans="1:28" x14ac:dyDescent="0.25">
      <c r="A15" s="35"/>
      <c r="B15" s="10" t="s">
        <v>10</v>
      </c>
      <c r="C15" s="39">
        <v>93</v>
      </c>
      <c r="D15" s="8">
        <v>153</v>
      </c>
      <c r="E15" s="8">
        <v>233</v>
      </c>
      <c r="F15" s="8">
        <v>33</v>
      </c>
      <c r="G15" s="8">
        <v>28</v>
      </c>
      <c r="I15" s="8">
        <v>150</v>
      </c>
      <c r="J15" s="48">
        <f t="shared" si="1"/>
        <v>690</v>
      </c>
      <c r="K15" s="35"/>
      <c r="L15" s="39"/>
      <c r="M15" s="10" t="s">
        <v>10</v>
      </c>
      <c r="N15" s="8">
        <v>98</v>
      </c>
      <c r="O15" s="8"/>
      <c r="P15" s="8">
        <v>45</v>
      </c>
      <c r="Q15" s="8">
        <v>3</v>
      </c>
      <c r="R15" s="8">
        <v>4</v>
      </c>
      <c r="S15" s="8">
        <f>SUM(N15:R15)</f>
        <v>150</v>
      </c>
      <c r="U15" s="39"/>
      <c r="V15" s="10" t="s">
        <v>10</v>
      </c>
      <c r="W15" s="8">
        <v>5</v>
      </c>
      <c r="X15" s="8">
        <v>9</v>
      </c>
      <c r="Y15" s="8">
        <v>11</v>
      </c>
      <c r="Z15" s="8">
        <v>2</v>
      </c>
      <c r="AA15" s="8"/>
      <c r="AB15" s="8">
        <f>SUM(W15:AA15)</f>
        <v>27</v>
      </c>
    </row>
    <row r="16" spans="1:28" ht="15.75" x14ac:dyDescent="0.25">
      <c r="A16" s="43" t="s">
        <v>11</v>
      </c>
      <c r="B16" s="45"/>
      <c r="K16" s="35"/>
      <c r="L16" s="43" t="s">
        <v>11</v>
      </c>
      <c r="M16" s="11"/>
      <c r="U16" s="43" t="s">
        <v>11</v>
      </c>
      <c r="V16" s="11"/>
    </row>
    <row r="17" spans="1:28" x14ac:dyDescent="0.25">
      <c r="A17" s="35"/>
      <c r="B17" s="10" t="s">
        <v>12</v>
      </c>
      <c r="C17" s="39">
        <v>71</v>
      </c>
      <c r="D17" s="8">
        <v>154</v>
      </c>
      <c r="E17" s="8">
        <v>157</v>
      </c>
      <c r="F17" s="8">
        <v>22</v>
      </c>
      <c r="G17" s="8">
        <v>21</v>
      </c>
      <c r="I17" s="8">
        <v>91</v>
      </c>
      <c r="J17" s="48">
        <f t="shared" si="1"/>
        <v>516</v>
      </c>
      <c r="K17" s="35"/>
      <c r="L17" s="39"/>
      <c r="M17" s="10" t="s">
        <v>12</v>
      </c>
      <c r="N17" s="8">
        <v>61</v>
      </c>
      <c r="O17" s="8"/>
      <c r="P17" s="8">
        <v>25</v>
      </c>
      <c r="Q17" s="8">
        <v>4</v>
      </c>
      <c r="R17" s="8">
        <v>1</v>
      </c>
      <c r="S17" s="8">
        <f>SUM(N17:R17)</f>
        <v>91</v>
      </c>
      <c r="U17" s="39"/>
      <c r="V17" s="10" t="s">
        <v>12</v>
      </c>
      <c r="W17" s="8">
        <v>4</v>
      </c>
      <c r="X17" s="8">
        <v>8</v>
      </c>
      <c r="Y17" s="8">
        <v>5</v>
      </c>
      <c r="Z17" s="8">
        <v>0</v>
      </c>
      <c r="AA17" s="8">
        <v>1</v>
      </c>
      <c r="AB17" s="8">
        <f>SUM(W17:AA17)</f>
        <v>18</v>
      </c>
    </row>
    <row r="18" spans="1:28" ht="15.75" x14ac:dyDescent="0.25">
      <c r="A18" s="43" t="s">
        <v>13</v>
      </c>
      <c r="B18" s="45"/>
      <c r="K18" s="35"/>
      <c r="L18" s="43" t="s">
        <v>13</v>
      </c>
      <c r="M18" s="11"/>
      <c r="U18" s="43" t="s">
        <v>13</v>
      </c>
      <c r="V18" s="11"/>
    </row>
    <row r="19" spans="1:28" x14ac:dyDescent="0.25">
      <c r="A19" s="35"/>
      <c r="B19" s="10" t="s">
        <v>14</v>
      </c>
      <c r="C19" s="39">
        <v>109</v>
      </c>
      <c r="D19" s="8">
        <v>191</v>
      </c>
      <c r="E19" s="8">
        <v>237</v>
      </c>
      <c r="F19" s="8">
        <v>32</v>
      </c>
      <c r="G19" s="8">
        <v>33</v>
      </c>
      <c r="I19" s="8">
        <v>156</v>
      </c>
      <c r="J19" s="48">
        <f t="shared" si="1"/>
        <v>758</v>
      </c>
      <c r="K19" s="35"/>
      <c r="L19" s="39"/>
      <c r="M19" s="10" t="s">
        <v>14</v>
      </c>
      <c r="N19" s="8">
        <v>102</v>
      </c>
      <c r="O19" s="8"/>
      <c r="P19" s="8">
        <v>46</v>
      </c>
      <c r="Q19" s="8">
        <v>4</v>
      </c>
      <c r="R19" s="8">
        <v>4</v>
      </c>
      <c r="S19" s="8">
        <f>SUM(N19:R19)</f>
        <v>156</v>
      </c>
      <c r="U19" s="39"/>
      <c r="V19" s="10" t="s">
        <v>14</v>
      </c>
      <c r="W19" s="8">
        <v>4</v>
      </c>
      <c r="X19" s="8">
        <v>9</v>
      </c>
      <c r="Y19" s="8">
        <v>9</v>
      </c>
      <c r="Z19" s="8">
        <v>0</v>
      </c>
      <c r="AA19" s="8">
        <v>2</v>
      </c>
      <c r="AB19" s="8">
        <f>SUM(W19:AA19)</f>
        <v>24</v>
      </c>
    </row>
    <row r="20" spans="1:28" ht="15.75" x14ac:dyDescent="0.25">
      <c r="A20" s="43" t="s">
        <v>15</v>
      </c>
      <c r="B20" s="45"/>
      <c r="C20" s="11"/>
      <c r="D20" s="11"/>
      <c r="K20" s="35"/>
      <c r="L20" s="43" t="s">
        <v>15</v>
      </c>
      <c r="M20" s="11"/>
      <c r="U20" s="43" t="s">
        <v>15</v>
      </c>
      <c r="V20" s="11"/>
    </row>
    <row r="21" spans="1:28" x14ac:dyDescent="0.25">
      <c r="A21" s="35"/>
      <c r="B21" s="10" t="s">
        <v>39</v>
      </c>
      <c r="C21" s="39">
        <v>114</v>
      </c>
      <c r="D21" s="8">
        <v>206</v>
      </c>
      <c r="E21" s="8">
        <v>244</v>
      </c>
      <c r="F21" s="8">
        <v>35</v>
      </c>
      <c r="G21" s="8">
        <v>35</v>
      </c>
      <c r="I21" s="8">
        <v>172</v>
      </c>
      <c r="J21" s="48">
        <f t="shared" si="1"/>
        <v>806</v>
      </c>
      <c r="K21" s="35"/>
      <c r="L21" s="39"/>
      <c r="M21" s="10" t="s">
        <v>39</v>
      </c>
      <c r="N21" s="8">
        <v>114</v>
      </c>
      <c r="O21" s="8"/>
      <c r="P21" s="8">
        <v>50</v>
      </c>
      <c r="Q21" s="8">
        <v>3</v>
      </c>
      <c r="R21" s="8">
        <v>5</v>
      </c>
      <c r="S21" s="8">
        <f>SUM(N21:R21)</f>
        <v>172</v>
      </c>
      <c r="U21" s="39"/>
      <c r="V21" s="10" t="s">
        <v>39</v>
      </c>
      <c r="W21" s="8">
        <v>5</v>
      </c>
      <c r="X21" s="8">
        <v>9</v>
      </c>
      <c r="Y21" s="8">
        <v>12</v>
      </c>
      <c r="Z21" s="8">
        <v>0</v>
      </c>
      <c r="AA21" s="8">
        <v>2</v>
      </c>
      <c r="AB21" s="8">
        <f>SUM(W21:AA21)</f>
        <v>28</v>
      </c>
    </row>
    <row r="22" spans="1:28" ht="15.75" x14ac:dyDescent="0.25">
      <c r="A22" s="43" t="s">
        <v>17</v>
      </c>
      <c r="B22" s="45"/>
      <c r="K22" s="35"/>
      <c r="L22" s="43" t="s">
        <v>17</v>
      </c>
      <c r="M22" s="11"/>
      <c r="U22" s="43" t="s">
        <v>17</v>
      </c>
      <c r="V22" s="11"/>
    </row>
    <row r="23" spans="1:28" x14ac:dyDescent="0.25">
      <c r="A23" s="35"/>
      <c r="B23" s="10" t="s">
        <v>30</v>
      </c>
      <c r="C23" s="39"/>
      <c r="D23" s="8">
        <v>186</v>
      </c>
      <c r="E23" s="8"/>
      <c r="F23" s="8"/>
      <c r="G23" s="8"/>
      <c r="I23" s="8">
        <v>58</v>
      </c>
      <c r="J23" s="48">
        <f t="shared" si="1"/>
        <v>244</v>
      </c>
      <c r="K23" s="35"/>
      <c r="L23" s="39"/>
      <c r="M23" s="10" t="s">
        <v>30</v>
      </c>
      <c r="N23" s="8"/>
      <c r="O23" s="8">
        <v>58</v>
      </c>
      <c r="P23" s="8"/>
      <c r="Q23" s="8"/>
      <c r="R23" s="8"/>
      <c r="S23" s="8">
        <f>SUM(N23:R23)</f>
        <v>58</v>
      </c>
      <c r="U23" s="39"/>
      <c r="V23" s="10" t="s">
        <v>30</v>
      </c>
      <c r="W23" s="8"/>
      <c r="X23" s="8">
        <v>7</v>
      </c>
      <c r="Y23" s="8"/>
      <c r="Z23" s="8"/>
      <c r="AA23" s="8"/>
      <c r="AB23" s="8">
        <f>SUM(W23:AA23)</f>
        <v>7</v>
      </c>
    </row>
    <row r="24" spans="1:28" ht="15.75" x14ac:dyDescent="0.25">
      <c r="A24" s="43" t="s">
        <v>16</v>
      </c>
      <c r="B24" s="45"/>
      <c r="K24" s="35"/>
      <c r="L24" s="43" t="s">
        <v>16</v>
      </c>
      <c r="M24" s="11"/>
      <c r="U24" s="43" t="s">
        <v>16</v>
      </c>
      <c r="V24" s="11"/>
    </row>
    <row r="25" spans="1:28" x14ac:dyDescent="0.25">
      <c r="A25" s="35"/>
      <c r="B25" s="10" t="s">
        <v>18</v>
      </c>
      <c r="C25" s="39"/>
      <c r="D25" s="8"/>
      <c r="E25" s="8">
        <v>207</v>
      </c>
      <c r="F25" s="8"/>
      <c r="G25" s="8"/>
      <c r="I25" s="8">
        <v>40</v>
      </c>
      <c r="J25" s="48">
        <f t="shared" si="1"/>
        <v>247</v>
      </c>
      <c r="K25" s="35"/>
      <c r="L25" s="39"/>
      <c r="M25" s="10" t="s">
        <v>18</v>
      </c>
      <c r="N25" s="8"/>
      <c r="O25" s="8"/>
      <c r="P25" s="8">
        <v>40</v>
      </c>
      <c r="Q25" s="8"/>
      <c r="R25" s="8"/>
      <c r="S25" s="8">
        <f>SUM(N25:R25)</f>
        <v>40</v>
      </c>
      <c r="U25" s="39"/>
      <c r="V25" s="10" t="s">
        <v>18</v>
      </c>
      <c r="W25" s="8"/>
      <c r="X25" s="8"/>
      <c r="Y25" s="8">
        <v>11</v>
      </c>
      <c r="Z25" s="8"/>
      <c r="AA25" s="8"/>
      <c r="AB25" s="8">
        <f t="shared" ref="AB25:AB26" si="7">SUM(W25:AA25)</f>
        <v>11</v>
      </c>
    </row>
    <row r="26" spans="1:28" x14ac:dyDescent="0.25">
      <c r="A26" s="35"/>
      <c r="B26" s="8" t="s">
        <v>40</v>
      </c>
      <c r="C26" s="39"/>
      <c r="D26" s="8"/>
      <c r="E26" s="8">
        <v>48</v>
      </c>
      <c r="F26" s="8"/>
      <c r="G26" s="8"/>
      <c r="I26" s="8">
        <v>4</v>
      </c>
      <c r="J26" s="8">
        <f t="shared" si="1"/>
        <v>52</v>
      </c>
      <c r="K26" s="35"/>
      <c r="L26" s="39"/>
      <c r="M26" s="8" t="s">
        <v>40</v>
      </c>
      <c r="N26" s="8"/>
      <c r="O26" s="8"/>
      <c r="P26" s="8">
        <v>4</v>
      </c>
      <c r="Q26" s="8"/>
      <c r="R26" s="8"/>
      <c r="S26" s="8">
        <f>SUM(N26:R26)</f>
        <v>4</v>
      </c>
      <c r="U26" s="39"/>
      <c r="V26" s="8" t="s">
        <v>40</v>
      </c>
      <c r="W26" s="8"/>
      <c r="X26" s="8"/>
      <c r="Y26" s="8"/>
      <c r="Z26" s="8"/>
      <c r="AA26" s="8"/>
      <c r="AB26" s="8">
        <f t="shared" si="7"/>
        <v>0</v>
      </c>
    </row>
    <row r="27" spans="1:28" ht="15.75" x14ac:dyDescent="0.25">
      <c r="A27" s="43" t="s">
        <v>19</v>
      </c>
      <c r="B27" s="35"/>
      <c r="C27" s="4"/>
      <c r="D27" s="4"/>
      <c r="E27" s="4" t="s">
        <v>71</v>
      </c>
      <c r="F27" s="4"/>
      <c r="G27" s="4"/>
      <c r="K27" s="35"/>
      <c r="L27" s="42" t="s">
        <v>19</v>
      </c>
      <c r="M27" s="4"/>
      <c r="U27" s="42" t="s">
        <v>19</v>
      </c>
      <c r="V27" s="4"/>
    </row>
    <row r="28" spans="1:28" x14ac:dyDescent="0.25">
      <c r="A28" s="35"/>
      <c r="B28" s="10" t="s">
        <v>20</v>
      </c>
      <c r="C28" s="39">
        <v>105</v>
      </c>
      <c r="D28" s="8">
        <v>182</v>
      </c>
      <c r="E28" s="8">
        <v>236</v>
      </c>
      <c r="F28" s="8">
        <v>32</v>
      </c>
      <c r="G28" s="8">
        <v>35</v>
      </c>
      <c r="I28" s="8">
        <v>172</v>
      </c>
      <c r="J28" s="48">
        <f t="shared" si="1"/>
        <v>762</v>
      </c>
      <c r="K28" s="35"/>
      <c r="L28" s="39"/>
      <c r="M28" s="10" t="s">
        <v>20</v>
      </c>
      <c r="N28" s="8">
        <v>114</v>
      </c>
      <c r="O28" s="8"/>
      <c r="P28" s="8">
        <v>48</v>
      </c>
      <c r="Q28" s="8">
        <v>3</v>
      </c>
      <c r="R28" s="8">
        <v>7</v>
      </c>
      <c r="S28" s="8">
        <f>SUM(N28:R28)</f>
        <v>172</v>
      </c>
      <c r="U28" s="39"/>
      <c r="V28" s="10" t="s">
        <v>20</v>
      </c>
      <c r="W28" s="8">
        <v>4</v>
      </c>
      <c r="X28" s="8">
        <v>8</v>
      </c>
      <c r="Y28" s="8">
        <v>9</v>
      </c>
      <c r="Z28" s="8">
        <v>0</v>
      </c>
      <c r="AA28" s="8">
        <v>2</v>
      </c>
      <c r="AB28" s="8">
        <f>SUM(W28:AA28)</f>
        <v>23</v>
      </c>
    </row>
    <row r="29" spans="1:28" ht="15.75" x14ac:dyDescent="0.25">
      <c r="A29" s="43" t="s">
        <v>21</v>
      </c>
      <c r="B29" s="35"/>
      <c r="K29" s="35"/>
      <c r="L29" s="43" t="s">
        <v>21</v>
      </c>
      <c r="U29" s="43" t="s">
        <v>21</v>
      </c>
    </row>
    <row r="30" spans="1:28" x14ac:dyDescent="0.25">
      <c r="A30" s="35"/>
      <c r="B30" s="10" t="s">
        <v>22</v>
      </c>
      <c r="C30" s="39">
        <v>105</v>
      </c>
      <c r="D30" s="8">
        <v>185</v>
      </c>
      <c r="E30" s="8">
        <v>247</v>
      </c>
      <c r="F30" s="8">
        <v>34</v>
      </c>
      <c r="G30" s="8">
        <v>37</v>
      </c>
      <c r="I30" s="8">
        <v>164</v>
      </c>
      <c r="J30" s="48">
        <f t="shared" si="1"/>
        <v>772</v>
      </c>
      <c r="K30" s="35"/>
      <c r="L30" s="39"/>
      <c r="M30" s="10" t="s">
        <v>22</v>
      </c>
      <c r="N30" s="8">
        <v>109</v>
      </c>
      <c r="O30" s="8"/>
      <c r="P30" s="8">
        <v>47</v>
      </c>
      <c r="Q30" s="8">
        <v>2</v>
      </c>
      <c r="R30" s="8">
        <v>6</v>
      </c>
      <c r="S30" s="8">
        <f>SUM(N30:R30)</f>
        <v>164</v>
      </c>
      <c r="U30" s="39"/>
      <c r="V30" s="10" t="s">
        <v>22</v>
      </c>
      <c r="W30" s="8">
        <v>4</v>
      </c>
      <c r="X30" s="8">
        <v>8</v>
      </c>
      <c r="Y30" s="8">
        <v>10</v>
      </c>
      <c r="Z30" s="8">
        <v>0</v>
      </c>
      <c r="AA30" s="8">
        <v>2</v>
      </c>
      <c r="AB30" s="8">
        <f>SUM(W30:AA30)</f>
        <v>24</v>
      </c>
    </row>
    <row r="31" spans="1:28" ht="15.75" x14ac:dyDescent="0.25">
      <c r="A31" s="43" t="s">
        <v>23</v>
      </c>
      <c r="B31" s="45"/>
      <c r="K31" s="35"/>
      <c r="L31" s="43" t="s">
        <v>23</v>
      </c>
      <c r="M31" s="11"/>
      <c r="U31" s="43" t="s">
        <v>23</v>
      </c>
      <c r="V31" s="11"/>
    </row>
    <row r="32" spans="1:28" x14ac:dyDescent="0.25">
      <c r="A32" s="35"/>
      <c r="B32" s="10" t="s">
        <v>24</v>
      </c>
      <c r="C32" s="39">
        <v>120</v>
      </c>
      <c r="D32" s="8">
        <v>211</v>
      </c>
      <c r="E32" s="8">
        <v>250</v>
      </c>
      <c r="F32" s="8">
        <v>35</v>
      </c>
      <c r="G32" s="8">
        <v>36</v>
      </c>
      <c r="I32" s="8">
        <v>169</v>
      </c>
      <c r="J32" s="48">
        <f>SUM(C32:I32)</f>
        <v>821</v>
      </c>
      <c r="K32" s="35"/>
      <c r="L32" s="39"/>
      <c r="M32" s="10" t="s">
        <v>24</v>
      </c>
      <c r="N32" s="8">
        <v>113</v>
      </c>
      <c r="O32" s="8"/>
      <c r="P32" s="8">
        <v>45</v>
      </c>
      <c r="Q32" s="8">
        <v>4</v>
      </c>
      <c r="R32" s="8">
        <v>7</v>
      </c>
      <c r="S32" s="8">
        <f>SUM(N32:R32)</f>
        <v>169</v>
      </c>
      <c r="U32" s="39"/>
      <c r="V32" s="10" t="s">
        <v>24</v>
      </c>
      <c r="W32" s="8">
        <v>5</v>
      </c>
      <c r="X32" s="8">
        <v>8</v>
      </c>
      <c r="Y32" s="8">
        <v>11</v>
      </c>
      <c r="Z32" s="8">
        <v>0</v>
      </c>
      <c r="AA32" s="8">
        <v>2</v>
      </c>
      <c r="AB32" s="8">
        <f>SUM(W32:AA32)</f>
        <v>26</v>
      </c>
    </row>
    <row r="33" spans="1:28" ht="15.75" x14ac:dyDescent="0.25">
      <c r="A33" s="43" t="s">
        <v>25</v>
      </c>
      <c r="B33" s="35"/>
      <c r="K33" s="35"/>
      <c r="L33" s="43" t="s">
        <v>25</v>
      </c>
      <c r="U33" s="43" t="s">
        <v>25</v>
      </c>
    </row>
    <row r="34" spans="1:28" x14ac:dyDescent="0.25">
      <c r="A34" s="35"/>
      <c r="B34" s="10" t="s">
        <v>26</v>
      </c>
      <c r="C34" s="39">
        <v>111</v>
      </c>
      <c r="D34" s="8">
        <v>192</v>
      </c>
      <c r="E34" s="8">
        <v>240</v>
      </c>
      <c r="F34" s="8">
        <v>32</v>
      </c>
      <c r="G34" s="8">
        <v>35</v>
      </c>
      <c r="I34" s="8">
        <v>158</v>
      </c>
      <c r="J34" s="48">
        <f t="shared" si="1"/>
        <v>768</v>
      </c>
      <c r="K34" s="35"/>
      <c r="L34" s="39"/>
      <c r="M34" s="10" t="s">
        <v>26</v>
      </c>
      <c r="N34" s="8">
        <v>107</v>
      </c>
      <c r="O34" s="8"/>
      <c r="P34" s="8">
        <v>44</v>
      </c>
      <c r="Q34" s="8">
        <v>3</v>
      </c>
      <c r="R34" s="8">
        <v>4</v>
      </c>
      <c r="S34" s="8">
        <f>SUM(N34:R34)</f>
        <v>158</v>
      </c>
      <c r="U34" s="39"/>
      <c r="V34" s="10" t="s">
        <v>26</v>
      </c>
      <c r="W34" s="8">
        <v>4</v>
      </c>
      <c r="X34" s="8">
        <v>8</v>
      </c>
      <c r="Y34" s="8">
        <v>11</v>
      </c>
      <c r="Z34" s="8">
        <v>0</v>
      </c>
      <c r="AA34" s="8">
        <v>2</v>
      </c>
      <c r="AB34" s="8">
        <f>SUM(W34:AA34)</f>
        <v>25</v>
      </c>
    </row>
    <row r="35" spans="1:28" ht="15.75" x14ac:dyDescent="0.25">
      <c r="A35" s="43" t="s">
        <v>27</v>
      </c>
      <c r="B35" s="35"/>
      <c r="K35" s="35"/>
      <c r="L35" s="43" t="s">
        <v>27</v>
      </c>
      <c r="U35" s="43" t="s">
        <v>27</v>
      </c>
    </row>
    <row r="36" spans="1:28" x14ac:dyDescent="0.25">
      <c r="A36" s="35"/>
      <c r="B36" s="10" t="s">
        <v>28</v>
      </c>
      <c r="C36" s="39">
        <v>105</v>
      </c>
      <c r="D36" s="8">
        <v>207</v>
      </c>
      <c r="E36" s="8">
        <v>241</v>
      </c>
      <c r="F36" s="8">
        <v>33</v>
      </c>
      <c r="G36" s="8">
        <v>35</v>
      </c>
      <c r="I36" s="8">
        <v>171</v>
      </c>
      <c r="J36" s="48">
        <f t="shared" si="1"/>
        <v>792</v>
      </c>
      <c r="K36" s="35"/>
      <c r="L36" s="39"/>
      <c r="M36" s="10" t="s">
        <v>28</v>
      </c>
      <c r="N36" s="8">
        <v>114</v>
      </c>
      <c r="O36" s="8"/>
      <c r="P36" s="8">
        <v>46</v>
      </c>
      <c r="Q36" s="8">
        <v>4</v>
      </c>
      <c r="R36" s="8">
        <v>7</v>
      </c>
      <c r="S36" s="8">
        <f>SUM(N36:R36)</f>
        <v>171</v>
      </c>
      <c r="U36" s="39"/>
      <c r="V36" s="10" t="s">
        <v>28</v>
      </c>
      <c r="W36" s="8">
        <v>4</v>
      </c>
      <c r="X36" s="8">
        <v>9</v>
      </c>
      <c r="Y36" s="8">
        <v>10</v>
      </c>
      <c r="Z36" s="8">
        <v>0</v>
      </c>
      <c r="AA36" s="8">
        <v>2</v>
      </c>
      <c r="AB36" s="8">
        <f>SUM(W36:AA36)</f>
        <v>25</v>
      </c>
    </row>
    <row r="37" spans="1:28" x14ac:dyDescent="0.25">
      <c r="A37" s="35"/>
      <c r="B37" s="46"/>
      <c r="M37" s="13"/>
      <c r="V37" s="13"/>
    </row>
    <row r="38" spans="1:28" x14ac:dyDescent="0.25">
      <c r="A38" s="35"/>
      <c r="B38" s="46"/>
      <c r="M38" s="13"/>
      <c r="V38" s="13"/>
    </row>
    <row r="39" spans="1:28" x14ac:dyDescent="0.25">
      <c r="A39" s="35"/>
      <c r="B39" s="46"/>
      <c r="M39" s="13"/>
      <c r="V39" s="13"/>
    </row>
    <row r="40" spans="1:28" ht="15.75" x14ac:dyDescent="0.25">
      <c r="A40" s="43" t="s">
        <v>29</v>
      </c>
      <c r="B40" s="45"/>
      <c r="L40" s="16" t="s">
        <v>29</v>
      </c>
      <c r="M40" s="26"/>
      <c r="U40" s="16" t="s">
        <v>29</v>
      </c>
      <c r="V40" s="26"/>
    </row>
    <row r="41" spans="1:28" x14ac:dyDescent="0.25">
      <c r="A41" s="35"/>
      <c r="B41" s="10" t="s">
        <v>31</v>
      </c>
      <c r="C41" s="1">
        <v>121</v>
      </c>
      <c r="D41" s="5">
        <v>215</v>
      </c>
      <c r="E41" s="5"/>
      <c r="F41" s="5"/>
      <c r="G41" s="5"/>
      <c r="H41" s="28"/>
      <c r="I41" s="5">
        <v>117</v>
      </c>
      <c r="J41" s="49">
        <f t="shared" si="1"/>
        <v>453</v>
      </c>
      <c r="L41" s="5"/>
      <c r="M41" s="25" t="s">
        <v>31</v>
      </c>
      <c r="N41" s="8">
        <v>117</v>
      </c>
      <c r="O41" s="8"/>
      <c r="P41" s="8"/>
      <c r="Q41" s="8"/>
      <c r="R41" s="8"/>
      <c r="S41" s="8">
        <f>SUM(N41:R41)</f>
        <v>117</v>
      </c>
      <c r="U41" s="5"/>
      <c r="V41" s="25" t="s">
        <v>31</v>
      </c>
      <c r="W41" s="8">
        <v>5</v>
      </c>
      <c r="X41" s="8">
        <v>8</v>
      </c>
      <c r="Y41" s="8"/>
      <c r="Z41" s="8"/>
      <c r="AA41" s="8"/>
      <c r="AB41" s="8">
        <f t="shared" ref="AB41" si="8">SUM(W41:AA41)</f>
        <v>13</v>
      </c>
    </row>
    <row r="42" spans="1:28" ht="15.75" x14ac:dyDescent="0.25">
      <c r="A42" s="35"/>
      <c r="B42" s="8" t="s">
        <v>79</v>
      </c>
      <c r="C42" s="39"/>
      <c r="D42" s="8">
        <v>1</v>
      </c>
      <c r="E42" s="8"/>
      <c r="F42" s="8"/>
      <c r="G42" s="8"/>
      <c r="H42" s="8"/>
      <c r="I42" s="8"/>
      <c r="J42" s="8">
        <f t="shared" si="1"/>
        <v>1</v>
      </c>
      <c r="L42" s="8"/>
      <c r="M42" s="8" t="s">
        <v>79</v>
      </c>
      <c r="N42" s="8"/>
      <c r="O42" s="8"/>
      <c r="P42" s="8"/>
      <c r="Q42" s="8"/>
      <c r="R42" s="8"/>
      <c r="S42" s="8"/>
      <c r="U42" s="21" t="s">
        <v>32</v>
      </c>
      <c r="V42" s="24"/>
    </row>
    <row r="43" spans="1:28" ht="15.75" x14ac:dyDescent="0.25">
      <c r="A43" s="43" t="s">
        <v>32</v>
      </c>
      <c r="B43" s="45"/>
      <c r="L43" s="21" t="s">
        <v>32</v>
      </c>
      <c r="M43" s="24"/>
      <c r="U43" s="21"/>
      <c r="V43" s="8" t="s">
        <v>104</v>
      </c>
      <c r="W43" s="8"/>
      <c r="X43" s="8">
        <v>1</v>
      </c>
      <c r="Y43" s="8"/>
      <c r="Z43" s="8"/>
      <c r="AA43" s="8"/>
      <c r="AB43" s="8">
        <f t="shared" ref="AB43" si="9">SUM(W43:AA43)</f>
        <v>1</v>
      </c>
    </row>
    <row r="44" spans="1:28" ht="15.75" x14ac:dyDescent="0.25">
      <c r="A44" s="43"/>
      <c r="B44" s="10" t="s">
        <v>41</v>
      </c>
      <c r="C44" s="39">
        <v>3</v>
      </c>
      <c r="D44" s="8">
        <v>2</v>
      </c>
      <c r="E44" s="8"/>
      <c r="F44" s="8"/>
      <c r="G44" s="8"/>
      <c r="H44" s="8"/>
      <c r="I44" s="8">
        <v>4</v>
      </c>
      <c r="J44" s="48">
        <f t="shared" si="1"/>
        <v>9</v>
      </c>
      <c r="L44" s="21"/>
      <c r="M44" s="10" t="s">
        <v>41</v>
      </c>
      <c r="N44" s="8"/>
      <c r="O44" s="8"/>
      <c r="P44" s="8"/>
      <c r="Q44" s="8"/>
      <c r="R44" s="8"/>
      <c r="S44" s="8"/>
      <c r="U44" s="21" t="s">
        <v>33</v>
      </c>
      <c r="V44" s="26"/>
    </row>
    <row r="45" spans="1:28" ht="15.75" x14ac:dyDescent="0.25">
      <c r="A45" s="43"/>
      <c r="B45" s="8" t="s">
        <v>80</v>
      </c>
      <c r="C45" s="39">
        <v>1</v>
      </c>
      <c r="D45" s="8"/>
      <c r="E45" s="8"/>
      <c r="F45" s="8"/>
      <c r="G45" s="8"/>
      <c r="H45" s="8"/>
      <c r="I45" s="8"/>
      <c r="J45" s="5">
        <f t="shared" si="1"/>
        <v>1</v>
      </c>
      <c r="L45" s="21"/>
      <c r="M45" s="8" t="s">
        <v>80</v>
      </c>
      <c r="N45" s="8"/>
      <c r="O45" s="8"/>
      <c r="P45" s="8"/>
      <c r="Q45" s="8"/>
      <c r="R45" s="8"/>
      <c r="S45" s="8"/>
      <c r="U45" s="21"/>
      <c r="V45" s="12" t="s">
        <v>69</v>
      </c>
      <c r="W45" s="8"/>
      <c r="X45" s="8"/>
      <c r="Y45" s="8">
        <v>13</v>
      </c>
      <c r="Z45" s="8"/>
      <c r="AA45" s="8"/>
      <c r="AB45" s="8">
        <f>SUM(W45:AA45)</f>
        <v>13</v>
      </c>
    </row>
    <row r="46" spans="1:28" ht="15.75" x14ac:dyDescent="0.25">
      <c r="A46" s="43"/>
      <c r="B46" s="8" t="s">
        <v>81</v>
      </c>
      <c r="C46" s="39"/>
      <c r="D46" s="8">
        <v>1</v>
      </c>
      <c r="E46" s="8"/>
      <c r="F46" s="8"/>
      <c r="G46" s="8"/>
      <c r="H46" s="8"/>
      <c r="I46" s="8"/>
      <c r="J46" s="5">
        <f t="shared" si="1"/>
        <v>1</v>
      </c>
      <c r="L46" s="21"/>
      <c r="M46" s="8" t="s">
        <v>81</v>
      </c>
      <c r="N46" s="8"/>
      <c r="O46" s="8"/>
      <c r="P46" s="8"/>
      <c r="Q46" s="8"/>
      <c r="R46" s="8"/>
      <c r="S46" s="8"/>
      <c r="U46" s="21" t="s">
        <v>34</v>
      </c>
      <c r="V46" s="11"/>
    </row>
    <row r="47" spans="1:28" ht="15.75" x14ac:dyDescent="0.25">
      <c r="A47" s="43"/>
      <c r="B47" s="8" t="s">
        <v>82</v>
      </c>
      <c r="C47" s="39">
        <v>1</v>
      </c>
      <c r="D47" s="8"/>
      <c r="E47" s="8"/>
      <c r="F47" s="8"/>
      <c r="G47" s="8"/>
      <c r="H47" s="8"/>
      <c r="I47" s="8"/>
      <c r="J47" s="5">
        <f t="shared" si="1"/>
        <v>1</v>
      </c>
      <c r="L47" s="21"/>
      <c r="M47" s="8" t="s">
        <v>82</v>
      </c>
      <c r="N47" s="8"/>
      <c r="O47" s="8"/>
      <c r="P47" s="8"/>
      <c r="Q47" s="8"/>
      <c r="R47" s="8"/>
      <c r="S47" s="8"/>
      <c r="U47" s="21"/>
      <c r="V47" s="10" t="s">
        <v>68</v>
      </c>
      <c r="W47" s="8"/>
      <c r="X47" s="8"/>
      <c r="Y47" s="8">
        <v>12</v>
      </c>
      <c r="Z47" s="8"/>
      <c r="AA47" s="8"/>
      <c r="AB47" s="8">
        <f>SUM(W47:AA47)</f>
        <v>12</v>
      </c>
    </row>
    <row r="48" spans="1:28" ht="15.75" x14ac:dyDescent="0.25">
      <c r="A48" s="43"/>
      <c r="B48" s="8" t="s">
        <v>83</v>
      </c>
      <c r="C48" s="39"/>
      <c r="D48" s="8">
        <v>1</v>
      </c>
      <c r="E48" s="8"/>
      <c r="F48" s="8"/>
      <c r="G48" s="8"/>
      <c r="H48" s="8"/>
      <c r="I48" s="8"/>
      <c r="J48" s="5">
        <f t="shared" si="1"/>
        <v>1</v>
      </c>
      <c r="L48" s="21"/>
      <c r="M48" s="8" t="s">
        <v>83</v>
      </c>
      <c r="N48" s="8"/>
      <c r="O48" s="8"/>
      <c r="P48" s="8"/>
      <c r="Q48" s="8"/>
      <c r="R48" s="8"/>
      <c r="S48" s="8"/>
      <c r="U48" s="21" t="s">
        <v>37</v>
      </c>
      <c r="V48" s="11"/>
    </row>
    <row r="49" spans="1:28" ht="15.75" x14ac:dyDescent="0.25">
      <c r="A49" s="43"/>
      <c r="B49" s="8" t="s">
        <v>84</v>
      </c>
      <c r="C49" s="39"/>
      <c r="D49" s="8">
        <v>2</v>
      </c>
      <c r="E49" s="8"/>
      <c r="F49" s="8"/>
      <c r="G49" s="8"/>
      <c r="H49" s="8"/>
      <c r="I49" s="8"/>
      <c r="J49" s="5">
        <f t="shared" si="1"/>
        <v>2</v>
      </c>
      <c r="L49" s="21"/>
      <c r="M49" s="8" t="s">
        <v>84</v>
      </c>
      <c r="N49" s="8"/>
      <c r="O49" s="8"/>
      <c r="P49" s="8"/>
      <c r="Q49" s="8"/>
      <c r="R49" s="8"/>
      <c r="S49" s="8"/>
      <c r="U49" s="21"/>
      <c r="V49" s="10" t="s">
        <v>42</v>
      </c>
      <c r="W49" s="8"/>
      <c r="X49" s="8"/>
      <c r="Y49" s="8"/>
      <c r="Z49" s="8"/>
      <c r="AA49" s="8">
        <v>1</v>
      </c>
      <c r="AB49" s="8">
        <f t="shared" ref="AB49:AB50" si="10">SUM(W49:AA49)</f>
        <v>1</v>
      </c>
    </row>
    <row r="50" spans="1:28" ht="15.75" x14ac:dyDescent="0.25">
      <c r="A50" s="43"/>
      <c r="B50" s="8" t="s">
        <v>85</v>
      </c>
      <c r="C50" s="39">
        <v>1</v>
      </c>
      <c r="D50" s="8"/>
      <c r="E50" s="8"/>
      <c r="F50" s="8"/>
      <c r="G50" s="8"/>
      <c r="H50" s="8"/>
      <c r="I50" s="8"/>
      <c r="J50" s="5">
        <f t="shared" si="1"/>
        <v>1</v>
      </c>
      <c r="L50" s="21"/>
      <c r="M50" s="8" t="s">
        <v>85</v>
      </c>
      <c r="N50" s="8"/>
      <c r="O50" s="8"/>
      <c r="P50" s="8"/>
      <c r="Q50" s="8"/>
      <c r="R50" s="8"/>
      <c r="S50" s="8"/>
      <c r="U50" s="21"/>
      <c r="V50" s="38" t="s">
        <v>105</v>
      </c>
      <c r="W50" s="8"/>
      <c r="X50" s="8"/>
      <c r="Y50" s="8"/>
      <c r="Z50" s="8"/>
      <c r="AA50" s="8">
        <v>1</v>
      </c>
      <c r="AB50" s="8">
        <f t="shared" si="10"/>
        <v>1</v>
      </c>
    </row>
    <row r="51" spans="1:28" ht="15.75" x14ac:dyDescent="0.25">
      <c r="A51" s="43"/>
      <c r="B51" s="8" t="s">
        <v>86</v>
      </c>
      <c r="C51" s="39"/>
      <c r="D51" s="8">
        <v>1</v>
      </c>
      <c r="E51" s="8"/>
      <c r="F51" s="8"/>
      <c r="G51" s="8"/>
      <c r="H51" s="8"/>
      <c r="I51" s="8">
        <v>1</v>
      </c>
      <c r="J51" s="5">
        <f t="shared" si="1"/>
        <v>2</v>
      </c>
      <c r="L51" s="21"/>
      <c r="M51" s="8" t="s">
        <v>86</v>
      </c>
      <c r="N51" s="8"/>
      <c r="O51" s="8"/>
      <c r="P51" s="8"/>
      <c r="Q51" s="8"/>
      <c r="R51" s="8"/>
      <c r="S51" s="8"/>
      <c r="U51" s="16" t="s">
        <v>33</v>
      </c>
      <c r="V51" s="11"/>
    </row>
    <row r="52" spans="1:28" ht="15.75" x14ac:dyDescent="0.25">
      <c r="A52" s="43"/>
      <c r="B52" s="8" t="s">
        <v>87</v>
      </c>
      <c r="C52" s="39">
        <v>1</v>
      </c>
      <c r="D52" s="8"/>
      <c r="E52" s="8"/>
      <c r="F52" s="8"/>
      <c r="G52" s="8"/>
      <c r="H52" s="8"/>
      <c r="I52" s="8"/>
      <c r="J52" s="5">
        <f t="shared" si="1"/>
        <v>1</v>
      </c>
      <c r="L52" s="21"/>
      <c r="M52" s="8" t="s">
        <v>87</v>
      </c>
      <c r="N52" s="8"/>
      <c r="O52" s="8"/>
      <c r="P52" s="8"/>
      <c r="Q52" s="8"/>
      <c r="R52" s="8"/>
      <c r="S52" s="8"/>
      <c r="U52" s="15"/>
      <c r="V52" s="8" t="s">
        <v>106</v>
      </c>
      <c r="W52" s="8"/>
      <c r="X52" s="8"/>
      <c r="Y52" s="8"/>
      <c r="Z52" s="8"/>
      <c r="AA52" s="8">
        <v>1</v>
      </c>
      <c r="AB52" s="8">
        <f t="shared" ref="AB52" si="11">SUM(W52:AA52)</f>
        <v>1</v>
      </c>
    </row>
    <row r="53" spans="1:28" ht="15.75" x14ac:dyDescent="0.25">
      <c r="A53" s="43"/>
      <c r="B53" s="8" t="s">
        <v>88</v>
      </c>
      <c r="C53" s="39"/>
      <c r="D53" s="8">
        <v>1</v>
      </c>
      <c r="E53" s="8"/>
      <c r="F53" s="8"/>
      <c r="G53" s="8"/>
      <c r="H53" s="8"/>
      <c r="I53" s="8"/>
      <c r="J53" s="5">
        <f t="shared" si="1"/>
        <v>1</v>
      </c>
      <c r="L53" s="21"/>
      <c r="M53" s="8" t="s">
        <v>88</v>
      </c>
      <c r="N53" s="8"/>
      <c r="O53" s="8"/>
      <c r="P53" s="8"/>
      <c r="Q53" s="8"/>
      <c r="R53" s="8"/>
      <c r="S53" s="8"/>
      <c r="U53" s="21" t="s">
        <v>56</v>
      </c>
      <c r="V53" s="8"/>
    </row>
    <row r="54" spans="1:28" ht="15.75" x14ac:dyDescent="0.25">
      <c r="A54" s="43"/>
      <c r="B54" s="8" t="s">
        <v>89</v>
      </c>
      <c r="C54" s="39">
        <v>1</v>
      </c>
      <c r="D54" s="8"/>
      <c r="E54" s="8"/>
      <c r="F54" s="8"/>
      <c r="G54" s="8"/>
      <c r="H54" s="8"/>
      <c r="I54" s="8"/>
      <c r="J54" s="5">
        <f t="shared" si="1"/>
        <v>1</v>
      </c>
      <c r="L54" s="21"/>
      <c r="M54" s="8" t="s">
        <v>89</v>
      </c>
      <c r="N54" s="8"/>
      <c r="O54" s="8"/>
      <c r="P54" s="8"/>
      <c r="Q54" s="8"/>
      <c r="R54" s="8"/>
      <c r="S54" s="8"/>
      <c r="U54" s="8"/>
      <c r="V54" s="5" t="s">
        <v>57</v>
      </c>
      <c r="W54" s="8">
        <v>4</v>
      </c>
      <c r="X54" s="8">
        <v>7</v>
      </c>
      <c r="Y54" s="8">
        <v>4</v>
      </c>
      <c r="Z54" s="8"/>
      <c r="AA54" s="8">
        <v>1</v>
      </c>
      <c r="AB54" s="8">
        <f t="shared" ref="AB54:AB55" si="12">SUM(W54:AA54)</f>
        <v>16</v>
      </c>
    </row>
    <row r="55" spans="1:28" ht="15.75" x14ac:dyDescent="0.25">
      <c r="A55" s="43"/>
      <c r="B55" s="8" t="s">
        <v>90</v>
      </c>
      <c r="C55" s="39"/>
      <c r="D55" s="8">
        <v>1</v>
      </c>
      <c r="E55" s="8"/>
      <c r="F55" s="8"/>
      <c r="G55" s="8"/>
      <c r="H55" s="8"/>
      <c r="I55" s="8"/>
      <c r="J55" s="5">
        <f t="shared" si="1"/>
        <v>1</v>
      </c>
      <c r="L55" s="21"/>
      <c r="M55" s="8" t="s">
        <v>90</v>
      </c>
      <c r="N55" s="8"/>
      <c r="O55" s="8"/>
      <c r="P55" s="8"/>
      <c r="Q55" s="8"/>
      <c r="R55" s="8"/>
      <c r="S55" s="8"/>
      <c r="U55" s="8"/>
      <c r="V55" s="8" t="s">
        <v>58</v>
      </c>
      <c r="W55" s="8">
        <v>1</v>
      </c>
      <c r="X55" s="8"/>
      <c r="Y55" s="8">
        <v>1</v>
      </c>
      <c r="Z55" s="8"/>
      <c r="AA55" s="8"/>
      <c r="AB55" s="8">
        <f t="shared" si="12"/>
        <v>2</v>
      </c>
    </row>
    <row r="56" spans="1:28" ht="15.75" x14ac:dyDescent="0.25">
      <c r="A56" s="43"/>
      <c r="B56" s="8" t="s">
        <v>91</v>
      </c>
      <c r="C56" s="39"/>
      <c r="D56" s="8">
        <v>3</v>
      </c>
      <c r="E56" s="8"/>
      <c r="F56" s="8"/>
      <c r="G56" s="8"/>
      <c r="H56" s="8"/>
      <c r="I56" s="8"/>
      <c r="J56" s="5">
        <f t="shared" si="1"/>
        <v>3</v>
      </c>
      <c r="L56" s="21"/>
      <c r="M56" s="8" t="s">
        <v>91</v>
      </c>
      <c r="N56" s="8"/>
      <c r="O56" s="8"/>
      <c r="P56" s="8"/>
      <c r="Q56" s="8"/>
      <c r="R56" s="8"/>
      <c r="S56" s="8"/>
      <c r="U56" s="29" t="s">
        <v>59</v>
      </c>
      <c r="V56" s="1"/>
    </row>
    <row r="57" spans="1:28" ht="15.75" x14ac:dyDescent="0.25">
      <c r="A57" s="43"/>
      <c r="B57" s="8" t="s">
        <v>92</v>
      </c>
      <c r="C57" s="39"/>
      <c r="D57" s="8">
        <v>1</v>
      </c>
      <c r="E57" s="8"/>
      <c r="F57" s="8"/>
      <c r="G57" s="8"/>
      <c r="H57" s="8"/>
      <c r="I57" s="8"/>
      <c r="J57" s="5">
        <f t="shared" si="1"/>
        <v>1</v>
      </c>
      <c r="L57" s="21"/>
      <c r="M57" s="8" t="s">
        <v>92</v>
      </c>
      <c r="N57" s="8"/>
      <c r="O57" s="8"/>
      <c r="P57" s="8"/>
      <c r="Q57" s="8"/>
      <c r="R57" s="8"/>
      <c r="S57" s="8"/>
      <c r="U57" s="8"/>
      <c r="V57" s="8" t="s">
        <v>57</v>
      </c>
      <c r="W57" s="8">
        <v>4</v>
      </c>
      <c r="X57" s="8">
        <v>6</v>
      </c>
      <c r="Y57" s="8">
        <v>3</v>
      </c>
      <c r="Z57" s="8"/>
      <c r="AA57" s="8">
        <v>1</v>
      </c>
      <c r="AB57" s="8">
        <f t="shared" ref="AB57:AB58" si="13">SUM(W57:AA57)</f>
        <v>14</v>
      </c>
    </row>
    <row r="58" spans="1:28" ht="15.75" x14ac:dyDescent="0.25">
      <c r="A58" s="43"/>
      <c r="B58" s="8" t="s">
        <v>99</v>
      </c>
      <c r="C58" s="39"/>
      <c r="D58" s="8"/>
      <c r="E58" s="8"/>
      <c r="F58" s="8"/>
      <c r="G58" s="8"/>
      <c r="H58" s="8"/>
      <c r="I58" s="8">
        <v>2</v>
      </c>
      <c r="J58" s="5"/>
      <c r="L58" s="21"/>
      <c r="M58" s="8" t="s">
        <v>99</v>
      </c>
      <c r="N58" s="8"/>
      <c r="O58" s="8"/>
      <c r="P58" s="8"/>
      <c r="Q58" s="8"/>
      <c r="R58" s="8"/>
      <c r="S58" s="8"/>
      <c r="U58" s="8"/>
      <c r="V58" s="8" t="s">
        <v>58</v>
      </c>
      <c r="W58" s="8">
        <v>1</v>
      </c>
      <c r="X58" s="8"/>
      <c r="Y58" s="8">
        <v>1</v>
      </c>
      <c r="Z58" s="8"/>
      <c r="AA58" s="8"/>
      <c r="AB58" s="8">
        <f t="shared" si="13"/>
        <v>2</v>
      </c>
    </row>
    <row r="59" spans="1:28" ht="15.75" x14ac:dyDescent="0.25">
      <c r="A59" s="43"/>
      <c r="B59" s="8" t="s">
        <v>100</v>
      </c>
      <c r="C59" s="39"/>
      <c r="D59" s="8"/>
      <c r="E59" s="8"/>
      <c r="F59" s="8"/>
      <c r="G59" s="8"/>
      <c r="H59" s="8"/>
      <c r="I59" s="8">
        <v>1</v>
      </c>
      <c r="J59" s="5"/>
      <c r="L59" s="21"/>
      <c r="M59" s="8" t="s">
        <v>100</v>
      </c>
      <c r="N59" s="8"/>
      <c r="O59" s="8"/>
      <c r="P59" s="8"/>
      <c r="Q59" s="8"/>
      <c r="R59" s="8"/>
      <c r="S59" s="8"/>
      <c r="U59" s="21" t="s">
        <v>60</v>
      </c>
      <c r="V59" s="8"/>
    </row>
    <row r="60" spans="1:28" ht="15.75" x14ac:dyDescent="0.25">
      <c r="A60" s="43"/>
      <c r="B60" s="8" t="s">
        <v>101</v>
      </c>
      <c r="C60" s="39"/>
      <c r="D60" s="8"/>
      <c r="E60" s="8"/>
      <c r="F60" s="8"/>
      <c r="G60" s="8"/>
      <c r="H60" s="8"/>
      <c r="I60" s="8">
        <v>1</v>
      </c>
      <c r="J60" s="5"/>
      <c r="L60" s="21"/>
      <c r="M60" s="8" t="s">
        <v>101</v>
      </c>
      <c r="N60" s="8"/>
      <c r="O60" s="8"/>
      <c r="P60" s="8"/>
      <c r="Q60" s="8"/>
      <c r="R60" s="8"/>
      <c r="S60" s="8"/>
      <c r="U60" s="36"/>
      <c r="V60" s="8" t="s">
        <v>61</v>
      </c>
      <c r="W60" s="8">
        <v>3</v>
      </c>
      <c r="X60" s="8">
        <v>7</v>
      </c>
      <c r="Y60" s="8">
        <v>3</v>
      </c>
      <c r="Z60" s="8"/>
      <c r="AA60" s="8">
        <v>1</v>
      </c>
      <c r="AB60" s="8">
        <f t="shared" ref="AB60:AB61" si="14">SUM(W60:AA60)</f>
        <v>14</v>
      </c>
    </row>
    <row r="61" spans="1:28" ht="15.75" x14ac:dyDescent="0.25">
      <c r="A61" s="43"/>
      <c r="B61" s="8" t="s">
        <v>102</v>
      </c>
      <c r="C61" s="39"/>
      <c r="D61" s="8"/>
      <c r="E61" s="8"/>
      <c r="F61" s="8"/>
      <c r="G61" s="8"/>
      <c r="H61" s="8"/>
      <c r="I61" s="8">
        <v>1</v>
      </c>
      <c r="J61" s="5"/>
      <c r="L61" s="21"/>
      <c r="M61" s="8" t="s">
        <v>102</v>
      </c>
      <c r="N61" s="8"/>
      <c r="O61" s="8"/>
      <c r="P61" s="8"/>
      <c r="Q61" s="8"/>
      <c r="R61" s="8"/>
      <c r="S61" s="8"/>
      <c r="U61" s="36"/>
      <c r="V61" s="8" t="s">
        <v>58</v>
      </c>
      <c r="W61" s="8">
        <v>2</v>
      </c>
      <c r="X61" s="8"/>
      <c r="Y61" s="8">
        <v>1</v>
      </c>
      <c r="Z61" s="8"/>
      <c r="AA61" s="8"/>
      <c r="AB61" s="8">
        <f t="shared" si="14"/>
        <v>3</v>
      </c>
    </row>
    <row r="62" spans="1:28" ht="15.75" x14ac:dyDescent="0.25">
      <c r="A62" s="35"/>
      <c r="B62" s="8" t="s">
        <v>103</v>
      </c>
      <c r="C62" s="39"/>
      <c r="D62" s="8"/>
      <c r="E62" s="8"/>
      <c r="F62" s="8"/>
      <c r="G62" s="8"/>
      <c r="H62" s="8"/>
      <c r="I62" s="8">
        <v>1</v>
      </c>
      <c r="J62" s="8">
        <f t="shared" si="1"/>
        <v>1</v>
      </c>
      <c r="L62" s="8"/>
      <c r="M62" s="8" t="s">
        <v>103</v>
      </c>
      <c r="N62" s="8"/>
      <c r="O62" s="8"/>
      <c r="P62" s="8"/>
      <c r="Q62" s="8"/>
      <c r="R62" s="8"/>
      <c r="S62" s="8"/>
      <c r="U62" s="21" t="s">
        <v>62</v>
      </c>
      <c r="V62" s="8"/>
    </row>
    <row r="63" spans="1:28" x14ac:dyDescent="0.25">
      <c r="A63" s="35"/>
      <c r="B63" s="8" t="s">
        <v>104</v>
      </c>
      <c r="C63" s="39"/>
      <c r="D63" s="8">
        <v>1</v>
      </c>
      <c r="E63" s="8"/>
      <c r="F63" s="8"/>
      <c r="G63" s="8"/>
      <c r="H63" s="8"/>
      <c r="I63" s="8"/>
      <c r="J63" s="8"/>
      <c r="L63" s="34"/>
      <c r="M63" s="2"/>
      <c r="U63" s="36"/>
      <c r="V63" s="8" t="s">
        <v>57</v>
      </c>
      <c r="W63" s="8">
        <v>3</v>
      </c>
      <c r="X63" s="8">
        <v>7</v>
      </c>
      <c r="Y63" s="8">
        <v>3</v>
      </c>
      <c r="Z63" s="8"/>
      <c r="AA63" s="8">
        <v>1</v>
      </c>
      <c r="AB63" s="8">
        <f t="shared" ref="AB63:AB64" si="15">SUM(W63:AA63)</f>
        <v>14</v>
      </c>
    </row>
    <row r="64" spans="1:28" ht="15.75" x14ac:dyDescent="0.25">
      <c r="A64" s="43" t="s">
        <v>33</v>
      </c>
      <c r="B64" s="45"/>
      <c r="C64" s="2"/>
      <c r="D64" s="2"/>
      <c r="E64" s="2"/>
      <c r="F64" s="2"/>
      <c r="G64" s="2"/>
      <c r="L64" s="23" t="s">
        <v>33</v>
      </c>
      <c r="M64" s="18"/>
      <c r="U64" s="36"/>
      <c r="V64" s="8" t="s">
        <v>58</v>
      </c>
      <c r="W64" s="8">
        <v>2</v>
      </c>
      <c r="X64" s="8"/>
      <c r="Y64" s="8">
        <v>1</v>
      </c>
      <c r="Z64" s="8"/>
      <c r="AA64" s="8"/>
      <c r="AB64" s="8">
        <f t="shared" si="15"/>
        <v>3</v>
      </c>
    </row>
    <row r="65" spans="1:28" ht="19.5" customHeight="1" x14ac:dyDescent="0.25">
      <c r="A65" s="35"/>
      <c r="B65" s="10" t="s">
        <v>69</v>
      </c>
      <c r="C65" s="47"/>
      <c r="D65" s="7"/>
      <c r="E65" s="7">
        <v>264</v>
      </c>
      <c r="F65" s="7"/>
      <c r="G65" s="7"/>
      <c r="I65" s="8">
        <v>49</v>
      </c>
      <c r="J65" s="48">
        <f t="shared" si="1"/>
        <v>313</v>
      </c>
      <c r="L65" s="7"/>
      <c r="M65" s="12" t="s">
        <v>69</v>
      </c>
      <c r="N65" s="8"/>
      <c r="O65" s="8"/>
      <c r="P65" s="8">
        <v>49</v>
      </c>
      <c r="Q65" s="8"/>
      <c r="R65" s="8"/>
      <c r="S65" s="8">
        <f>SUM(N65:R65)</f>
        <v>49</v>
      </c>
      <c r="U65" s="21" t="s">
        <v>63</v>
      </c>
      <c r="V65" s="8"/>
    </row>
    <row r="66" spans="1:28" ht="15.75" x14ac:dyDescent="0.25">
      <c r="A66" s="43" t="s">
        <v>34</v>
      </c>
      <c r="B66" s="45"/>
      <c r="L66" s="15" t="s">
        <v>34</v>
      </c>
      <c r="M66" s="11"/>
      <c r="U66" s="21"/>
      <c r="V66" s="8" t="s">
        <v>57</v>
      </c>
      <c r="W66" s="8">
        <v>4</v>
      </c>
      <c r="X66" s="8">
        <v>6</v>
      </c>
      <c r="Y66" s="8">
        <v>3</v>
      </c>
      <c r="Z66" s="8"/>
      <c r="AA66" s="8">
        <v>1</v>
      </c>
      <c r="AB66" s="8">
        <f t="shared" ref="AB66:AB67" si="16">SUM(W66:AA66)</f>
        <v>14</v>
      </c>
    </row>
    <row r="67" spans="1:28" ht="15.75" x14ac:dyDescent="0.25">
      <c r="A67" s="35"/>
      <c r="B67" s="10" t="s">
        <v>68</v>
      </c>
      <c r="C67" s="39"/>
      <c r="D67" s="8"/>
      <c r="E67" s="8">
        <v>252</v>
      </c>
      <c r="F67" s="8"/>
      <c r="G67" s="8"/>
      <c r="I67" s="8">
        <v>46</v>
      </c>
      <c r="J67" s="48">
        <f t="shared" si="1"/>
        <v>298</v>
      </c>
      <c r="L67" s="8"/>
      <c r="M67" s="10" t="s">
        <v>68</v>
      </c>
      <c r="N67" s="8"/>
      <c r="O67" s="8"/>
      <c r="P67" s="8">
        <v>46</v>
      </c>
      <c r="Q67" s="8"/>
      <c r="R67" s="8"/>
      <c r="S67" s="8">
        <f>SUM(N67:R67)</f>
        <v>46</v>
      </c>
      <c r="U67" s="21"/>
      <c r="V67" s="8" t="s">
        <v>58</v>
      </c>
      <c r="W67" s="8">
        <v>0</v>
      </c>
      <c r="X67" s="8">
        <v>1</v>
      </c>
      <c r="Y67" s="8">
        <v>1</v>
      </c>
      <c r="Z67" s="8"/>
      <c r="AA67" s="8"/>
      <c r="AB67" s="8">
        <f t="shared" si="16"/>
        <v>2</v>
      </c>
    </row>
    <row r="68" spans="1:28" ht="15.75" x14ac:dyDescent="0.25">
      <c r="A68" s="43" t="s">
        <v>35</v>
      </c>
      <c r="B68" s="45"/>
      <c r="C68" s="4"/>
      <c r="D68" s="4"/>
      <c r="E68" s="4"/>
      <c r="F68" s="4"/>
      <c r="G68" s="4"/>
      <c r="L68" s="16" t="s">
        <v>35</v>
      </c>
      <c r="M68" s="3"/>
      <c r="U68" s="21" t="s">
        <v>64</v>
      </c>
      <c r="V68" s="8"/>
    </row>
    <row r="69" spans="1:28" ht="15.75" x14ac:dyDescent="0.25">
      <c r="A69" s="35"/>
      <c r="B69" s="8" t="s">
        <v>72</v>
      </c>
      <c r="C69" s="47"/>
      <c r="D69" s="7"/>
      <c r="E69" s="7"/>
      <c r="F69" s="7">
        <v>1</v>
      </c>
      <c r="G69" s="7"/>
      <c r="I69" s="8"/>
      <c r="J69" s="8">
        <f t="shared" si="1"/>
        <v>1</v>
      </c>
      <c r="L69" s="7"/>
      <c r="M69" s="7" t="s">
        <v>72</v>
      </c>
      <c r="N69" s="8"/>
      <c r="O69" s="8"/>
      <c r="P69" s="8"/>
      <c r="Q69" s="8"/>
      <c r="R69" s="8"/>
      <c r="S69" s="8"/>
      <c r="U69" s="21"/>
      <c r="V69" s="8" t="s">
        <v>61</v>
      </c>
      <c r="W69" s="8">
        <v>4</v>
      </c>
      <c r="X69" s="8">
        <v>7</v>
      </c>
      <c r="Y69" s="8">
        <v>4</v>
      </c>
      <c r="Z69" s="8"/>
      <c r="AA69" s="8">
        <v>1</v>
      </c>
      <c r="AB69" s="8">
        <f t="shared" ref="AB69:AB70" si="17">SUM(W69:AA69)</f>
        <v>16</v>
      </c>
    </row>
    <row r="70" spans="1:28" ht="15.75" x14ac:dyDescent="0.25">
      <c r="A70" s="35"/>
      <c r="B70" s="10" t="s">
        <v>73</v>
      </c>
      <c r="C70" s="39"/>
      <c r="D70" s="8"/>
      <c r="E70" s="8"/>
      <c r="F70" s="8">
        <v>2</v>
      </c>
      <c r="G70" s="8"/>
      <c r="I70" s="8"/>
      <c r="J70" s="33">
        <f t="shared" si="1"/>
        <v>2</v>
      </c>
      <c r="L70" s="8"/>
      <c r="M70" s="10" t="s">
        <v>73</v>
      </c>
      <c r="N70" s="8"/>
      <c r="O70" s="8"/>
      <c r="P70" s="8"/>
      <c r="Q70" s="8"/>
      <c r="R70" s="8"/>
      <c r="S70" s="8"/>
      <c r="U70" s="21"/>
      <c r="V70" s="8" t="s">
        <v>58</v>
      </c>
      <c r="W70" s="8">
        <v>1</v>
      </c>
      <c r="X70" s="8"/>
      <c r="Y70" s="8"/>
      <c r="Z70" s="8"/>
      <c r="AA70" s="8"/>
      <c r="AB70" s="8">
        <f t="shared" si="17"/>
        <v>1</v>
      </c>
    </row>
    <row r="71" spans="1:28" ht="15.75" x14ac:dyDescent="0.25">
      <c r="A71" s="43" t="s">
        <v>36</v>
      </c>
      <c r="B71" s="45"/>
      <c r="L71" s="15" t="s">
        <v>36</v>
      </c>
      <c r="M71" s="11"/>
      <c r="U71" s="21" t="s">
        <v>65</v>
      </c>
      <c r="V71" s="8"/>
    </row>
    <row r="72" spans="1:28" x14ac:dyDescent="0.25">
      <c r="A72" s="35"/>
      <c r="B72" s="8" t="s">
        <v>72</v>
      </c>
      <c r="C72" s="39"/>
      <c r="D72" s="8"/>
      <c r="E72" s="8"/>
      <c r="F72" s="8">
        <v>1</v>
      </c>
      <c r="G72" s="8"/>
      <c r="I72" s="8"/>
      <c r="J72" s="8">
        <f t="shared" si="1"/>
        <v>1</v>
      </c>
      <c r="L72" s="8"/>
      <c r="M72" s="8" t="s">
        <v>72</v>
      </c>
      <c r="N72" s="8"/>
      <c r="O72" s="8"/>
      <c r="P72" s="8"/>
      <c r="Q72" s="8"/>
      <c r="R72" s="8"/>
      <c r="S72" s="8"/>
      <c r="U72" s="8"/>
      <c r="V72" s="8" t="s">
        <v>57</v>
      </c>
      <c r="W72" s="8">
        <v>3</v>
      </c>
      <c r="X72" s="8">
        <v>6</v>
      </c>
      <c r="Y72" s="8">
        <v>3</v>
      </c>
      <c r="Z72" s="8"/>
      <c r="AA72" s="8">
        <v>1</v>
      </c>
      <c r="AB72" s="8">
        <f t="shared" ref="AB72:AB73" si="18">SUM(W72:AA72)</f>
        <v>13</v>
      </c>
    </row>
    <row r="73" spans="1:28" x14ac:dyDescent="0.25">
      <c r="A73" s="35"/>
      <c r="B73" s="8" t="s">
        <v>74</v>
      </c>
      <c r="C73" s="39"/>
      <c r="D73" s="8"/>
      <c r="E73" s="8"/>
      <c r="F73" s="8">
        <v>1</v>
      </c>
      <c r="G73" s="8"/>
      <c r="I73" s="8"/>
      <c r="J73" s="8">
        <f t="shared" si="1"/>
        <v>1</v>
      </c>
      <c r="L73" s="8"/>
      <c r="M73" s="8" t="s">
        <v>74</v>
      </c>
      <c r="N73" s="8"/>
      <c r="O73" s="8"/>
      <c r="P73" s="8"/>
      <c r="Q73" s="8"/>
      <c r="R73" s="8"/>
      <c r="S73" s="8"/>
      <c r="U73" s="8"/>
      <c r="V73" s="50" t="s">
        <v>58</v>
      </c>
      <c r="W73" s="8">
        <v>2</v>
      </c>
      <c r="X73" s="8">
        <v>1</v>
      </c>
      <c r="Y73" s="8">
        <v>1</v>
      </c>
      <c r="Z73" s="8"/>
      <c r="AA73" s="8"/>
      <c r="AB73" s="8">
        <f t="shared" si="18"/>
        <v>4</v>
      </c>
    </row>
    <row r="74" spans="1:28" ht="15.75" x14ac:dyDescent="0.25">
      <c r="A74" s="43" t="s">
        <v>37</v>
      </c>
      <c r="B74" s="45"/>
      <c r="L74" s="15" t="s">
        <v>37</v>
      </c>
      <c r="M74" s="11"/>
    </row>
    <row r="75" spans="1:28" x14ac:dyDescent="0.25">
      <c r="A75" s="35"/>
      <c r="B75" s="10" t="s">
        <v>42</v>
      </c>
      <c r="C75" s="39"/>
      <c r="D75" s="8"/>
      <c r="E75" s="8"/>
      <c r="F75" s="8"/>
      <c r="G75" s="8">
        <v>12</v>
      </c>
      <c r="I75" s="8">
        <v>1</v>
      </c>
      <c r="J75" s="48">
        <f t="shared" si="1"/>
        <v>13</v>
      </c>
      <c r="L75" s="8"/>
      <c r="M75" s="10" t="s">
        <v>42</v>
      </c>
      <c r="N75" s="8"/>
      <c r="O75" s="8"/>
      <c r="P75" s="8"/>
      <c r="Q75" s="8"/>
      <c r="R75" s="8"/>
      <c r="S75" s="8"/>
    </row>
    <row r="76" spans="1:28" x14ac:dyDescent="0.25">
      <c r="A76" s="35"/>
      <c r="B76" s="8" t="s">
        <v>43</v>
      </c>
      <c r="C76" s="1"/>
      <c r="D76" s="5"/>
      <c r="E76" s="5"/>
      <c r="F76" s="5"/>
      <c r="G76" s="5">
        <v>1</v>
      </c>
      <c r="I76" s="5"/>
      <c r="J76" s="5">
        <f t="shared" si="1"/>
        <v>1</v>
      </c>
      <c r="L76" s="8"/>
      <c r="M76" s="8" t="s">
        <v>43</v>
      </c>
      <c r="N76" s="8"/>
      <c r="O76" s="8"/>
      <c r="P76" s="8"/>
      <c r="Q76" s="8"/>
      <c r="R76" s="8"/>
      <c r="S76" s="8"/>
    </row>
    <row r="77" spans="1:28" x14ac:dyDescent="0.25">
      <c r="A77" s="35"/>
      <c r="B77" s="38" t="s">
        <v>105</v>
      </c>
      <c r="C77" s="39"/>
      <c r="D77" s="8"/>
      <c r="E77" s="8"/>
      <c r="F77" s="8"/>
      <c r="G77" s="8">
        <v>1</v>
      </c>
      <c r="H77" s="8"/>
      <c r="I77" s="8"/>
      <c r="J77" s="8"/>
      <c r="L77" s="36"/>
      <c r="M77" s="35"/>
    </row>
    <row r="78" spans="1:28" x14ac:dyDescent="0.25">
      <c r="A78" s="35"/>
      <c r="B78" s="37"/>
      <c r="C78" s="35"/>
      <c r="D78" s="35"/>
      <c r="E78" s="35"/>
      <c r="F78" s="35"/>
      <c r="G78" s="35"/>
      <c r="H78" s="35"/>
      <c r="I78" s="35"/>
      <c r="J78" s="35"/>
      <c r="L78" s="36"/>
      <c r="M78" s="35"/>
    </row>
    <row r="79" spans="1:28" x14ac:dyDescent="0.25">
      <c r="A79" s="35"/>
      <c r="B79" s="37"/>
      <c r="C79" s="35"/>
      <c r="D79" s="35"/>
      <c r="E79" s="35"/>
      <c r="F79" s="35"/>
      <c r="G79" s="35"/>
      <c r="H79" s="35"/>
      <c r="I79" s="35"/>
      <c r="J79" s="35"/>
      <c r="L79" s="36"/>
      <c r="M79" s="35"/>
    </row>
    <row r="80" spans="1:28" x14ac:dyDescent="0.25">
      <c r="A80" s="35"/>
      <c r="B80" s="37"/>
      <c r="C80" s="35"/>
      <c r="D80" s="35"/>
      <c r="E80" s="35"/>
      <c r="F80" s="35"/>
      <c r="G80" s="35"/>
      <c r="H80" s="35"/>
      <c r="I80" s="35"/>
      <c r="J80" s="35"/>
      <c r="L80" s="36"/>
      <c r="M80" s="35"/>
    </row>
    <row r="81" spans="1:19" x14ac:dyDescent="0.25">
      <c r="A81" s="35"/>
      <c r="B81" s="37"/>
      <c r="C81" s="35"/>
      <c r="D81" s="35"/>
      <c r="E81" s="35"/>
      <c r="F81" s="35"/>
      <c r="G81" s="35"/>
      <c r="H81" s="35"/>
      <c r="I81" s="35"/>
      <c r="J81" s="35"/>
      <c r="L81" s="36"/>
      <c r="M81" s="35"/>
    </row>
    <row r="82" spans="1:19" x14ac:dyDescent="0.25">
      <c r="A82" s="35"/>
      <c r="B82" s="37"/>
      <c r="C82" s="35"/>
      <c r="D82" s="35"/>
      <c r="E82" s="35"/>
      <c r="F82" s="35"/>
      <c r="G82" s="35"/>
      <c r="H82" s="35"/>
      <c r="I82" s="35"/>
      <c r="J82" s="35"/>
      <c r="L82" s="36"/>
      <c r="M82" s="35"/>
    </row>
    <row r="83" spans="1:19" ht="15.75" x14ac:dyDescent="0.25">
      <c r="A83" s="43" t="s">
        <v>38</v>
      </c>
      <c r="B83" s="45"/>
      <c r="L83" s="15" t="s">
        <v>38</v>
      </c>
      <c r="M83" s="11"/>
    </row>
    <row r="84" spans="1:19" ht="15.75" x14ac:dyDescent="0.25">
      <c r="A84" s="43"/>
      <c r="B84" s="8" t="s">
        <v>44</v>
      </c>
      <c r="C84" s="39"/>
      <c r="D84" s="8"/>
      <c r="E84" s="8"/>
      <c r="F84" s="8"/>
      <c r="G84" s="8">
        <v>4</v>
      </c>
      <c r="H84" s="8"/>
      <c r="I84" s="8"/>
      <c r="J84" s="8">
        <f t="shared" si="1"/>
        <v>4</v>
      </c>
      <c r="L84" s="21"/>
      <c r="M84" s="8" t="s">
        <v>44</v>
      </c>
      <c r="N84" s="8"/>
      <c r="O84" s="8"/>
      <c r="P84" s="8"/>
      <c r="Q84" s="8"/>
      <c r="R84" s="8"/>
      <c r="S84" s="8"/>
    </row>
    <row r="85" spans="1:19" ht="15.75" x14ac:dyDescent="0.25">
      <c r="A85" s="43"/>
      <c r="B85" s="8" t="s">
        <v>106</v>
      </c>
      <c r="C85" s="39"/>
      <c r="D85" s="8"/>
      <c r="E85" s="8"/>
      <c r="F85" s="8"/>
      <c r="G85" s="8">
        <v>1</v>
      </c>
      <c r="H85" s="8"/>
      <c r="I85" s="8"/>
      <c r="J85" s="8"/>
      <c r="L85" s="21"/>
      <c r="M85" s="8"/>
      <c r="N85" s="8"/>
      <c r="O85" s="8"/>
      <c r="P85" s="8"/>
      <c r="Q85" s="8"/>
      <c r="R85" s="8"/>
      <c r="S85" s="8"/>
    </row>
    <row r="86" spans="1:19" ht="15.75" x14ac:dyDescent="0.25">
      <c r="A86" s="43"/>
      <c r="B86" s="8" t="s">
        <v>77</v>
      </c>
      <c r="C86" s="39"/>
      <c r="D86" s="8"/>
      <c r="E86" s="8"/>
      <c r="F86" s="8"/>
      <c r="G86" s="8">
        <v>2</v>
      </c>
      <c r="H86" s="8"/>
      <c r="I86" s="8">
        <v>1</v>
      </c>
      <c r="J86" s="8">
        <f t="shared" si="1"/>
        <v>3</v>
      </c>
      <c r="L86" s="21"/>
      <c r="M86" s="8" t="s">
        <v>77</v>
      </c>
      <c r="N86" s="8"/>
      <c r="O86" s="8"/>
      <c r="P86" s="8"/>
      <c r="Q86" s="8"/>
      <c r="R86" s="8"/>
      <c r="S86" s="8"/>
    </row>
    <row r="87" spans="1:19" ht="15.75" x14ac:dyDescent="0.25">
      <c r="A87" s="43"/>
      <c r="B87" s="8" t="s">
        <v>78</v>
      </c>
      <c r="C87" s="39"/>
      <c r="D87" s="8"/>
      <c r="E87" s="8"/>
      <c r="F87" s="8"/>
      <c r="G87" s="8">
        <v>1</v>
      </c>
      <c r="H87" s="8"/>
      <c r="I87" s="8"/>
      <c r="J87" s="8">
        <f t="shared" si="1"/>
        <v>1</v>
      </c>
      <c r="L87" s="21"/>
      <c r="M87" s="8" t="s">
        <v>78</v>
      </c>
      <c r="N87" s="8"/>
      <c r="O87" s="8"/>
      <c r="P87" s="8"/>
      <c r="Q87" s="8"/>
      <c r="R87" s="8"/>
      <c r="S87" s="8"/>
    </row>
    <row r="88" spans="1:19" ht="15.75" x14ac:dyDescent="0.25">
      <c r="A88" s="43"/>
      <c r="B88" s="8" t="s">
        <v>42</v>
      </c>
      <c r="C88" s="39"/>
      <c r="D88" s="8"/>
      <c r="E88" s="8"/>
      <c r="F88" s="8"/>
      <c r="G88" s="8">
        <v>2</v>
      </c>
      <c r="H88" s="8"/>
      <c r="I88" s="8"/>
      <c r="J88" s="8">
        <f t="shared" si="1"/>
        <v>2</v>
      </c>
      <c r="L88" s="21"/>
      <c r="M88" s="8" t="s">
        <v>42</v>
      </c>
      <c r="N88" s="8"/>
      <c r="O88" s="8"/>
      <c r="P88" s="8"/>
      <c r="Q88" s="8"/>
      <c r="R88" s="8"/>
      <c r="S88" s="8"/>
    </row>
    <row r="89" spans="1:19" ht="15.75" x14ac:dyDescent="0.25">
      <c r="A89" s="43"/>
      <c r="B89" s="8" t="s">
        <v>76</v>
      </c>
      <c r="C89" s="39"/>
      <c r="D89" s="8"/>
      <c r="E89" s="8"/>
      <c r="F89" s="8"/>
      <c r="G89" s="8">
        <v>1</v>
      </c>
      <c r="H89" s="8"/>
      <c r="I89" s="8"/>
      <c r="J89" s="8">
        <f t="shared" si="1"/>
        <v>1</v>
      </c>
      <c r="L89" s="21"/>
      <c r="M89" s="8" t="s">
        <v>76</v>
      </c>
      <c r="N89" s="8"/>
      <c r="O89" s="8"/>
      <c r="P89" s="8"/>
      <c r="Q89" s="8"/>
      <c r="R89" s="8"/>
      <c r="S89" s="8"/>
    </row>
    <row r="90" spans="1:19" x14ac:dyDescent="0.25">
      <c r="A90" s="35"/>
      <c r="B90" s="8" t="s">
        <v>75</v>
      </c>
      <c r="C90" s="39"/>
      <c r="D90" s="8"/>
      <c r="E90" s="8"/>
      <c r="F90" s="8"/>
      <c r="G90" s="8">
        <v>1</v>
      </c>
      <c r="H90" s="8"/>
      <c r="I90" s="8"/>
      <c r="J90" s="8">
        <f t="shared" si="1"/>
        <v>1</v>
      </c>
      <c r="L90" s="6"/>
      <c r="M90" s="6" t="s">
        <v>75</v>
      </c>
      <c r="N90" s="8"/>
      <c r="O90" s="8"/>
      <c r="P90" s="8"/>
      <c r="Q90" s="8"/>
      <c r="R90" s="8"/>
      <c r="S90" s="8"/>
    </row>
    <row r="91" spans="1:19" ht="15.75" x14ac:dyDescent="0.25">
      <c r="A91" s="43" t="s">
        <v>56</v>
      </c>
      <c r="B91" s="35"/>
      <c r="L91" s="21" t="s">
        <v>56</v>
      </c>
      <c r="M91" s="8"/>
    </row>
    <row r="92" spans="1:19" x14ac:dyDescent="0.25">
      <c r="A92" s="35"/>
      <c r="B92" s="8" t="s">
        <v>57</v>
      </c>
      <c r="C92" s="1">
        <v>62</v>
      </c>
      <c r="D92" s="5">
        <v>130</v>
      </c>
      <c r="E92" s="5">
        <v>155</v>
      </c>
      <c r="F92" s="22">
        <v>24</v>
      </c>
      <c r="G92" s="5">
        <v>21</v>
      </c>
      <c r="H92" s="28"/>
      <c r="I92" s="5">
        <v>69</v>
      </c>
      <c r="J92" s="49">
        <f>SUM(C92:I92)</f>
        <v>461</v>
      </c>
      <c r="L92" s="5"/>
      <c r="M92" s="5" t="s">
        <v>57</v>
      </c>
      <c r="N92" s="8">
        <v>49</v>
      </c>
      <c r="O92" s="8"/>
      <c r="P92" s="8">
        <v>16</v>
      </c>
      <c r="Q92" s="8">
        <v>3</v>
      </c>
      <c r="R92" s="8">
        <v>1</v>
      </c>
      <c r="S92" s="8">
        <f t="shared" ref="S92:S93" si="19">SUM(N92:R92)</f>
        <v>69</v>
      </c>
    </row>
    <row r="93" spans="1:19" x14ac:dyDescent="0.25">
      <c r="A93" s="35"/>
      <c r="B93" s="8" t="s">
        <v>58</v>
      </c>
      <c r="C93" s="39">
        <v>32</v>
      </c>
      <c r="D93" s="8">
        <v>46</v>
      </c>
      <c r="E93" s="8">
        <v>49</v>
      </c>
      <c r="F93" s="8">
        <v>3</v>
      </c>
      <c r="G93" s="8">
        <v>8</v>
      </c>
      <c r="H93" s="8"/>
      <c r="I93" s="8">
        <v>41</v>
      </c>
      <c r="J93" s="8">
        <f t="shared" si="1"/>
        <v>179</v>
      </c>
      <c r="L93" s="8"/>
      <c r="M93" s="8" t="s">
        <v>58</v>
      </c>
      <c r="N93" s="8">
        <v>28</v>
      </c>
      <c r="O93" s="8"/>
      <c r="P93" s="8">
        <v>10</v>
      </c>
      <c r="Q93" s="8">
        <v>1</v>
      </c>
      <c r="R93" s="8">
        <v>2</v>
      </c>
      <c r="S93" s="8">
        <f t="shared" si="19"/>
        <v>41</v>
      </c>
    </row>
    <row r="94" spans="1:19" ht="15.75" x14ac:dyDescent="0.25">
      <c r="A94" s="43" t="s">
        <v>59</v>
      </c>
      <c r="B94" s="35"/>
      <c r="L94" s="29" t="s">
        <v>59</v>
      </c>
      <c r="M94" s="1"/>
    </row>
    <row r="95" spans="1:19" x14ac:dyDescent="0.25">
      <c r="A95" s="35"/>
      <c r="B95" s="8" t="s">
        <v>57</v>
      </c>
      <c r="C95" s="39">
        <v>63</v>
      </c>
      <c r="D95" s="8">
        <v>124</v>
      </c>
      <c r="E95" s="8">
        <v>161</v>
      </c>
      <c r="F95" s="8">
        <v>23</v>
      </c>
      <c r="G95" s="8">
        <v>21</v>
      </c>
      <c r="H95" s="8"/>
      <c r="I95" s="8">
        <v>66</v>
      </c>
      <c r="J95" s="48">
        <f>SUM(C95:I95)</f>
        <v>458</v>
      </c>
      <c r="L95" s="8"/>
      <c r="M95" s="8" t="s">
        <v>57</v>
      </c>
      <c r="N95" s="8">
        <v>46</v>
      </c>
      <c r="O95" s="8"/>
      <c r="P95" s="8">
        <v>16</v>
      </c>
      <c r="Q95" s="8">
        <v>3</v>
      </c>
      <c r="R95" s="8">
        <v>1</v>
      </c>
      <c r="S95" s="8">
        <f t="shared" ref="S95:S96" si="20">SUM(N95:R95)</f>
        <v>66</v>
      </c>
    </row>
    <row r="96" spans="1:19" x14ac:dyDescent="0.25">
      <c r="A96" s="35"/>
      <c r="B96" s="8" t="s">
        <v>58</v>
      </c>
      <c r="C96" s="39">
        <v>29</v>
      </c>
      <c r="D96" s="8">
        <v>47</v>
      </c>
      <c r="E96" s="8">
        <v>40</v>
      </c>
      <c r="F96" s="8">
        <v>5</v>
      </c>
      <c r="G96" s="8">
        <v>8</v>
      </c>
      <c r="H96" s="8"/>
      <c r="I96" s="8">
        <v>42</v>
      </c>
      <c r="J96" s="8">
        <f t="shared" si="1"/>
        <v>171</v>
      </c>
      <c r="L96" s="8"/>
      <c r="M96" s="8" t="s">
        <v>58</v>
      </c>
      <c r="N96" s="8">
        <v>29</v>
      </c>
      <c r="O96" s="8"/>
      <c r="P96" s="8">
        <v>10</v>
      </c>
      <c r="Q96" s="8">
        <v>1</v>
      </c>
      <c r="R96" s="8">
        <v>2</v>
      </c>
      <c r="S96" s="8">
        <f t="shared" si="20"/>
        <v>42</v>
      </c>
    </row>
    <row r="97" spans="1:19" ht="15.75" x14ac:dyDescent="0.25">
      <c r="A97" s="43" t="s">
        <v>60</v>
      </c>
      <c r="B97" s="35"/>
      <c r="L97" s="21" t="s">
        <v>60</v>
      </c>
      <c r="M97" s="8"/>
    </row>
    <row r="98" spans="1:19" x14ac:dyDescent="0.25">
      <c r="A98" s="35"/>
      <c r="B98" s="8" t="s">
        <v>61</v>
      </c>
      <c r="C98" s="1">
        <v>59</v>
      </c>
      <c r="D98" s="5">
        <v>119</v>
      </c>
      <c r="E98" s="5">
        <v>156</v>
      </c>
      <c r="F98" s="22">
        <v>20</v>
      </c>
      <c r="G98" s="5">
        <v>18</v>
      </c>
      <c r="H98" s="28"/>
      <c r="I98" s="5">
        <v>66</v>
      </c>
      <c r="J98" s="49">
        <f t="shared" si="1"/>
        <v>438</v>
      </c>
      <c r="L98" s="8"/>
      <c r="M98" s="8" t="s">
        <v>61</v>
      </c>
      <c r="N98" s="8">
        <v>47</v>
      </c>
      <c r="O98" s="8"/>
      <c r="P98" s="8">
        <v>16</v>
      </c>
      <c r="Q98" s="8">
        <v>3</v>
      </c>
      <c r="R98" s="8">
        <v>0</v>
      </c>
      <c r="S98" s="8">
        <f t="shared" ref="S98:S99" si="21">SUM(N98:R98)</f>
        <v>66</v>
      </c>
    </row>
    <row r="99" spans="1:19" x14ac:dyDescent="0.25">
      <c r="A99" s="35"/>
      <c r="B99" s="8" t="s">
        <v>58</v>
      </c>
      <c r="C99" s="39">
        <v>35</v>
      </c>
      <c r="D99" s="8">
        <v>52</v>
      </c>
      <c r="E99" s="8">
        <v>45</v>
      </c>
      <c r="F99" s="8">
        <v>8</v>
      </c>
      <c r="G99" s="8">
        <v>11</v>
      </c>
      <c r="H99" s="8"/>
      <c r="I99" s="8">
        <v>40</v>
      </c>
      <c r="J99" s="8">
        <f>SUM(C99:I99)</f>
        <v>191</v>
      </c>
      <c r="L99" s="8"/>
      <c r="M99" s="8" t="s">
        <v>58</v>
      </c>
      <c r="N99" s="8">
        <v>27</v>
      </c>
      <c r="O99" s="8"/>
      <c r="P99" s="8">
        <v>10</v>
      </c>
      <c r="Q99" s="8">
        <v>1</v>
      </c>
      <c r="R99" s="8">
        <v>2</v>
      </c>
      <c r="S99" s="8">
        <f t="shared" si="21"/>
        <v>40</v>
      </c>
    </row>
    <row r="100" spans="1:19" ht="15.75" x14ac:dyDescent="0.25">
      <c r="A100" s="43" t="s">
        <v>62</v>
      </c>
      <c r="B100" s="35"/>
      <c r="L100" s="21" t="s">
        <v>62</v>
      </c>
      <c r="M100" s="8"/>
    </row>
    <row r="101" spans="1:19" x14ac:dyDescent="0.25">
      <c r="A101" s="35"/>
      <c r="B101" s="8" t="s">
        <v>57</v>
      </c>
      <c r="C101" s="39">
        <v>58</v>
      </c>
      <c r="D101" s="8">
        <v>119</v>
      </c>
      <c r="E101" s="8">
        <v>154</v>
      </c>
      <c r="F101" s="8">
        <v>20</v>
      </c>
      <c r="G101" s="8">
        <v>21</v>
      </c>
      <c r="H101" s="8"/>
      <c r="I101" s="8">
        <v>63</v>
      </c>
      <c r="J101" s="48">
        <f>SUM(C101:I101)</f>
        <v>435</v>
      </c>
      <c r="K101" s="37"/>
      <c r="L101" s="39"/>
      <c r="M101" s="8" t="s">
        <v>57</v>
      </c>
      <c r="N101" s="8">
        <v>44</v>
      </c>
      <c r="O101" s="8"/>
      <c r="P101" s="8">
        <v>15</v>
      </c>
      <c r="Q101" s="8">
        <v>3</v>
      </c>
      <c r="R101" s="8">
        <v>1</v>
      </c>
      <c r="S101" s="8">
        <f t="shared" ref="S101:S102" si="22">SUM(N101:R101)</f>
        <v>63</v>
      </c>
    </row>
    <row r="102" spans="1:19" x14ac:dyDescent="0.25">
      <c r="A102" s="35"/>
      <c r="B102" s="8" t="s">
        <v>58</v>
      </c>
      <c r="C102" s="39">
        <v>35</v>
      </c>
      <c r="D102" s="8">
        <v>52</v>
      </c>
      <c r="E102" s="8">
        <v>45</v>
      </c>
      <c r="F102" s="8">
        <v>8</v>
      </c>
      <c r="G102" s="8">
        <v>8</v>
      </c>
      <c r="H102" s="8"/>
      <c r="I102" s="8">
        <v>45</v>
      </c>
      <c r="J102" s="8">
        <f t="shared" si="1"/>
        <v>193</v>
      </c>
      <c r="L102" s="8"/>
      <c r="M102" s="8" t="s">
        <v>58</v>
      </c>
      <c r="N102" s="8">
        <v>31</v>
      </c>
      <c r="O102" s="8"/>
      <c r="P102" s="8">
        <v>11</v>
      </c>
      <c r="Q102" s="8">
        <v>1</v>
      </c>
      <c r="R102" s="8">
        <v>2</v>
      </c>
      <c r="S102" s="8">
        <f t="shared" si="22"/>
        <v>45</v>
      </c>
    </row>
    <row r="103" spans="1:19" ht="15.75" x14ac:dyDescent="0.25">
      <c r="A103" s="43" t="s">
        <v>63</v>
      </c>
      <c r="B103" s="35"/>
      <c r="L103" s="21" t="s">
        <v>63</v>
      </c>
      <c r="M103" s="8"/>
    </row>
    <row r="104" spans="1:19" x14ac:dyDescent="0.25">
      <c r="A104" s="35"/>
      <c r="B104" s="8" t="s">
        <v>57</v>
      </c>
      <c r="C104" s="39">
        <v>63</v>
      </c>
      <c r="D104" s="8">
        <v>118</v>
      </c>
      <c r="E104" s="8">
        <v>149</v>
      </c>
      <c r="F104" s="8">
        <v>19</v>
      </c>
      <c r="G104" s="8">
        <v>19</v>
      </c>
      <c r="H104" s="8"/>
      <c r="I104" s="8">
        <v>64</v>
      </c>
      <c r="J104" s="48">
        <f>SUM(C104:I104)</f>
        <v>432</v>
      </c>
      <c r="L104" s="8"/>
      <c r="M104" s="8" t="s">
        <v>57</v>
      </c>
      <c r="N104" s="8">
        <v>43</v>
      </c>
      <c r="O104" s="8"/>
      <c r="P104" s="8">
        <v>17</v>
      </c>
      <c r="Q104" s="8">
        <v>3</v>
      </c>
      <c r="R104" s="8">
        <v>1</v>
      </c>
      <c r="S104" s="8">
        <f t="shared" ref="S104:S105" si="23">SUM(N104:R104)</f>
        <v>64</v>
      </c>
    </row>
    <row r="105" spans="1:19" x14ac:dyDescent="0.25">
      <c r="A105" s="35"/>
      <c r="B105" s="8" t="s">
        <v>58</v>
      </c>
      <c r="C105" s="39">
        <v>29</v>
      </c>
      <c r="D105" s="8">
        <v>52</v>
      </c>
      <c r="E105" s="8">
        <v>51</v>
      </c>
      <c r="F105" s="8">
        <v>8</v>
      </c>
      <c r="G105" s="8">
        <v>10</v>
      </c>
      <c r="H105" s="8"/>
      <c r="I105" s="8">
        <v>43</v>
      </c>
      <c r="J105" s="8">
        <f t="shared" ref="J105:J111" si="24">SUM(C105:I105)</f>
        <v>193</v>
      </c>
      <c r="L105" s="8"/>
      <c r="M105" s="8" t="s">
        <v>58</v>
      </c>
      <c r="N105" s="8">
        <v>31</v>
      </c>
      <c r="O105" s="8"/>
      <c r="P105" s="8">
        <v>9</v>
      </c>
      <c r="Q105" s="8">
        <v>1</v>
      </c>
      <c r="R105" s="8">
        <v>2</v>
      </c>
      <c r="S105" s="8">
        <f t="shared" si="23"/>
        <v>43</v>
      </c>
    </row>
    <row r="106" spans="1:19" ht="15.75" x14ac:dyDescent="0.25">
      <c r="A106" s="43" t="s">
        <v>64</v>
      </c>
      <c r="B106" s="35"/>
      <c r="L106" s="21" t="s">
        <v>64</v>
      </c>
      <c r="M106" s="8"/>
    </row>
    <row r="107" spans="1:19" x14ac:dyDescent="0.25">
      <c r="A107" s="35"/>
      <c r="B107" s="8" t="s">
        <v>61</v>
      </c>
      <c r="C107" s="39">
        <v>60</v>
      </c>
      <c r="D107" s="8">
        <v>129</v>
      </c>
      <c r="E107" s="8">
        <v>158</v>
      </c>
      <c r="F107" s="8">
        <v>20</v>
      </c>
      <c r="G107" s="8">
        <v>22</v>
      </c>
      <c r="H107" s="8"/>
      <c r="I107" s="8">
        <v>74</v>
      </c>
      <c r="J107" s="48">
        <f t="shared" si="24"/>
        <v>463</v>
      </c>
      <c r="L107" s="8"/>
      <c r="M107" s="8" t="s">
        <v>61</v>
      </c>
      <c r="N107" s="8">
        <v>53</v>
      </c>
      <c r="O107" s="8"/>
      <c r="P107" s="8">
        <v>17</v>
      </c>
      <c r="Q107" s="8">
        <v>3</v>
      </c>
      <c r="R107" s="8">
        <v>1</v>
      </c>
      <c r="S107" s="8">
        <f t="shared" ref="S107:S108" si="25">SUM(N107:R107)</f>
        <v>74</v>
      </c>
    </row>
    <row r="108" spans="1:19" x14ac:dyDescent="0.25">
      <c r="A108" s="35"/>
      <c r="B108" s="8" t="s">
        <v>58</v>
      </c>
      <c r="C108" s="39">
        <v>32</v>
      </c>
      <c r="D108" s="8">
        <v>41</v>
      </c>
      <c r="E108" s="8">
        <v>40</v>
      </c>
      <c r="F108" s="8">
        <v>8</v>
      </c>
      <c r="G108" s="8">
        <v>7</v>
      </c>
      <c r="H108" s="8"/>
      <c r="I108" s="8">
        <v>35</v>
      </c>
      <c r="J108" s="8">
        <f t="shared" si="24"/>
        <v>163</v>
      </c>
      <c r="L108" s="8"/>
      <c r="M108" s="8" t="s">
        <v>58</v>
      </c>
      <c r="N108" s="8">
        <v>23</v>
      </c>
      <c r="O108" s="8"/>
      <c r="P108" s="8">
        <v>9</v>
      </c>
      <c r="Q108" s="8">
        <v>1</v>
      </c>
      <c r="R108" s="8">
        <v>2</v>
      </c>
      <c r="S108" s="8">
        <f t="shared" si="25"/>
        <v>35</v>
      </c>
    </row>
    <row r="109" spans="1:19" ht="15.75" x14ac:dyDescent="0.25">
      <c r="A109" s="43" t="s">
        <v>65</v>
      </c>
      <c r="B109" s="35"/>
      <c r="L109" s="21" t="s">
        <v>65</v>
      </c>
      <c r="M109" s="8"/>
    </row>
    <row r="110" spans="1:19" x14ac:dyDescent="0.25">
      <c r="A110" s="35"/>
      <c r="B110" s="8" t="s">
        <v>57</v>
      </c>
      <c r="C110" s="39">
        <v>65</v>
      </c>
      <c r="D110" s="8">
        <v>124</v>
      </c>
      <c r="E110" s="8">
        <v>158</v>
      </c>
      <c r="F110" s="8">
        <v>25</v>
      </c>
      <c r="G110" s="8">
        <v>22</v>
      </c>
      <c r="H110" s="8"/>
      <c r="I110" s="8">
        <v>68</v>
      </c>
      <c r="J110" s="48">
        <f t="shared" si="24"/>
        <v>462</v>
      </c>
      <c r="L110" s="8"/>
      <c r="M110" s="8" t="s">
        <v>57</v>
      </c>
      <c r="N110" s="8">
        <v>47</v>
      </c>
      <c r="O110" s="8"/>
      <c r="P110" s="8">
        <v>17</v>
      </c>
      <c r="Q110" s="8">
        <v>3</v>
      </c>
      <c r="R110" s="8">
        <v>1</v>
      </c>
      <c r="S110" s="8">
        <f t="shared" ref="S110:S111" si="26">SUM(N110:R110)</f>
        <v>68</v>
      </c>
    </row>
    <row r="111" spans="1:19" x14ac:dyDescent="0.25">
      <c r="A111" s="35"/>
      <c r="B111" s="8" t="s">
        <v>58</v>
      </c>
      <c r="C111" s="39">
        <v>28</v>
      </c>
      <c r="D111" s="8">
        <v>47</v>
      </c>
      <c r="E111" s="8">
        <v>45</v>
      </c>
      <c r="F111" s="8">
        <v>4</v>
      </c>
      <c r="G111" s="8">
        <v>7</v>
      </c>
      <c r="H111" s="8"/>
      <c r="I111" s="8">
        <v>41</v>
      </c>
      <c r="J111" s="8">
        <f t="shared" si="24"/>
        <v>172</v>
      </c>
      <c r="L111" s="8"/>
      <c r="M111" s="38" t="s">
        <v>58</v>
      </c>
      <c r="N111" s="8">
        <v>29</v>
      </c>
      <c r="O111" s="8"/>
      <c r="P111" s="8">
        <v>9</v>
      </c>
      <c r="Q111" s="8">
        <v>1</v>
      </c>
      <c r="R111" s="8">
        <v>2</v>
      </c>
      <c r="S111" s="8">
        <f t="shared" si="26"/>
        <v>41</v>
      </c>
    </row>
    <row r="113" spans="1:10" x14ac:dyDescent="0.25">
      <c r="J113" t="s">
        <v>70</v>
      </c>
    </row>
    <row r="114" spans="1:10" x14ac:dyDescent="0.25">
      <c r="A114" t="s">
        <v>93</v>
      </c>
    </row>
    <row r="115" spans="1:10" x14ac:dyDescent="0.25">
      <c r="A115" t="s">
        <v>94</v>
      </c>
    </row>
    <row r="116" spans="1:10" x14ac:dyDescent="0.25">
      <c r="A116" t="s">
        <v>95</v>
      </c>
    </row>
    <row r="117" spans="1:10" x14ac:dyDescent="0.25">
      <c r="A117" t="s">
        <v>96</v>
      </c>
    </row>
    <row r="120" spans="1:10" x14ac:dyDescent="0.25">
      <c r="A120" t="s">
        <v>45</v>
      </c>
    </row>
    <row r="122" spans="1:10" x14ac:dyDescent="0.25">
      <c r="A122" t="s">
        <v>47</v>
      </c>
      <c r="E122" t="s">
        <v>47</v>
      </c>
    </row>
    <row r="123" spans="1:10" x14ac:dyDescent="0.25">
      <c r="A123" t="s">
        <v>46</v>
      </c>
      <c r="E123" t="s">
        <v>49</v>
      </c>
    </row>
    <row r="125" spans="1:10" x14ac:dyDescent="0.25">
      <c r="A125" t="s">
        <v>47</v>
      </c>
      <c r="E125" t="s">
        <v>47</v>
      </c>
    </row>
    <row r="126" spans="1:10" x14ac:dyDescent="0.25">
      <c r="A126" t="s">
        <v>48</v>
      </c>
      <c r="E126" t="s">
        <v>50</v>
      </c>
    </row>
  </sheetData>
  <pageMargins left="0.7" right="0.7" top="0.75" bottom="0.75" header="0.3" footer="0.3"/>
  <pageSetup orientation="portrait" r:id="rId1"/>
  <headerFooter>
    <oddHeader>&amp;C&amp;"-,Bold"&amp;14Abstract of Votes Cast at the General Election in Comanche County, State of KS, on the 5
5th day of November,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Sheet2</vt:lpstr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Huck</dc:creator>
  <cp:lastModifiedBy>Casey Huck</cp:lastModifiedBy>
  <cp:lastPrinted>2024-11-22T16:19:01Z</cp:lastPrinted>
  <dcterms:created xsi:type="dcterms:W3CDTF">2024-08-22T13:23:17Z</dcterms:created>
  <dcterms:modified xsi:type="dcterms:W3CDTF">2024-11-22T16:19:05Z</dcterms:modified>
</cp:coreProperties>
</file>