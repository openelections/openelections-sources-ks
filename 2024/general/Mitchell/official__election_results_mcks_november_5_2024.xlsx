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21aeb91e660e24/Desktop/01-Greg/01-Storage/01-MCKS Gov/2024/"/>
    </mc:Choice>
  </mc:AlternateContent>
  <xr:revisionPtr revIDLastSave="0" documentId="13_ncr:1_{F16A2AD6-3810-4519-8A31-18A34BC9D946}" xr6:coauthVersionLast="47" xr6:coauthVersionMax="47" xr10:uidLastSave="{00000000-0000-0000-0000-000000000000}"/>
  <bookViews>
    <workbookView xWindow="-120" yWindow="-120" windowWidth="29040" windowHeight="15840" xr2:uid="{EAD79270-858F-4A43-9306-2D8C4EC98D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8" i="1" l="1"/>
  <c r="F109" i="1"/>
  <c r="F105" i="1"/>
  <c r="F104" i="1"/>
  <c r="F101" i="1"/>
  <c r="F100" i="1"/>
  <c r="AG5" i="1"/>
  <c r="AG6" i="1"/>
  <c r="AG7" i="1"/>
  <c r="AG10" i="1"/>
  <c r="AG11" i="1"/>
  <c r="AG14" i="1"/>
  <c r="AG17" i="1"/>
  <c r="AG20" i="1"/>
  <c r="AG23" i="1"/>
  <c r="AG26" i="1"/>
  <c r="AG29" i="1"/>
  <c r="AG32" i="1"/>
  <c r="AG35" i="1"/>
  <c r="AG38" i="1"/>
  <c r="AG41" i="1"/>
  <c r="AG44" i="1"/>
  <c r="AG45" i="1"/>
  <c r="AG48" i="1"/>
  <c r="AG49" i="1"/>
  <c r="AG52" i="1"/>
  <c r="AG53" i="1"/>
  <c r="AG56" i="1"/>
  <c r="AG57" i="1"/>
  <c r="AG60" i="1"/>
  <c r="AG61" i="1"/>
  <c r="AG64" i="1"/>
  <c r="AG65" i="1"/>
  <c r="AG68" i="1"/>
  <c r="AG69" i="1"/>
  <c r="AG72" i="1"/>
  <c r="AG73" i="1"/>
  <c r="AG76" i="1"/>
  <c r="AG77" i="1"/>
  <c r="AG80" i="1"/>
  <c r="AG81" i="1"/>
  <c r="AG84" i="1"/>
  <c r="AG85" i="1"/>
  <c r="AG88" i="1"/>
  <c r="AG89" i="1"/>
  <c r="AG92" i="1"/>
  <c r="AG93" i="1"/>
  <c r="AG4" i="1"/>
</calcChain>
</file>

<file path=xl/sharedStrings.xml><?xml version="1.0" encoding="utf-8"?>
<sst xmlns="http://schemas.openxmlformats.org/spreadsheetml/2006/main" count="208" uniqueCount="86">
  <si>
    <t>President/Vice President</t>
  </si>
  <si>
    <t>US Representative</t>
  </si>
  <si>
    <t>KS Senator</t>
  </si>
  <si>
    <t>KS Representative</t>
  </si>
  <si>
    <t>County Clerk</t>
  </si>
  <si>
    <t>Treasurer</t>
  </si>
  <si>
    <t>Register of Deeds</t>
  </si>
  <si>
    <t>Sheriff</t>
  </si>
  <si>
    <t>County Attorney</t>
  </si>
  <si>
    <t>Yes</t>
  </si>
  <si>
    <t>No</t>
  </si>
  <si>
    <t>Cawker City</t>
  </si>
  <si>
    <t>TOTAL</t>
  </si>
  <si>
    <t>Court of Appeals - Warner</t>
  </si>
  <si>
    <t>Court of Appeals - Bruns</t>
  </si>
  <si>
    <t>Court of Appeals - Atcheson</t>
  </si>
  <si>
    <t>Court of Appeals - Gardner</t>
  </si>
  <si>
    <t>District Court Judge - Cudney</t>
  </si>
  <si>
    <t>Oliver / ter Maat (Lib)</t>
  </si>
  <si>
    <t>Trump / Vance (Rep)</t>
  </si>
  <si>
    <t>Harris / Walz (Dem)</t>
  </si>
  <si>
    <t>Kennedy / Shanahan (Ind)</t>
  </si>
  <si>
    <t>Paul Buskirk (Dem)</t>
  </si>
  <si>
    <t>Tracey Mann (Rep)</t>
  </si>
  <si>
    <t>Elaine S Bowers (Rep)</t>
  </si>
  <si>
    <t>Dawn Wolf (Rep)</t>
  </si>
  <si>
    <t>County Commission - 2nd District</t>
  </si>
  <si>
    <t>County Commission - 3rd District</t>
  </si>
  <si>
    <t>Mike Riemann (Rep)</t>
  </si>
  <si>
    <t>Cole Eberle (Rep)</t>
  </si>
  <si>
    <t>Heather Weston (Rep)</t>
  </si>
  <si>
    <t>Michelle Langham (Rep)</t>
  </si>
  <si>
    <t>Tami Eck (Rep)</t>
  </si>
  <si>
    <t>Anthony "Tony" Perez (Rep)</t>
  </si>
  <si>
    <t>Mark J Noah (Rep)</t>
  </si>
  <si>
    <t>Dissolve Salt Creek Township</t>
  </si>
  <si>
    <t>Court of Appeals - Arnold-Burger</t>
  </si>
  <si>
    <t>Court of Appeals - Pickering</t>
  </si>
  <si>
    <t>USD 273 Proposition #1</t>
  </si>
  <si>
    <t>USD 273 Proposition #2</t>
  </si>
  <si>
    <t>USD 273 Proposition #3</t>
  </si>
  <si>
    <t>City of Beloit 1st Comm</t>
  </si>
  <si>
    <t>City of Beloit 2nd Comm</t>
  </si>
  <si>
    <t>Lulu Township</t>
  </si>
  <si>
    <t>Asherville Township</t>
  </si>
  <si>
    <t>Logan Township</t>
  </si>
  <si>
    <t>Eureka Twp USD 273</t>
  </si>
  <si>
    <t>Plum Creek Township</t>
  </si>
  <si>
    <t>Beloit Twp 2nd Comm</t>
  </si>
  <si>
    <t>Bloomfield Township</t>
  </si>
  <si>
    <t>Salt Creek Twp USD 273</t>
  </si>
  <si>
    <t>Solmn Rpds USD 273</t>
  </si>
  <si>
    <t>Turkey Creek USD 273</t>
  </si>
  <si>
    <t>Center Township</t>
  </si>
  <si>
    <t>Round Spgs USD 273</t>
  </si>
  <si>
    <t>Glen Elder Township</t>
  </si>
  <si>
    <t>Hayes Township</t>
  </si>
  <si>
    <t>Blue Hill Twp USD 273</t>
  </si>
  <si>
    <t>Cawker Township</t>
  </si>
  <si>
    <t>Carr Creek Township</t>
  </si>
  <si>
    <t>Pittsburg Township</t>
  </si>
  <si>
    <t>Custer Township</t>
  </si>
  <si>
    <t>Walnut Crk Township</t>
  </si>
  <si>
    <t>Mayor - Cawker City</t>
  </si>
  <si>
    <t>Douglas J. Bader</t>
  </si>
  <si>
    <t>City Council - Cawker City</t>
  </si>
  <si>
    <t>Teresa Cobb</t>
  </si>
  <si>
    <t>Jamie Cunningham</t>
  </si>
  <si>
    <t>Court of Appeals - Coble</t>
  </si>
  <si>
    <t>Eureka Township</t>
  </si>
  <si>
    <t>Beloit Township</t>
  </si>
  <si>
    <t>Salt Creek Township</t>
  </si>
  <si>
    <t>Solomon Rapids Twp</t>
  </si>
  <si>
    <t>Turkey Creek Township</t>
  </si>
  <si>
    <t>Blue Hill Township</t>
  </si>
  <si>
    <t>Round Spgs Township</t>
  </si>
  <si>
    <t xml:space="preserve">Jewell County </t>
  </si>
  <si>
    <t>Cloud County</t>
  </si>
  <si>
    <t>Prop #1</t>
  </si>
  <si>
    <t>Prop #2</t>
  </si>
  <si>
    <t>Prop #3</t>
  </si>
  <si>
    <t>Ottawa County</t>
  </si>
  <si>
    <t>TOTAL SCHOOL BOND VOTES</t>
  </si>
  <si>
    <r>
      <t xml:space="preserve">OFFICIAL RESULTS - NOVEMBER 5, 2024  </t>
    </r>
    <r>
      <rPr>
        <b/>
        <sz val="26"/>
        <color theme="1"/>
        <rFont val="Arial Narrow"/>
        <family val="2"/>
      </rPr>
      <t>National, State, County, Special Questions, Juducial Retention</t>
    </r>
  </si>
  <si>
    <t>OFFICIAL RESULTS 2024 GENERAL ELECTION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</si>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</sst>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b/>
      <sz val="36"/>
      <color theme="1"/>
      <name val="Arial Narrow"/>
      <family val="2"/>
    </font>
    <font>
      <b/>
      <sz val="26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rgb="FF7030A0"/>
      <name val="Arial Narrow"/>
      <family val="2"/>
    </font>
    <font>
      <b/>
      <u/>
      <sz val="12"/>
      <color theme="1"/>
      <name val="Arial Narrow"/>
      <family val="2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4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1" fillId="3" borderId="6" xfId="0" applyFont="1" applyFill="1" applyBorder="1"/>
    <xf numFmtId="0" fontId="1" fillId="0" borderId="9" xfId="0" applyFont="1" applyBorder="1"/>
    <xf numFmtId="0" fontId="2" fillId="0" borderId="5" xfId="0" applyFont="1" applyBorder="1" applyAlignment="1">
      <alignment horizontal="center"/>
    </xf>
    <xf numFmtId="0" fontId="2" fillId="4" borderId="7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2" fillId="3" borderId="7" xfId="0" applyFont="1" applyFill="1" applyBorder="1"/>
    <xf numFmtId="0" fontId="1" fillId="0" borderId="8" xfId="0" applyFont="1" applyBorder="1"/>
    <xf numFmtId="0" fontId="2" fillId="0" borderId="4" xfId="0" applyFont="1" applyBorder="1"/>
    <xf numFmtId="0" fontId="4" fillId="0" borderId="10" xfId="0" applyFont="1" applyBorder="1" applyAlignment="1">
      <alignment horizontal="centerContinuous"/>
    </xf>
    <xf numFmtId="0" fontId="4" fillId="0" borderId="11" xfId="0" applyFont="1" applyBorder="1" applyAlignment="1">
      <alignment horizontal="centerContinuous"/>
    </xf>
    <xf numFmtId="0" fontId="4" fillId="0" borderId="12" xfId="0" applyFont="1" applyBorder="1" applyAlignment="1">
      <alignment horizontal="centerContinuous"/>
    </xf>
    <xf numFmtId="0" fontId="7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1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0" fillId="0" borderId="5" xfId="0" applyBorder="1"/>
    <xf numFmtId="0" fontId="1" fillId="5" borderId="6" xfId="0" applyFont="1" applyFill="1" applyBorder="1"/>
    <xf numFmtId="0" fontId="9" fillId="4" borderId="7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79DD-BED0-4A85-A813-FD090584BD75}">
  <sheetPr>
    <pageSetUpPr fitToPage="1"/>
  </sheetPr>
  <dimension ref="A1:AG136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RowHeight="15.75" x14ac:dyDescent="0.25"/>
  <cols>
    <col min="1" max="1" width="31.7109375" style="2" customWidth="1"/>
    <col min="2" max="31" width="10.7109375" style="1" customWidth="1"/>
    <col min="32" max="32" width="9.140625" style="2" hidden="1" customWidth="1"/>
    <col min="33" max="33" width="15.85546875" style="2" customWidth="1"/>
    <col min="34" max="16384" width="9.140625" style="2"/>
  </cols>
  <sheetData>
    <row r="1" spans="1:33" s="5" customFormat="1" ht="46.5" thickBot="1" x14ac:dyDescent="0.7">
      <c r="A1" s="33" t="s">
        <v>83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5"/>
    </row>
    <row r="2" spans="1:33" ht="42" customHeight="1" x14ac:dyDescent="0.25">
      <c r="A2" s="17"/>
      <c r="B2" s="18" t="s">
        <v>41</v>
      </c>
      <c r="C2" s="18" t="s">
        <v>42</v>
      </c>
      <c r="D2" s="19" t="s">
        <v>11</v>
      </c>
      <c r="E2" s="18" t="s">
        <v>44</v>
      </c>
      <c r="F2" s="18" t="s">
        <v>70</v>
      </c>
      <c r="G2" s="18" t="s">
        <v>48</v>
      </c>
      <c r="H2" s="18" t="s">
        <v>49</v>
      </c>
      <c r="I2" s="18" t="s">
        <v>74</v>
      </c>
      <c r="J2" s="18" t="s">
        <v>57</v>
      </c>
      <c r="K2" s="18" t="s">
        <v>59</v>
      </c>
      <c r="L2" s="18" t="s">
        <v>58</v>
      </c>
      <c r="M2" s="18" t="s">
        <v>53</v>
      </c>
      <c r="N2" s="18" t="s">
        <v>61</v>
      </c>
      <c r="O2" s="18" t="s">
        <v>69</v>
      </c>
      <c r="P2" s="18" t="s">
        <v>46</v>
      </c>
      <c r="Q2" s="18" t="s">
        <v>55</v>
      </c>
      <c r="R2" s="18" t="s">
        <v>56</v>
      </c>
      <c r="S2" s="18" t="s">
        <v>45</v>
      </c>
      <c r="T2" s="18" t="s">
        <v>43</v>
      </c>
      <c r="U2" s="18" t="s">
        <v>60</v>
      </c>
      <c r="V2" s="18" t="s">
        <v>47</v>
      </c>
      <c r="W2" s="18" t="s">
        <v>75</v>
      </c>
      <c r="X2" s="18" t="s">
        <v>54</v>
      </c>
      <c r="Y2" s="18" t="s">
        <v>71</v>
      </c>
      <c r="Z2" s="18" t="s">
        <v>50</v>
      </c>
      <c r="AA2" s="18" t="s">
        <v>72</v>
      </c>
      <c r="AB2" s="18" t="s">
        <v>51</v>
      </c>
      <c r="AC2" s="18" t="s">
        <v>73</v>
      </c>
      <c r="AD2" s="18" t="s">
        <v>52</v>
      </c>
      <c r="AE2" s="18" t="s">
        <v>62</v>
      </c>
      <c r="AF2" s="32"/>
      <c r="AG2" s="26" t="s">
        <v>12</v>
      </c>
    </row>
    <row r="3" spans="1:33" x14ac:dyDescent="0.25">
      <c r="A3" s="20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5"/>
      <c r="AG3" s="27"/>
    </row>
    <row r="4" spans="1:33" x14ac:dyDescent="0.25">
      <c r="A4" s="21" t="s">
        <v>18</v>
      </c>
      <c r="B4" s="3">
        <v>3</v>
      </c>
      <c r="C4" s="3">
        <v>1</v>
      </c>
      <c r="D4" s="3">
        <v>0</v>
      </c>
      <c r="E4" s="3">
        <v>0</v>
      </c>
      <c r="F4" s="3">
        <v>2</v>
      </c>
      <c r="G4" s="3"/>
      <c r="H4" s="3">
        <v>1</v>
      </c>
      <c r="I4" s="3">
        <v>1</v>
      </c>
      <c r="J4" s="3"/>
      <c r="K4" s="3">
        <v>0</v>
      </c>
      <c r="L4" s="3">
        <v>0</v>
      </c>
      <c r="M4" s="3">
        <v>0</v>
      </c>
      <c r="N4" s="3">
        <v>0</v>
      </c>
      <c r="O4" s="3">
        <v>0</v>
      </c>
      <c r="P4" s="3"/>
      <c r="Q4" s="3">
        <v>1</v>
      </c>
      <c r="R4" s="3">
        <v>1</v>
      </c>
      <c r="S4" s="3">
        <v>0</v>
      </c>
      <c r="T4" s="3">
        <v>1</v>
      </c>
      <c r="U4" s="3">
        <v>0</v>
      </c>
      <c r="V4" s="3">
        <v>0</v>
      </c>
      <c r="W4" s="3">
        <v>0</v>
      </c>
      <c r="X4" s="3"/>
      <c r="Y4" s="3">
        <v>0</v>
      </c>
      <c r="Z4" s="3"/>
      <c r="AA4" s="3">
        <v>0</v>
      </c>
      <c r="AB4" s="3"/>
      <c r="AC4" s="3">
        <v>0</v>
      </c>
      <c r="AD4" s="3"/>
      <c r="AE4" s="3">
        <v>0</v>
      </c>
      <c r="AF4" s="4"/>
      <c r="AG4" s="28">
        <f>SUM(B4:AE4)</f>
        <v>11</v>
      </c>
    </row>
    <row r="5" spans="1:33" x14ac:dyDescent="0.25">
      <c r="A5" s="21" t="s">
        <v>19</v>
      </c>
      <c r="B5" s="3">
        <v>657</v>
      </c>
      <c r="C5" s="3">
        <v>792</v>
      </c>
      <c r="D5" s="3">
        <v>180</v>
      </c>
      <c r="E5" s="3">
        <v>49</v>
      </c>
      <c r="F5" s="3">
        <v>116</v>
      </c>
      <c r="G5" s="3"/>
      <c r="H5" s="3">
        <v>39</v>
      </c>
      <c r="I5" s="3">
        <v>22</v>
      </c>
      <c r="J5" s="3"/>
      <c r="K5" s="3">
        <v>14</v>
      </c>
      <c r="L5" s="3">
        <v>28</v>
      </c>
      <c r="M5" s="3">
        <v>12</v>
      </c>
      <c r="N5" s="3">
        <v>46</v>
      </c>
      <c r="O5" s="3">
        <v>6</v>
      </c>
      <c r="P5" s="3"/>
      <c r="Q5" s="3">
        <v>213</v>
      </c>
      <c r="R5" s="3">
        <v>14</v>
      </c>
      <c r="S5" s="3">
        <v>37</v>
      </c>
      <c r="T5" s="3">
        <v>39</v>
      </c>
      <c r="U5" s="3">
        <v>131</v>
      </c>
      <c r="V5" s="3">
        <v>76</v>
      </c>
      <c r="W5" s="3">
        <v>15</v>
      </c>
      <c r="X5" s="3"/>
      <c r="Y5" s="3">
        <v>9</v>
      </c>
      <c r="Z5" s="3"/>
      <c r="AA5" s="3">
        <v>33</v>
      </c>
      <c r="AB5" s="3"/>
      <c r="AC5" s="3">
        <v>54</v>
      </c>
      <c r="AD5" s="3"/>
      <c r="AE5" s="3">
        <v>26</v>
      </c>
      <c r="AF5" s="4"/>
      <c r="AG5" s="28">
        <f t="shared" ref="AG5:AG68" si="0">SUM(B5:AE5)</f>
        <v>2608</v>
      </c>
    </row>
    <row r="6" spans="1:33" x14ac:dyDescent="0.25">
      <c r="A6" s="21" t="s">
        <v>20</v>
      </c>
      <c r="B6" s="3">
        <v>177</v>
      </c>
      <c r="C6" s="3">
        <v>172</v>
      </c>
      <c r="D6" s="3">
        <v>32</v>
      </c>
      <c r="E6" s="3">
        <v>12</v>
      </c>
      <c r="F6" s="3">
        <v>13</v>
      </c>
      <c r="G6" s="3"/>
      <c r="H6" s="3">
        <v>4</v>
      </c>
      <c r="I6" s="3">
        <v>1</v>
      </c>
      <c r="J6" s="3"/>
      <c r="K6" s="3">
        <v>1</v>
      </c>
      <c r="L6" s="3">
        <v>1</v>
      </c>
      <c r="M6" s="3">
        <v>3</v>
      </c>
      <c r="N6" s="3">
        <v>5</v>
      </c>
      <c r="O6" s="3">
        <v>4</v>
      </c>
      <c r="P6" s="3"/>
      <c r="Q6" s="3">
        <v>38</v>
      </c>
      <c r="R6" s="3">
        <v>2</v>
      </c>
      <c r="S6" s="3">
        <v>8</v>
      </c>
      <c r="T6" s="3">
        <v>6</v>
      </c>
      <c r="U6" s="3">
        <v>11</v>
      </c>
      <c r="V6" s="3">
        <v>10</v>
      </c>
      <c r="W6" s="3">
        <v>0</v>
      </c>
      <c r="X6" s="3"/>
      <c r="Y6" s="3">
        <v>4</v>
      </c>
      <c r="Z6" s="3"/>
      <c r="AA6" s="3">
        <v>12</v>
      </c>
      <c r="AB6" s="3"/>
      <c r="AC6" s="3">
        <v>8</v>
      </c>
      <c r="AD6" s="3"/>
      <c r="AE6" s="3">
        <v>4</v>
      </c>
      <c r="AF6" s="4"/>
      <c r="AG6" s="28">
        <f t="shared" si="0"/>
        <v>528</v>
      </c>
    </row>
    <row r="7" spans="1:33" x14ac:dyDescent="0.25">
      <c r="A7" s="21" t="s">
        <v>21</v>
      </c>
      <c r="B7" s="3">
        <v>7</v>
      </c>
      <c r="C7" s="3">
        <v>7</v>
      </c>
      <c r="D7" s="3">
        <v>4</v>
      </c>
      <c r="E7" s="3">
        <v>0</v>
      </c>
      <c r="F7" s="3">
        <v>0</v>
      </c>
      <c r="G7" s="3"/>
      <c r="H7" s="3">
        <v>0</v>
      </c>
      <c r="I7" s="3">
        <v>0</v>
      </c>
      <c r="J7" s="3"/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>
        <v>2</v>
      </c>
      <c r="R7" s="3">
        <v>0</v>
      </c>
      <c r="S7" s="3">
        <v>0</v>
      </c>
      <c r="T7" s="3">
        <v>0</v>
      </c>
      <c r="U7" s="3">
        <v>3</v>
      </c>
      <c r="V7" s="3">
        <v>0</v>
      </c>
      <c r="W7" s="3">
        <v>1</v>
      </c>
      <c r="X7" s="3"/>
      <c r="Y7" s="3">
        <v>0</v>
      </c>
      <c r="Z7" s="3"/>
      <c r="AA7" s="3">
        <v>1</v>
      </c>
      <c r="AB7" s="3"/>
      <c r="AC7" s="3">
        <v>0</v>
      </c>
      <c r="AD7" s="3"/>
      <c r="AE7" s="3">
        <v>0</v>
      </c>
      <c r="AF7" s="4"/>
      <c r="AG7" s="28">
        <f t="shared" si="0"/>
        <v>25</v>
      </c>
    </row>
    <row r="8" spans="1:33" x14ac:dyDescent="0.25">
      <c r="A8" s="2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4"/>
      <c r="AG8" s="28"/>
    </row>
    <row r="9" spans="1:33" x14ac:dyDescent="0.25">
      <c r="A9" s="20" t="s">
        <v>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/>
      <c r="AG9" s="27"/>
    </row>
    <row r="10" spans="1:33" x14ac:dyDescent="0.25">
      <c r="A10" s="21" t="s">
        <v>22</v>
      </c>
      <c r="B10" s="3">
        <v>134</v>
      </c>
      <c r="C10" s="3">
        <v>124</v>
      </c>
      <c r="D10" s="3">
        <v>26</v>
      </c>
      <c r="E10" s="3">
        <v>9</v>
      </c>
      <c r="F10" s="3">
        <v>9</v>
      </c>
      <c r="G10" s="3"/>
      <c r="H10" s="3">
        <v>5</v>
      </c>
      <c r="I10" s="3">
        <v>1</v>
      </c>
      <c r="J10" s="3"/>
      <c r="K10" s="3">
        <v>1</v>
      </c>
      <c r="L10" s="3">
        <v>0</v>
      </c>
      <c r="M10" s="3">
        <v>3</v>
      </c>
      <c r="N10" s="3">
        <v>4</v>
      </c>
      <c r="O10" s="3">
        <v>4</v>
      </c>
      <c r="P10" s="3"/>
      <c r="Q10" s="3">
        <v>31</v>
      </c>
      <c r="R10" s="3">
        <v>1</v>
      </c>
      <c r="S10" s="3">
        <v>6</v>
      </c>
      <c r="T10" s="3">
        <v>2</v>
      </c>
      <c r="U10" s="3">
        <v>9</v>
      </c>
      <c r="V10" s="3">
        <v>4</v>
      </c>
      <c r="W10" s="3">
        <v>0</v>
      </c>
      <c r="X10" s="3"/>
      <c r="Y10" s="3">
        <v>2</v>
      </c>
      <c r="Z10" s="3"/>
      <c r="AA10" s="3">
        <v>8</v>
      </c>
      <c r="AB10" s="3"/>
      <c r="AC10" s="3">
        <v>6</v>
      </c>
      <c r="AD10" s="3"/>
      <c r="AE10" s="3">
        <v>4</v>
      </c>
      <c r="AF10" s="4"/>
      <c r="AG10" s="28">
        <f t="shared" si="0"/>
        <v>393</v>
      </c>
    </row>
    <row r="11" spans="1:33" x14ac:dyDescent="0.25">
      <c r="A11" s="21" t="s">
        <v>23</v>
      </c>
      <c r="B11" s="3">
        <v>695</v>
      </c>
      <c r="C11" s="3">
        <v>843</v>
      </c>
      <c r="D11" s="3">
        <v>190</v>
      </c>
      <c r="E11" s="3">
        <v>52</v>
      </c>
      <c r="F11" s="3">
        <v>120</v>
      </c>
      <c r="G11" s="3"/>
      <c r="H11" s="3">
        <v>39</v>
      </c>
      <c r="I11" s="3">
        <v>22</v>
      </c>
      <c r="J11" s="3"/>
      <c r="K11" s="3">
        <v>14</v>
      </c>
      <c r="L11" s="3">
        <v>28</v>
      </c>
      <c r="M11" s="3">
        <v>12</v>
      </c>
      <c r="N11" s="3">
        <v>47</v>
      </c>
      <c r="O11" s="3">
        <v>6</v>
      </c>
      <c r="P11" s="3"/>
      <c r="Q11" s="3">
        <v>220</v>
      </c>
      <c r="R11" s="3">
        <v>16</v>
      </c>
      <c r="S11" s="3">
        <v>38</v>
      </c>
      <c r="T11" s="3">
        <v>43</v>
      </c>
      <c r="U11" s="3">
        <v>136</v>
      </c>
      <c r="V11" s="3">
        <v>79</v>
      </c>
      <c r="W11" s="3">
        <v>16</v>
      </c>
      <c r="X11" s="3"/>
      <c r="Y11" s="3">
        <v>11</v>
      </c>
      <c r="Z11" s="3"/>
      <c r="AA11" s="3">
        <v>35</v>
      </c>
      <c r="AB11" s="3"/>
      <c r="AC11" s="3">
        <v>56</v>
      </c>
      <c r="AD11" s="3"/>
      <c r="AE11" s="3">
        <v>26</v>
      </c>
      <c r="AF11" s="4"/>
      <c r="AG11" s="28">
        <f t="shared" si="0"/>
        <v>2744</v>
      </c>
    </row>
    <row r="12" spans="1:33" x14ac:dyDescent="0.25">
      <c r="A12" s="2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4"/>
      <c r="AG12" s="28"/>
    </row>
    <row r="13" spans="1:33" x14ac:dyDescent="0.25">
      <c r="A13" s="20" t="s">
        <v>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/>
      <c r="AG13" s="27"/>
    </row>
    <row r="14" spans="1:33" x14ac:dyDescent="0.25">
      <c r="A14" s="21" t="s">
        <v>24</v>
      </c>
      <c r="B14" s="3">
        <v>785</v>
      </c>
      <c r="C14" s="3">
        <v>923</v>
      </c>
      <c r="D14" s="3">
        <v>213</v>
      </c>
      <c r="E14" s="3">
        <v>57</v>
      </c>
      <c r="F14" s="3">
        <v>128</v>
      </c>
      <c r="G14" s="3"/>
      <c r="H14" s="3">
        <v>44</v>
      </c>
      <c r="I14" s="3">
        <v>23</v>
      </c>
      <c r="J14" s="3"/>
      <c r="K14" s="3">
        <v>15</v>
      </c>
      <c r="L14" s="3">
        <v>22</v>
      </c>
      <c r="M14" s="3">
        <v>14</v>
      </c>
      <c r="N14" s="3">
        <v>48</v>
      </c>
      <c r="O14" s="3">
        <v>10</v>
      </c>
      <c r="P14" s="3"/>
      <c r="Q14" s="3">
        <v>241</v>
      </c>
      <c r="R14" s="3">
        <v>17</v>
      </c>
      <c r="S14" s="3">
        <v>42</v>
      </c>
      <c r="T14" s="3">
        <v>47</v>
      </c>
      <c r="U14" s="3">
        <v>138</v>
      </c>
      <c r="V14" s="3">
        <v>83</v>
      </c>
      <c r="W14" s="3">
        <v>15</v>
      </c>
      <c r="X14" s="3"/>
      <c r="Y14" s="3">
        <v>13</v>
      </c>
      <c r="Z14" s="3"/>
      <c r="AA14" s="3">
        <v>39</v>
      </c>
      <c r="AB14" s="3"/>
      <c r="AC14" s="3">
        <v>62</v>
      </c>
      <c r="AD14" s="3"/>
      <c r="AE14" s="3">
        <v>27</v>
      </c>
      <c r="AF14" s="4"/>
      <c r="AG14" s="28">
        <f t="shared" si="0"/>
        <v>3006</v>
      </c>
    </row>
    <row r="15" spans="1:33" x14ac:dyDescent="0.25">
      <c r="A15" s="21"/>
      <c r="B15" s="3"/>
      <c r="C15" s="3"/>
      <c r="D15" s="3"/>
      <c r="E15" s="3"/>
      <c r="F15" s="3"/>
      <c r="G15" s="14"/>
      <c r="H15" s="3"/>
      <c r="I15" s="14"/>
      <c r="J15" s="3"/>
      <c r="K15" s="3"/>
      <c r="L15" s="14"/>
      <c r="M15" s="3"/>
      <c r="N15" s="14"/>
      <c r="O15" s="3"/>
      <c r="P15" s="3"/>
      <c r="Q15" s="14"/>
      <c r="R15" s="14"/>
      <c r="S15" s="3"/>
      <c r="T15" s="14"/>
      <c r="U15" s="14"/>
      <c r="V15" s="14"/>
      <c r="W15" s="14"/>
      <c r="X15" s="14"/>
      <c r="Y15" s="14"/>
      <c r="Z15" s="3"/>
      <c r="AA15" s="3"/>
      <c r="AB15" s="3"/>
      <c r="AC15" s="3"/>
      <c r="AD15" s="3"/>
      <c r="AE15" s="3"/>
      <c r="AF15" s="4"/>
      <c r="AG15" s="28"/>
    </row>
    <row r="16" spans="1:33" x14ac:dyDescent="0.25">
      <c r="A16" s="20" t="s">
        <v>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/>
      <c r="AG16" s="27"/>
    </row>
    <row r="17" spans="1:33" x14ac:dyDescent="0.25">
      <c r="A17" s="21" t="s">
        <v>25</v>
      </c>
      <c r="B17" s="3">
        <v>749</v>
      </c>
      <c r="C17" s="3">
        <v>885</v>
      </c>
      <c r="D17" s="3">
        <v>205</v>
      </c>
      <c r="E17" s="3">
        <v>54</v>
      </c>
      <c r="F17" s="3">
        <v>120</v>
      </c>
      <c r="G17" s="3"/>
      <c r="H17" s="3">
        <v>43</v>
      </c>
      <c r="I17" s="3">
        <v>22</v>
      </c>
      <c r="J17" s="3"/>
      <c r="K17" s="3">
        <v>15</v>
      </c>
      <c r="L17" s="3">
        <v>22</v>
      </c>
      <c r="M17" s="3">
        <v>14</v>
      </c>
      <c r="N17" s="3">
        <v>45</v>
      </c>
      <c r="O17" s="3">
        <v>9</v>
      </c>
      <c r="P17" s="3"/>
      <c r="Q17" s="3">
        <v>235</v>
      </c>
      <c r="R17" s="3">
        <v>15</v>
      </c>
      <c r="S17" s="3">
        <v>39</v>
      </c>
      <c r="T17" s="3">
        <v>47</v>
      </c>
      <c r="U17" s="3">
        <v>132</v>
      </c>
      <c r="V17" s="3">
        <v>83</v>
      </c>
      <c r="W17" s="3">
        <v>14</v>
      </c>
      <c r="X17" s="3"/>
      <c r="Y17" s="3">
        <v>10</v>
      </c>
      <c r="Z17" s="3"/>
      <c r="AA17" s="3">
        <v>39</v>
      </c>
      <c r="AB17" s="3"/>
      <c r="AC17" s="3">
        <v>60</v>
      </c>
      <c r="AD17" s="3"/>
      <c r="AE17" s="3">
        <v>27</v>
      </c>
      <c r="AF17" s="4"/>
      <c r="AG17" s="28">
        <f t="shared" si="0"/>
        <v>2884</v>
      </c>
    </row>
    <row r="18" spans="1:33" x14ac:dyDescent="0.25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4"/>
      <c r="AG18" s="28"/>
    </row>
    <row r="19" spans="1:33" x14ac:dyDescent="0.25">
      <c r="A19" s="20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/>
      <c r="AG19" s="27"/>
    </row>
    <row r="20" spans="1:33" x14ac:dyDescent="0.25">
      <c r="A20" s="21" t="s">
        <v>28</v>
      </c>
      <c r="B20" s="6"/>
      <c r="C20" s="3">
        <v>893</v>
      </c>
      <c r="D20" s="3"/>
      <c r="E20" s="3"/>
      <c r="F20" s="3"/>
      <c r="G20" s="3">
        <v>69</v>
      </c>
      <c r="H20" s="3"/>
      <c r="I20" s="3"/>
      <c r="J20" s="3"/>
      <c r="K20" s="3"/>
      <c r="L20" s="3"/>
      <c r="M20" s="3">
        <v>11</v>
      </c>
      <c r="N20" s="3"/>
      <c r="O20" s="3"/>
      <c r="P20" s="3"/>
      <c r="Q20" s="3"/>
      <c r="R20" s="3"/>
      <c r="S20" s="3"/>
      <c r="T20" s="3"/>
      <c r="U20" s="3"/>
      <c r="V20" s="3">
        <v>71</v>
      </c>
      <c r="W20" s="3">
        <v>14</v>
      </c>
      <c r="X20" s="3"/>
      <c r="Y20" s="3"/>
      <c r="Z20" s="3"/>
      <c r="AA20" s="3">
        <v>40</v>
      </c>
      <c r="AB20" s="3"/>
      <c r="AC20" s="3">
        <v>61</v>
      </c>
      <c r="AD20" s="3"/>
      <c r="AE20" s="3"/>
      <c r="AF20" s="4"/>
      <c r="AG20" s="28">
        <f t="shared" si="0"/>
        <v>1159</v>
      </c>
    </row>
    <row r="21" spans="1:33" x14ac:dyDescent="0.25">
      <c r="A21" s="2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4"/>
      <c r="AG21" s="28"/>
    </row>
    <row r="22" spans="1:33" x14ac:dyDescent="0.25">
      <c r="A22" s="20" t="s">
        <v>27</v>
      </c>
      <c r="B22" s="13"/>
      <c r="C22" s="13"/>
      <c r="D22" s="13"/>
      <c r="E22" s="13"/>
      <c r="F22" s="16"/>
      <c r="G22" s="13"/>
      <c r="H22" s="13"/>
      <c r="I22" s="13"/>
      <c r="J22" s="13"/>
      <c r="K22" s="13"/>
      <c r="L22" s="13"/>
      <c r="M22" s="13"/>
      <c r="N22" s="1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4"/>
      <c r="AG22" s="27"/>
    </row>
    <row r="23" spans="1:33" x14ac:dyDescent="0.25">
      <c r="A23" s="21" t="s">
        <v>29</v>
      </c>
      <c r="B23" s="3"/>
      <c r="C23" s="3"/>
      <c r="D23" s="3">
        <v>201</v>
      </c>
      <c r="E23" s="3"/>
      <c r="F23" s="3"/>
      <c r="G23" s="3"/>
      <c r="H23" s="3"/>
      <c r="I23" s="3">
        <v>21</v>
      </c>
      <c r="J23" s="3"/>
      <c r="K23" s="3">
        <v>14</v>
      </c>
      <c r="L23" s="3">
        <v>19</v>
      </c>
      <c r="M23" s="3"/>
      <c r="N23" s="3">
        <v>46</v>
      </c>
      <c r="O23" s="3"/>
      <c r="P23" s="3"/>
      <c r="Q23" s="3">
        <v>239</v>
      </c>
      <c r="R23" s="3">
        <v>17</v>
      </c>
      <c r="S23" s="3"/>
      <c r="T23" s="3"/>
      <c r="U23" s="3">
        <v>129</v>
      </c>
      <c r="V23" s="3"/>
      <c r="W23" s="3"/>
      <c r="X23" s="3"/>
      <c r="Y23" s="3"/>
      <c r="Z23" s="3"/>
      <c r="AA23" s="3"/>
      <c r="AB23" s="3"/>
      <c r="AC23" s="3"/>
      <c r="AD23" s="3"/>
      <c r="AE23" s="3">
        <v>29</v>
      </c>
      <c r="AF23" s="4"/>
      <c r="AG23" s="28">
        <f t="shared" si="0"/>
        <v>715</v>
      </c>
    </row>
    <row r="24" spans="1:33" x14ac:dyDescent="0.25">
      <c r="A24" s="2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4"/>
      <c r="AG24" s="28"/>
    </row>
    <row r="25" spans="1:33" x14ac:dyDescent="0.25">
      <c r="A25" s="20" t="s">
        <v>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/>
      <c r="AG25" s="27"/>
    </row>
    <row r="26" spans="1:33" x14ac:dyDescent="0.25">
      <c r="A26" s="21" t="s">
        <v>30</v>
      </c>
      <c r="B26" s="3">
        <v>781</v>
      </c>
      <c r="C26" s="3">
        <v>914</v>
      </c>
      <c r="D26" s="3">
        <v>210</v>
      </c>
      <c r="E26" s="3">
        <v>60</v>
      </c>
      <c r="F26" s="3">
        <v>121</v>
      </c>
      <c r="G26" s="3"/>
      <c r="H26" s="3">
        <v>44</v>
      </c>
      <c r="I26" s="3">
        <v>23</v>
      </c>
      <c r="J26" s="3"/>
      <c r="K26" s="3">
        <v>15</v>
      </c>
      <c r="L26" s="3">
        <v>21</v>
      </c>
      <c r="M26" s="3">
        <v>14</v>
      </c>
      <c r="N26" s="3">
        <v>47</v>
      </c>
      <c r="O26" s="3">
        <v>10</v>
      </c>
      <c r="P26" s="3"/>
      <c r="Q26" s="3">
        <v>242</v>
      </c>
      <c r="R26" s="3">
        <v>17</v>
      </c>
      <c r="S26" s="3">
        <v>45</v>
      </c>
      <c r="T26" s="3">
        <v>47</v>
      </c>
      <c r="U26" s="3">
        <v>134</v>
      </c>
      <c r="V26" s="3">
        <v>83</v>
      </c>
      <c r="W26" s="3">
        <v>18</v>
      </c>
      <c r="X26" s="3"/>
      <c r="Y26" s="3">
        <v>13</v>
      </c>
      <c r="Z26" s="3"/>
      <c r="AA26" s="3">
        <v>43</v>
      </c>
      <c r="AB26" s="3"/>
      <c r="AC26" s="3">
        <v>58</v>
      </c>
      <c r="AD26" s="3"/>
      <c r="AE26" s="3">
        <v>29</v>
      </c>
      <c r="AF26" s="4"/>
      <c r="AG26" s="28">
        <f t="shared" si="0"/>
        <v>2989</v>
      </c>
    </row>
    <row r="27" spans="1:33" x14ac:dyDescent="0.25">
      <c r="A27" s="2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4"/>
      <c r="AG27" s="28"/>
    </row>
    <row r="28" spans="1:33" x14ac:dyDescent="0.25">
      <c r="A28" s="20" t="s">
        <v>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/>
      <c r="AG28" s="27"/>
    </row>
    <row r="29" spans="1:33" x14ac:dyDescent="0.25">
      <c r="A29" s="21" t="s">
        <v>31</v>
      </c>
      <c r="B29" s="3">
        <v>742</v>
      </c>
      <c r="C29" s="3">
        <v>879</v>
      </c>
      <c r="D29" s="3">
        <v>202</v>
      </c>
      <c r="E29" s="3">
        <v>59</v>
      </c>
      <c r="F29" s="3">
        <v>119</v>
      </c>
      <c r="G29" s="3"/>
      <c r="H29" s="3">
        <v>41</v>
      </c>
      <c r="I29" s="3">
        <v>17</v>
      </c>
      <c r="J29" s="3"/>
      <c r="K29" s="3">
        <v>15</v>
      </c>
      <c r="L29" s="3">
        <v>24</v>
      </c>
      <c r="M29" s="3">
        <v>14</v>
      </c>
      <c r="N29" s="3">
        <v>43</v>
      </c>
      <c r="O29" s="3">
        <v>9</v>
      </c>
      <c r="P29" s="3"/>
      <c r="Q29" s="3">
        <v>222</v>
      </c>
      <c r="R29" s="3">
        <v>16</v>
      </c>
      <c r="S29" s="3">
        <v>40</v>
      </c>
      <c r="T29" s="3">
        <v>42</v>
      </c>
      <c r="U29" s="3">
        <v>130</v>
      </c>
      <c r="V29" s="3">
        <v>82</v>
      </c>
      <c r="W29" s="3">
        <v>12</v>
      </c>
      <c r="X29" s="3"/>
      <c r="Y29" s="3">
        <v>12</v>
      </c>
      <c r="Z29" s="3"/>
      <c r="AA29" s="3">
        <v>36</v>
      </c>
      <c r="AB29" s="3"/>
      <c r="AC29" s="3">
        <v>58</v>
      </c>
      <c r="AD29" s="3"/>
      <c r="AE29" s="3">
        <v>29</v>
      </c>
      <c r="AF29" s="4"/>
      <c r="AG29" s="28">
        <f t="shared" si="0"/>
        <v>2843</v>
      </c>
    </row>
    <row r="30" spans="1:33" x14ac:dyDescent="0.25">
      <c r="A30" s="2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4"/>
      <c r="AG30" s="28"/>
    </row>
    <row r="31" spans="1:33" x14ac:dyDescent="0.25">
      <c r="A31" s="20" t="s">
        <v>6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/>
      <c r="AG31" s="27"/>
    </row>
    <row r="32" spans="1:33" x14ac:dyDescent="0.25">
      <c r="A32" s="21" t="s">
        <v>32</v>
      </c>
      <c r="B32" s="3">
        <v>793</v>
      </c>
      <c r="C32" s="3">
        <v>936</v>
      </c>
      <c r="D32" s="3">
        <v>208</v>
      </c>
      <c r="E32" s="3">
        <v>60</v>
      </c>
      <c r="F32" s="3">
        <v>125</v>
      </c>
      <c r="G32" s="3"/>
      <c r="H32" s="3">
        <v>44</v>
      </c>
      <c r="I32" s="3">
        <v>23</v>
      </c>
      <c r="J32" s="3"/>
      <c r="K32" s="3">
        <v>15</v>
      </c>
      <c r="L32" s="3">
        <v>22</v>
      </c>
      <c r="M32" s="3">
        <v>14</v>
      </c>
      <c r="N32" s="3">
        <v>49</v>
      </c>
      <c r="O32" s="3">
        <v>10</v>
      </c>
      <c r="P32" s="3"/>
      <c r="Q32" s="3">
        <v>238</v>
      </c>
      <c r="R32" s="3">
        <v>17</v>
      </c>
      <c r="S32" s="3">
        <v>45</v>
      </c>
      <c r="T32" s="3">
        <v>47</v>
      </c>
      <c r="U32" s="3">
        <v>140</v>
      </c>
      <c r="V32" s="3">
        <v>84</v>
      </c>
      <c r="W32" s="3">
        <v>16</v>
      </c>
      <c r="X32" s="3"/>
      <c r="Y32" s="3">
        <v>13</v>
      </c>
      <c r="Z32" s="3"/>
      <c r="AA32" s="3">
        <v>42</v>
      </c>
      <c r="AB32" s="3"/>
      <c r="AC32" s="3">
        <v>60</v>
      </c>
      <c r="AD32" s="3"/>
      <c r="AE32" s="3">
        <v>29</v>
      </c>
      <c r="AF32" s="4"/>
      <c r="AG32" s="28">
        <f t="shared" si="0"/>
        <v>3030</v>
      </c>
    </row>
    <row r="33" spans="1:33" x14ac:dyDescent="0.25">
      <c r="A33" s="2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4"/>
      <c r="AG33" s="28"/>
    </row>
    <row r="34" spans="1:33" x14ac:dyDescent="0.25">
      <c r="A34" s="20" t="s">
        <v>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/>
      <c r="AG34" s="27"/>
    </row>
    <row r="35" spans="1:33" x14ac:dyDescent="0.25">
      <c r="A35" s="21" t="s">
        <v>33</v>
      </c>
      <c r="B35" s="3">
        <v>796</v>
      </c>
      <c r="C35" s="3">
        <v>917</v>
      </c>
      <c r="D35" s="3">
        <v>201</v>
      </c>
      <c r="E35" s="3">
        <v>59</v>
      </c>
      <c r="F35" s="3">
        <v>120</v>
      </c>
      <c r="G35" s="3"/>
      <c r="H35" s="3">
        <v>44</v>
      </c>
      <c r="I35" s="3">
        <v>23</v>
      </c>
      <c r="J35" s="3"/>
      <c r="K35" s="3">
        <v>14</v>
      </c>
      <c r="L35" s="3">
        <v>22</v>
      </c>
      <c r="M35" s="3">
        <v>14</v>
      </c>
      <c r="N35" s="3">
        <v>46</v>
      </c>
      <c r="O35" s="3">
        <v>10</v>
      </c>
      <c r="P35" s="3"/>
      <c r="Q35" s="3">
        <v>242</v>
      </c>
      <c r="R35" s="3">
        <v>17</v>
      </c>
      <c r="S35" s="3">
        <v>43</v>
      </c>
      <c r="T35" s="3">
        <v>47</v>
      </c>
      <c r="U35" s="3">
        <v>139</v>
      </c>
      <c r="V35" s="3">
        <v>84</v>
      </c>
      <c r="W35" s="3">
        <v>15</v>
      </c>
      <c r="X35" s="3"/>
      <c r="Y35" s="3">
        <v>13</v>
      </c>
      <c r="Z35" s="3"/>
      <c r="AA35" s="3">
        <v>41</v>
      </c>
      <c r="AB35" s="3"/>
      <c r="AC35" s="3">
        <v>57</v>
      </c>
      <c r="AD35" s="3"/>
      <c r="AE35" s="3">
        <v>29</v>
      </c>
      <c r="AF35" s="4"/>
      <c r="AG35" s="28">
        <f t="shared" si="0"/>
        <v>2993</v>
      </c>
    </row>
    <row r="36" spans="1:33" x14ac:dyDescent="0.25">
      <c r="A36" s="2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4"/>
      <c r="AG36" s="28"/>
    </row>
    <row r="37" spans="1:33" x14ac:dyDescent="0.25">
      <c r="A37" s="20" t="s">
        <v>8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/>
      <c r="AG37" s="27"/>
    </row>
    <row r="38" spans="1:33" x14ac:dyDescent="0.25">
      <c r="A38" s="21" t="s">
        <v>34</v>
      </c>
      <c r="B38" s="3">
        <v>738</v>
      </c>
      <c r="C38" s="3">
        <v>867</v>
      </c>
      <c r="D38" s="3">
        <v>189</v>
      </c>
      <c r="E38" s="3">
        <v>57</v>
      </c>
      <c r="F38" s="3">
        <v>109</v>
      </c>
      <c r="G38" s="3"/>
      <c r="H38" s="3">
        <v>41</v>
      </c>
      <c r="I38" s="3">
        <v>22</v>
      </c>
      <c r="J38" s="3"/>
      <c r="K38" s="3">
        <v>15</v>
      </c>
      <c r="L38" s="3">
        <v>18</v>
      </c>
      <c r="M38" s="3">
        <v>14</v>
      </c>
      <c r="N38" s="3">
        <v>44</v>
      </c>
      <c r="O38" s="3">
        <v>10</v>
      </c>
      <c r="P38" s="3"/>
      <c r="Q38" s="3">
        <v>220</v>
      </c>
      <c r="R38" s="3">
        <v>16</v>
      </c>
      <c r="S38" s="3">
        <v>40</v>
      </c>
      <c r="T38" s="3">
        <v>43</v>
      </c>
      <c r="U38" s="3">
        <v>132</v>
      </c>
      <c r="V38" s="3">
        <v>78</v>
      </c>
      <c r="W38" s="3">
        <v>15</v>
      </c>
      <c r="X38" s="3"/>
      <c r="Y38" s="3">
        <v>13</v>
      </c>
      <c r="Z38" s="3"/>
      <c r="AA38" s="3">
        <v>40</v>
      </c>
      <c r="AB38" s="3"/>
      <c r="AC38" s="3">
        <v>54</v>
      </c>
      <c r="AD38" s="3"/>
      <c r="AE38" s="3">
        <v>26</v>
      </c>
      <c r="AF38" s="4"/>
      <c r="AG38" s="28">
        <f t="shared" si="0"/>
        <v>2801</v>
      </c>
    </row>
    <row r="39" spans="1:33" x14ac:dyDescent="0.25">
      <c r="A39" s="2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4"/>
      <c r="AG39" s="28"/>
    </row>
    <row r="40" spans="1:33" x14ac:dyDescent="0.25">
      <c r="A40" s="20" t="s">
        <v>63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/>
      <c r="AG40" s="27"/>
    </row>
    <row r="41" spans="1:33" x14ac:dyDescent="0.25">
      <c r="A41" s="21" t="s">
        <v>64</v>
      </c>
      <c r="B41" s="3"/>
      <c r="C41" s="3"/>
      <c r="D41" s="3">
        <v>194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28">
        <f t="shared" si="0"/>
        <v>194</v>
      </c>
    </row>
    <row r="42" spans="1:33" x14ac:dyDescent="0.25">
      <c r="A42" s="2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4"/>
      <c r="AG42" s="28"/>
    </row>
    <row r="43" spans="1:33" x14ac:dyDescent="0.25">
      <c r="A43" s="20" t="s">
        <v>65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/>
      <c r="AG43" s="27"/>
    </row>
    <row r="44" spans="1:33" x14ac:dyDescent="0.25">
      <c r="A44" s="21" t="s">
        <v>66</v>
      </c>
      <c r="B44" s="3"/>
      <c r="C44" s="3"/>
      <c r="D44" s="3">
        <v>168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4"/>
      <c r="AG44" s="28">
        <f t="shared" si="0"/>
        <v>168</v>
      </c>
    </row>
    <row r="45" spans="1:33" x14ac:dyDescent="0.25">
      <c r="A45" s="21" t="s">
        <v>67</v>
      </c>
      <c r="B45" s="3"/>
      <c r="C45" s="3"/>
      <c r="D45" s="3">
        <v>170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4"/>
      <c r="AG45" s="28">
        <f t="shared" si="0"/>
        <v>170</v>
      </c>
    </row>
    <row r="46" spans="1:33" x14ac:dyDescent="0.25">
      <c r="A46" s="2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4"/>
      <c r="AG46" s="28"/>
    </row>
    <row r="47" spans="1:33" x14ac:dyDescent="0.25">
      <c r="A47" s="22" t="s">
        <v>35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4"/>
      <c r="AG47" s="28"/>
    </row>
    <row r="48" spans="1:33" x14ac:dyDescent="0.25">
      <c r="A48" s="23" t="s">
        <v>9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>
        <v>11</v>
      </c>
      <c r="Z48" s="10"/>
      <c r="AA48" s="10"/>
      <c r="AB48" s="10"/>
      <c r="AC48" s="10"/>
      <c r="AD48" s="10"/>
      <c r="AE48" s="10"/>
      <c r="AF48" s="9"/>
      <c r="AG48" s="29">
        <f t="shared" si="0"/>
        <v>11</v>
      </c>
    </row>
    <row r="49" spans="1:33" x14ac:dyDescent="0.25">
      <c r="A49" s="24" t="s">
        <v>10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>
        <v>1</v>
      </c>
      <c r="Z49" s="12"/>
      <c r="AA49" s="12"/>
      <c r="AB49" s="12"/>
      <c r="AC49" s="12"/>
      <c r="AD49" s="12"/>
      <c r="AE49" s="12"/>
      <c r="AF49" s="11"/>
      <c r="AG49" s="30">
        <f t="shared" si="0"/>
        <v>1</v>
      </c>
    </row>
    <row r="50" spans="1:33" x14ac:dyDescent="0.25">
      <c r="A50" s="2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4"/>
      <c r="AG50" s="28"/>
    </row>
    <row r="51" spans="1:33" x14ac:dyDescent="0.25">
      <c r="A51" s="22" t="s">
        <v>13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4"/>
      <c r="AG51" s="28"/>
    </row>
    <row r="52" spans="1:33" x14ac:dyDescent="0.25">
      <c r="A52" s="23" t="s">
        <v>9</v>
      </c>
      <c r="B52" s="10">
        <v>604</v>
      </c>
      <c r="C52" s="10">
        <v>730</v>
      </c>
      <c r="D52" s="10">
        <v>161</v>
      </c>
      <c r="E52" s="10">
        <v>38</v>
      </c>
      <c r="F52" s="10">
        <v>93</v>
      </c>
      <c r="G52" s="10"/>
      <c r="H52" s="10">
        <v>33</v>
      </c>
      <c r="I52" s="10">
        <v>18</v>
      </c>
      <c r="J52" s="10"/>
      <c r="K52" s="10">
        <v>8</v>
      </c>
      <c r="L52" s="10">
        <v>13</v>
      </c>
      <c r="M52" s="10">
        <v>9</v>
      </c>
      <c r="N52" s="10">
        <v>34</v>
      </c>
      <c r="O52" s="10">
        <v>9</v>
      </c>
      <c r="P52" s="10"/>
      <c r="Q52" s="10">
        <v>174</v>
      </c>
      <c r="R52" s="10">
        <v>11</v>
      </c>
      <c r="S52" s="10">
        <v>28</v>
      </c>
      <c r="T52" s="10">
        <v>36</v>
      </c>
      <c r="U52" s="10">
        <v>93</v>
      </c>
      <c r="V52" s="10">
        <v>60</v>
      </c>
      <c r="W52" s="10">
        <v>8</v>
      </c>
      <c r="X52" s="10"/>
      <c r="Y52" s="10">
        <v>9</v>
      </c>
      <c r="Z52" s="10"/>
      <c r="AA52" s="10">
        <v>30</v>
      </c>
      <c r="AB52" s="10"/>
      <c r="AC52" s="10">
        <v>37</v>
      </c>
      <c r="AD52" s="10"/>
      <c r="AE52" s="10">
        <v>16</v>
      </c>
      <c r="AF52" s="9"/>
      <c r="AG52" s="29">
        <f t="shared" si="0"/>
        <v>2252</v>
      </c>
    </row>
    <row r="53" spans="1:33" x14ac:dyDescent="0.25">
      <c r="A53" s="24" t="s">
        <v>10</v>
      </c>
      <c r="B53" s="12">
        <v>128</v>
      </c>
      <c r="C53" s="12">
        <v>143</v>
      </c>
      <c r="D53" s="12">
        <v>41</v>
      </c>
      <c r="E53" s="12">
        <v>10</v>
      </c>
      <c r="F53" s="12">
        <v>24</v>
      </c>
      <c r="G53" s="12"/>
      <c r="H53" s="12">
        <v>8</v>
      </c>
      <c r="I53" s="12">
        <v>2</v>
      </c>
      <c r="J53" s="12"/>
      <c r="K53" s="12">
        <v>6</v>
      </c>
      <c r="L53" s="12">
        <v>7</v>
      </c>
      <c r="M53" s="12">
        <v>5</v>
      </c>
      <c r="N53" s="12">
        <v>9</v>
      </c>
      <c r="O53" s="12">
        <v>0</v>
      </c>
      <c r="P53" s="12"/>
      <c r="Q53" s="12">
        <v>41</v>
      </c>
      <c r="R53" s="12">
        <v>0</v>
      </c>
      <c r="S53" s="12">
        <v>10</v>
      </c>
      <c r="T53" s="12">
        <v>7</v>
      </c>
      <c r="U53" s="12">
        <v>26</v>
      </c>
      <c r="V53" s="12">
        <v>15</v>
      </c>
      <c r="W53" s="12">
        <v>5</v>
      </c>
      <c r="X53" s="12"/>
      <c r="Y53" s="12">
        <v>4</v>
      </c>
      <c r="Z53" s="12"/>
      <c r="AA53" s="12">
        <v>7</v>
      </c>
      <c r="AB53" s="12"/>
      <c r="AC53" s="12">
        <v>17</v>
      </c>
      <c r="AD53" s="12"/>
      <c r="AE53" s="12">
        <v>9</v>
      </c>
      <c r="AF53" s="11"/>
      <c r="AG53" s="30">
        <f t="shared" si="0"/>
        <v>524</v>
      </c>
    </row>
    <row r="54" spans="1:33" x14ac:dyDescent="0.25">
      <c r="A54" s="2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4"/>
      <c r="AG54" s="28"/>
    </row>
    <row r="55" spans="1:33" x14ac:dyDescent="0.25">
      <c r="A55" s="22" t="s">
        <v>14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4"/>
      <c r="AG55" s="28"/>
    </row>
    <row r="56" spans="1:33" x14ac:dyDescent="0.25">
      <c r="A56" s="23" t="s">
        <v>9</v>
      </c>
      <c r="B56" s="10">
        <v>600</v>
      </c>
      <c r="C56" s="10">
        <v>715</v>
      </c>
      <c r="D56" s="10">
        <v>162</v>
      </c>
      <c r="E56" s="10">
        <v>36</v>
      </c>
      <c r="F56" s="10">
        <v>95</v>
      </c>
      <c r="G56" s="10"/>
      <c r="H56" s="10">
        <v>33</v>
      </c>
      <c r="I56" s="10">
        <v>18</v>
      </c>
      <c r="J56" s="10"/>
      <c r="K56" s="10">
        <v>8</v>
      </c>
      <c r="L56" s="10">
        <v>14</v>
      </c>
      <c r="M56" s="10">
        <v>9</v>
      </c>
      <c r="N56" s="10">
        <v>34</v>
      </c>
      <c r="O56" s="10">
        <v>9</v>
      </c>
      <c r="P56" s="10"/>
      <c r="Q56" s="10">
        <v>172</v>
      </c>
      <c r="R56" s="10">
        <v>11</v>
      </c>
      <c r="S56" s="10">
        <v>29</v>
      </c>
      <c r="T56" s="10">
        <v>38</v>
      </c>
      <c r="U56" s="10">
        <v>94</v>
      </c>
      <c r="V56" s="10">
        <v>59</v>
      </c>
      <c r="W56" s="10">
        <v>8</v>
      </c>
      <c r="X56" s="10"/>
      <c r="Y56" s="10">
        <v>9</v>
      </c>
      <c r="Z56" s="10"/>
      <c r="AA56" s="10">
        <v>30</v>
      </c>
      <c r="AB56" s="10"/>
      <c r="AC56" s="10">
        <v>35</v>
      </c>
      <c r="AD56" s="10"/>
      <c r="AE56" s="10">
        <v>16</v>
      </c>
      <c r="AF56" s="9"/>
      <c r="AG56" s="29">
        <f t="shared" si="0"/>
        <v>2234</v>
      </c>
    </row>
    <row r="57" spans="1:33" x14ac:dyDescent="0.25">
      <c r="A57" s="24" t="s">
        <v>10</v>
      </c>
      <c r="B57" s="12">
        <v>120</v>
      </c>
      <c r="C57" s="12">
        <v>144</v>
      </c>
      <c r="D57" s="12">
        <v>37</v>
      </c>
      <c r="E57" s="12">
        <v>10</v>
      </c>
      <c r="F57" s="12">
        <v>20</v>
      </c>
      <c r="G57" s="12"/>
      <c r="H57" s="12">
        <v>7</v>
      </c>
      <c r="I57" s="12">
        <v>2</v>
      </c>
      <c r="J57" s="12"/>
      <c r="K57" s="12">
        <v>6</v>
      </c>
      <c r="L57" s="12">
        <v>6</v>
      </c>
      <c r="M57" s="12">
        <v>5</v>
      </c>
      <c r="N57" s="12">
        <v>9</v>
      </c>
      <c r="O57" s="12">
        <v>0</v>
      </c>
      <c r="P57" s="12"/>
      <c r="Q57" s="12">
        <v>40</v>
      </c>
      <c r="R57" s="12">
        <v>1</v>
      </c>
      <c r="S57" s="12">
        <v>9</v>
      </c>
      <c r="T57" s="12">
        <v>5</v>
      </c>
      <c r="U57" s="12">
        <v>26</v>
      </c>
      <c r="V57" s="12">
        <v>16</v>
      </c>
      <c r="W57" s="12">
        <v>5</v>
      </c>
      <c r="X57" s="12"/>
      <c r="Y57" s="12">
        <v>4</v>
      </c>
      <c r="Z57" s="12"/>
      <c r="AA57" s="12">
        <v>7</v>
      </c>
      <c r="AB57" s="12"/>
      <c r="AC57" s="12">
        <v>19</v>
      </c>
      <c r="AD57" s="12"/>
      <c r="AE57" s="12">
        <v>9</v>
      </c>
      <c r="AF57" s="11"/>
      <c r="AG57" s="30">
        <f t="shared" si="0"/>
        <v>507</v>
      </c>
    </row>
    <row r="58" spans="1:33" x14ac:dyDescent="0.25">
      <c r="A58" s="2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4"/>
      <c r="AG58" s="28"/>
    </row>
    <row r="59" spans="1:33" x14ac:dyDescent="0.25">
      <c r="A59" s="22" t="s">
        <v>15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4"/>
      <c r="AG59" s="28"/>
    </row>
    <row r="60" spans="1:33" x14ac:dyDescent="0.25">
      <c r="A60" s="23" t="s">
        <v>9</v>
      </c>
      <c r="B60" s="10">
        <v>508</v>
      </c>
      <c r="C60" s="10">
        <v>641</v>
      </c>
      <c r="D60" s="10">
        <v>152</v>
      </c>
      <c r="E60" s="10">
        <v>32</v>
      </c>
      <c r="F60" s="10">
        <v>79</v>
      </c>
      <c r="G60" s="10"/>
      <c r="H60" s="10">
        <v>28</v>
      </c>
      <c r="I60" s="10">
        <v>15</v>
      </c>
      <c r="J60" s="10"/>
      <c r="K60" s="10">
        <v>5</v>
      </c>
      <c r="L60" s="10">
        <v>12</v>
      </c>
      <c r="M60" s="10">
        <v>9</v>
      </c>
      <c r="N60" s="10">
        <v>31</v>
      </c>
      <c r="O60" s="10">
        <v>7</v>
      </c>
      <c r="P60" s="10"/>
      <c r="Q60" s="10">
        <v>150</v>
      </c>
      <c r="R60" s="10">
        <v>9</v>
      </c>
      <c r="S60" s="10">
        <v>25</v>
      </c>
      <c r="T60" s="10">
        <v>30</v>
      </c>
      <c r="U60" s="10">
        <v>87</v>
      </c>
      <c r="V60" s="10">
        <v>41</v>
      </c>
      <c r="W60" s="10">
        <v>6</v>
      </c>
      <c r="X60" s="10"/>
      <c r="Y60" s="10">
        <v>7</v>
      </c>
      <c r="Z60" s="10"/>
      <c r="AA60" s="10">
        <v>27</v>
      </c>
      <c r="AB60" s="10"/>
      <c r="AC60" s="10">
        <v>31</v>
      </c>
      <c r="AD60" s="10"/>
      <c r="AE60" s="10">
        <v>17</v>
      </c>
      <c r="AF60" s="9"/>
      <c r="AG60" s="29">
        <f t="shared" si="0"/>
        <v>1949</v>
      </c>
    </row>
    <row r="61" spans="1:33" x14ac:dyDescent="0.25">
      <c r="A61" s="24" t="s">
        <v>10</v>
      </c>
      <c r="B61" s="12">
        <v>212</v>
      </c>
      <c r="C61" s="12">
        <v>214</v>
      </c>
      <c r="D61" s="12">
        <v>48</v>
      </c>
      <c r="E61" s="12">
        <v>16</v>
      </c>
      <c r="F61" s="12">
        <v>38</v>
      </c>
      <c r="G61" s="12"/>
      <c r="H61" s="12">
        <v>13</v>
      </c>
      <c r="I61" s="12">
        <v>5</v>
      </c>
      <c r="J61" s="12"/>
      <c r="K61" s="12">
        <v>9</v>
      </c>
      <c r="L61" s="12">
        <v>6</v>
      </c>
      <c r="M61" s="12">
        <v>5</v>
      </c>
      <c r="N61" s="12">
        <v>11</v>
      </c>
      <c r="O61" s="12">
        <v>2</v>
      </c>
      <c r="P61" s="12"/>
      <c r="Q61" s="12">
        <v>57</v>
      </c>
      <c r="R61" s="12">
        <v>3</v>
      </c>
      <c r="S61" s="12">
        <v>13</v>
      </c>
      <c r="T61" s="12">
        <v>13</v>
      </c>
      <c r="U61" s="12">
        <v>29</v>
      </c>
      <c r="V61" s="12">
        <v>33</v>
      </c>
      <c r="W61" s="12">
        <v>7</v>
      </c>
      <c r="X61" s="12"/>
      <c r="Y61" s="12">
        <v>4</v>
      </c>
      <c r="Z61" s="12"/>
      <c r="AA61" s="12">
        <v>10</v>
      </c>
      <c r="AB61" s="12"/>
      <c r="AC61" s="12">
        <v>23</v>
      </c>
      <c r="AD61" s="12"/>
      <c r="AE61" s="12">
        <v>8</v>
      </c>
      <c r="AF61" s="11"/>
      <c r="AG61" s="30">
        <f t="shared" si="0"/>
        <v>779</v>
      </c>
    </row>
    <row r="62" spans="1:33" x14ac:dyDescent="0.25">
      <c r="A62" s="2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4"/>
      <c r="AG62" s="28"/>
    </row>
    <row r="63" spans="1:33" x14ac:dyDescent="0.25">
      <c r="A63" s="22" t="s">
        <v>36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4"/>
      <c r="AG63" s="28"/>
    </row>
    <row r="64" spans="1:33" x14ac:dyDescent="0.25">
      <c r="A64" s="23" t="s">
        <v>9</v>
      </c>
      <c r="B64" s="10">
        <v>505</v>
      </c>
      <c r="C64" s="10">
        <v>647</v>
      </c>
      <c r="D64" s="10">
        <v>154</v>
      </c>
      <c r="E64" s="10">
        <v>32</v>
      </c>
      <c r="F64" s="10">
        <v>82</v>
      </c>
      <c r="G64" s="10"/>
      <c r="H64" s="10">
        <v>26</v>
      </c>
      <c r="I64" s="10">
        <v>16</v>
      </c>
      <c r="J64" s="10"/>
      <c r="K64" s="10">
        <v>5</v>
      </c>
      <c r="L64" s="10">
        <v>12</v>
      </c>
      <c r="M64" s="10">
        <v>9</v>
      </c>
      <c r="N64" s="10">
        <v>31</v>
      </c>
      <c r="O64" s="10">
        <v>6</v>
      </c>
      <c r="P64" s="10"/>
      <c r="Q64" s="10">
        <v>147</v>
      </c>
      <c r="R64" s="10">
        <v>9</v>
      </c>
      <c r="S64" s="10">
        <v>26</v>
      </c>
      <c r="T64" s="10">
        <v>29</v>
      </c>
      <c r="U64" s="10">
        <v>85</v>
      </c>
      <c r="V64" s="10">
        <v>42</v>
      </c>
      <c r="W64" s="10">
        <v>7</v>
      </c>
      <c r="X64" s="10"/>
      <c r="Y64" s="10">
        <v>9</v>
      </c>
      <c r="Z64" s="10"/>
      <c r="AA64" s="10">
        <v>28</v>
      </c>
      <c r="AB64" s="10"/>
      <c r="AC64" s="10">
        <v>30</v>
      </c>
      <c r="AD64" s="10"/>
      <c r="AE64" s="10">
        <v>16</v>
      </c>
      <c r="AF64" s="9"/>
      <c r="AG64" s="29">
        <f t="shared" si="0"/>
        <v>1953</v>
      </c>
    </row>
    <row r="65" spans="1:33" x14ac:dyDescent="0.25">
      <c r="A65" s="24" t="s">
        <v>10</v>
      </c>
      <c r="B65" s="12">
        <v>213</v>
      </c>
      <c r="C65" s="12">
        <v>209</v>
      </c>
      <c r="D65" s="12">
        <v>46</v>
      </c>
      <c r="E65" s="12">
        <v>15</v>
      </c>
      <c r="F65" s="12">
        <v>35</v>
      </c>
      <c r="G65" s="12"/>
      <c r="H65" s="12">
        <v>14</v>
      </c>
      <c r="I65" s="12">
        <v>4</v>
      </c>
      <c r="J65" s="12"/>
      <c r="K65" s="12">
        <v>9</v>
      </c>
      <c r="L65" s="12">
        <v>6</v>
      </c>
      <c r="M65" s="12">
        <v>5</v>
      </c>
      <c r="N65" s="12">
        <v>11</v>
      </c>
      <c r="O65" s="12">
        <v>2</v>
      </c>
      <c r="P65" s="12"/>
      <c r="Q65" s="12">
        <v>63</v>
      </c>
      <c r="R65" s="12">
        <v>3</v>
      </c>
      <c r="S65" s="12">
        <v>11</v>
      </c>
      <c r="T65" s="12">
        <v>14</v>
      </c>
      <c r="U65" s="12">
        <v>31</v>
      </c>
      <c r="V65" s="12">
        <v>33</v>
      </c>
      <c r="W65" s="12">
        <v>6</v>
      </c>
      <c r="X65" s="12"/>
      <c r="Y65" s="12">
        <v>4</v>
      </c>
      <c r="Z65" s="12"/>
      <c r="AA65" s="12">
        <v>10</v>
      </c>
      <c r="AB65" s="12"/>
      <c r="AC65" s="12">
        <v>24</v>
      </c>
      <c r="AD65" s="12"/>
      <c r="AE65" s="12">
        <v>9</v>
      </c>
      <c r="AF65" s="11"/>
      <c r="AG65" s="30">
        <f t="shared" si="0"/>
        <v>777</v>
      </c>
    </row>
    <row r="66" spans="1:33" x14ac:dyDescent="0.25">
      <c r="A66" s="2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4"/>
      <c r="AG66" s="28"/>
    </row>
    <row r="67" spans="1:33" x14ac:dyDescent="0.25">
      <c r="A67" s="22" t="s">
        <v>37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4"/>
      <c r="AG67" s="28"/>
    </row>
    <row r="68" spans="1:33" x14ac:dyDescent="0.25">
      <c r="A68" s="23" t="s">
        <v>9</v>
      </c>
      <c r="B68" s="10">
        <v>510</v>
      </c>
      <c r="C68" s="10">
        <v>647</v>
      </c>
      <c r="D68" s="10">
        <v>153</v>
      </c>
      <c r="E68" s="10">
        <v>36</v>
      </c>
      <c r="F68" s="10">
        <v>80</v>
      </c>
      <c r="G68" s="10"/>
      <c r="H68" s="10">
        <v>28</v>
      </c>
      <c r="I68" s="10">
        <v>16</v>
      </c>
      <c r="J68" s="10"/>
      <c r="K68" s="10">
        <v>5</v>
      </c>
      <c r="L68" s="10">
        <v>13</v>
      </c>
      <c r="M68" s="10">
        <v>9</v>
      </c>
      <c r="N68" s="10">
        <v>33</v>
      </c>
      <c r="O68" s="10">
        <v>6</v>
      </c>
      <c r="P68" s="10"/>
      <c r="Q68" s="10">
        <v>150</v>
      </c>
      <c r="R68" s="10">
        <v>10</v>
      </c>
      <c r="S68" s="10">
        <v>25</v>
      </c>
      <c r="T68" s="10">
        <v>28</v>
      </c>
      <c r="U68" s="10">
        <v>85</v>
      </c>
      <c r="V68" s="10">
        <v>42</v>
      </c>
      <c r="W68" s="10">
        <v>9</v>
      </c>
      <c r="X68" s="10"/>
      <c r="Y68" s="10">
        <v>8</v>
      </c>
      <c r="Z68" s="10"/>
      <c r="AA68" s="10">
        <v>26</v>
      </c>
      <c r="AB68" s="10"/>
      <c r="AC68" s="10">
        <v>31</v>
      </c>
      <c r="AD68" s="10"/>
      <c r="AE68" s="10">
        <v>15</v>
      </c>
      <c r="AF68" s="9"/>
      <c r="AG68" s="29">
        <f t="shared" si="0"/>
        <v>1965</v>
      </c>
    </row>
    <row r="69" spans="1:33" x14ac:dyDescent="0.25">
      <c r="A69" s="24" t="s">
        <v>10</v>
      </c>
      <c r="B69" s="12">
        <v>214</v>
      </c>
      <c r="C69" s="12">
        <v>212</v>
      </c>
      <c r="D69" s="12">
        <v>45</v>
      </c>
      <c r="E69" s="12">
        <v>12</v>
      </c>
      <c r="F69" s="12">
        <v>38</v>
      </c>
      <c r="G69" s="12"/>
      <c r="H69" s="12">
        <v>13</v>
      </c>
      <c r="I69" s="12">
        <v>5</v>
      </c>
      <c r="J69" s="12"/>
      <c r="K69" s="12">
        <v>9</v>
      </c>
      <c r="L69" s="12">
        <v>7</v>
      </c>
      <c r="M69" s="12">
        <v>5</v>
      </c>
      <c r="N69" s="12">
        <v>9</v>
      </c>
      <c r="O69" s="12">
        <v>2</v>
      </c>
      <c r="P69" s="12"/>
      <c r="Q69" s="12">
        <v>59</v>
      </c>
      <c r="R69" s="12">
        <v>2</v>
      </c>
      <c r="S69" s="12">
        <v>12</v>
      </c>
      <c r="T69" s="12">
        <v>15</v>
      </c>
      <c r="U69" s="12">
        <v>33</v>
      </c>
      <c r="V69" s="12">
        <v>33</v>
      </c>
      <c r="W69" s="12">
        <v>4</v>
      </c>
      <c r="X69" s="12"/>
      <c r="Y69" s="12">
        <v>5</v>
      </c>
      <c r="Z69" s="12"/>
      <c r="AA69" s="12">
        <v>10</v>
      </c>
      <c r="AB69" s="12"/>
      <c r="AC69" s="12">
        <v>23</v>
      </c>
      <c r="AD69" s="12"/>
      <c r="AE69" s="12">
        <v>10</v>
      </c>
      <c r="AF69" s="11"/>
      <c r="AG69" s="30">
        <f t="shared" ref="AG69:AG93" si="1">SUM(B69:AE69)</f>
        <v>777</v>
      </c>
    </row>
    <row r="70" spans="1:33" x14ac:dyDescent="0.25">
      <c r="A70" s="2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4"/>
      <c r="AG70" s="28"/>
    </row>
    <row r="71" spans="1:33" ht="15" customHeight="1" x14ac:dyDescent="0.25">
      <c r="A71" s="22" t="s">
        <v>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4"/>
      <c r="AG71" s="28"/>
    </row>
    <row r="72" spans="1:33" x14ac:dyDescent="0.25">
      <c r="A72" s="23" t="s">
        <v>9</v>
      </c>
      <c r="B72" s="10">
        <v>535</v>
      </c>
      <c r="C72" s="10">
        <v>684</v>
      </c>
      <c r="D72" s="10">
        <v>163</v>
      </c>
      <c r="E72" s="10">
        <v>40</v>
      </c>
      <c r="F72" s="10">
        <v>86</v>
      </c>
      <c r="G72" s="10"/>
      <c r="H72" s="10">
        <v>28</v>
      </c>
      <c r="I72" s="10">
        <v>15</v>
      </c>
      <c r="J72" s="10"/>
      <c r="K72" s="10">
        <v>5</v>
      </c>
      <c r="L72" s="10">
        <v>14</v>
      </c>
      <c r="M72" s="10">
        <v>11</v>
      </c>
      <c r="N72" s="10">
        <v>36</v>
      </c>
      <c r="O72" s="10">
        <v>7</v>
      </c>
      <c r="P72" s="10"/>
      <c r="Q72" s="10">
        <v>159</v>
      </c>
      <c r="R72" s="10">
        <v>10</v>
      </c>
      <c r="S72" s="10">
        <v>26</v>
      </c>
      <c r="T72" s="10">
        <v>31</v>
      </c>
      <c r="U72" s="10">
        <v>93</v>
      </c>
      <c r="V72" s="10">
        <v>44</v>
      </c>
      <c r="W72" s="10">
        <v>7</v>
      </c>
      <c r="X72" s="10"/>
      <c r="Y72" s="10">
        <v>9</v>
      </c>
      <c r="Z72" s="10"/>
      <c r="AA72" s="10">
        <v>30</v>
      </c>
      <c r="AB72" s="10"/>
      <c r="AC72" s="10">
        <v>35</v>
      </c>
      <c r="AD72" s="10"/>
      <c r="AE72" s="10">
        <v>20</v>
      </c>
      <c r="AF72" s="9"/>
      <c r="AG72" s="29">
        <f t="shared" si="1"/>
        <v>2088</v>
      </c>
    </row>
    <row r="73" spans="1:33" x14ac:dyDescent="0.25">
      <c r="A73" s="24" t="s">
        <v>10</v>
      </c>
      <c r="B73" s="12">
        <v>191</v>
      </c>
      <c r="C73" s="12">
        <v>180</v>
      </c>
      <c r="D73" s="12">
        <v>37</v>
      </c>
      <c r="E73" s="12">
        <v>9</v>
      </c>
      <c r="F73" s="12">
        <v>32</v>
      </c>
      <c r="G73" s="12"/>
      <c r="H73" s="12">
        <v>13</v>
      </c>
      <c r="I73" s="12">
        <v>5</v>
      </c>
      <c r="J73" s="12"/>
      <c r="K73" s="12">
        <v>9</v>
      </c>
      <c r="L73" s="12">
        <v>6</v>
      </c>
      <c r="M73" s="12">
        <v>3</v>
      </c>
      <c r="N73" s="12">
        <v>7</v>
      </c>
      <c r="O73" s="12">
        <v>2</v>
      </c>
      <c r="P73" s="12"/>
      <c r="Q73" s="12">
        <v>52</v>
      </c>
      <c r="R73" s="12">
        <v>2</v>
      </c>
      <c r="S73" s="12">
        <v>12</v>
      </c>
      <c r="T73" s="12">
        <v>12</v>
      </c>
      <c r="U73" s="12">
        <v>26</v>
      </c>
      <c r="V73" s="12">
        <v>30</v>
      </c>
      <c r="W73" s="12">
        <v>6</v>
      </c>
      <c r="X73" s="12"/>
      <c r="Y73" s="12">
        <v>4</v>
      </c>
      <c r="Z73" s="12"/>
      <c r="AA73" s="12">
        <v>7</v>
      </c>
      <c r="AB73" s="12"/>
      <c r="AC73" s="12">
        <v>21</v>
      </c>
      <c r="AD73" s="12"/>
      <c r="AE73" s="12">
        <v>7</v>
      </c>
      <c r="AF73" s="11"/>
      <c r="AG73" s="30">
        <f t="shared" si="1"/>
        <v>673</v>
      </c>
    </row>
    <row r="74" spans="1:33" x14ac:dyDescent="0.25">
      <c r="A74" s="2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/>
      <c r="AG74" s="28"/>
    </row>
    <row r="75" spans="1:33" x14ac:dyDescent="0.25">
      <c r="A75" s="22" t="s">
        <v>16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4"/>
      <c r="AG75" s="28"/>
    </row>
    <row r="76" spans="1:33" ht="15" customHeight="1" x14ac:dyDescent="0.25">
      <c r="A76" s="23" t="s">
        <v>9</v>
      </c>
      <c r="B76" s="10">
        <v>608</v>
      </c>
      <c r="C76" s="10">
        <v>722</v>
      </c>
      <c r="D76" s="10">
        <v>160</v>
      </c>
      <c r="E76" s="10">
        <v>38</v>
      </c>
      <c r="F76" s="10">
        <v>99</v>
      </c>
      <c r="G76" s="10"/>
      <c r="H76" s="10">
        <v>33</v>
      </c>
      <c r="I76" s="10">
        <v>17</v>
      </c>
      <c r="J76" s="10"/>
      <c r="K76" s="10">
        <v>9</v>
      </c>
      <c r="L76" s="10">
        <v>12</v>
      </c>
      <c r="M76" s="10">
        <v>11</v>
      </c>
      <c r="N76" s="10">
        <v>32</v>
      </c>
      <c r="O76" s="10">
        <v>9</v>
      </c>
      <c r="P76" s="10"/>
      <c r="Q76" s="10">
        <v>172</v>
      </c>
      <c r="R76" s="10">
        <v>12</v>
      </c>
      <c r="S76" s="10">
        <v>29</v>
      </c>
      <c r="T76" s="10">
        <v>39</v>
      </c>
      <c r="U76" s="10">
        <v>88</v>
      </c>
      <c r="V76" s="10">
        <v>58</v>
      </c>
      <c r="W76" s="10">
        <v>8</v>
      </c>
      <c r="X76" s="10"/>
      <c r="Y76" s="10">
        <v>7</v>
      </c>
      <c r="Z76" s="10"/>
      <c r="AA76" s="10">
        <v>29</v>
      </c>
      <c r="AB76" s="10"/>
      <c r="AC76" s="10">
        <v>34</v>
      </c>
      <c r="AD76" s="10"/>
      <c r="AE76" s="10">
        <v>16</v>
      </c>
      <c r="AF76" s="9"/>
      <c r="AG76" s="29">
        <f t="shared" si="1"/>
        <v>2242</v>
      </c>
    </row>
    <row r="77" spans="1:33" ht="15" customHeight="1" x14ac:dyDescent="0.25">
      <c r="A77" s="24" t="s">
        <v>10</v>
      </c>
      <c r="B77" s="12">
        <v>114</v>
      </c>
      <c r="C77" s="12">
        <v>142</v>
      </c>
      <c r="D77" s="12">
        <v>38</v>
      </c>
      <c r="E77" s="12">
        <v>8</v>
      </c>
      <c r="F77" s="12">
        <v>20</v>
      </c>
      <c r="G77" s="12"/>
      <c r="H77" s="12">
        <v>8</v>
      </c>
      <c r="I77" s="12">
        <v>3</v>
      </c>
      <c r="J77" s="12"/>
      <c r="K77" s="12">
        <v>5</v>
      </c>
      <c r="L77" s="12">
        <v>8</v>
      </c>
      <c r="M77" s="12">
        <v>3</v>
      </c>
      <c r="N77" s="12">
        <v>10</v>
      </c>
      <c r="O77" s="12">
        <v>0</v>
      </c>
      <c r="P77" s="12"/>
      <c r="Q77" s="12">
        <v>42</v>
      </c>
      <c r="R77" s="12">
        <v>0</v>
      </c>
      <c r="S77" s="12">
        <v>9</v>
      </c>
      <c r="T77" s="12">
        <v>4</v>
      </c>
      <c r="U77" s="12">
        <v>28</v>
      </c>
      <c r="V77" s="12">
        <v>15</v>
      </c>
      <c r="W77" s="12">
        <v>5</v>
      </c>
      <c r="X77" s="12"/>
      <c r="Y77" s="12">
        <v>5</v>
      </c>
      <c r="Z77" s="12"/>
      <c r="AA77" s="12">
        <v>6</v>
      </c>
      <c r="AB77" s="12"/>
      <c r="AC77" s="12">
        <v>19</v>
      </c>
      <c r="AD77" s="12"/>
      <c r="AE77" s="12">
        <v>9</v>
      </c>
      <c r="AF77" s="11"/>
      <c r="AG77" s="30">
        <f t="shared" si="1"/>
        <v>501</v>
      </c>
    </row>
    <row r="78" spans="1:33" ht="15" customHeight="1" x14ac:dyDescent="0.25">
      <c r="A78" s="2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4"/>
      <c r="AG78" s="28"/>
    </row>
    <row r="79" spans="1:33" x14ac:dyDescent="0.25">
      <c r="A79" s="22" t="s">
        <v>17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4"/>
      <c r="AG79" s="28"/>
    </row>
    <row r="80" spans="1:33" x14ac:dyDescent="0.25">
      <c r="A80" s="23" t="s">
        <v>9</v>
      </c>
      <c r="B80" s="10">
        <v>630</v>
      </c>
      <c r="C80" s="10">
        <v>794</v>
      </c>
      <c r="D80" s="10">
        <v>172</v>
      </c>
      <c r="E80" s="10">
        <v>47</v>
      </c>
      <c r="F80" s="10">
        <v>95</v>
      </c>
      <c r="G80" s="10"/>
      <c r="H80" s="10">
        <v>31</v>
      </c>
      <c r="I80" s="10">
        <v>19</v>
      </c>
      <c r="J80" s="10"/>
      <c r="K80" s="10">
        <v>11</v>
      </c>
      <c r="L80" s="10">
        <v>16</v>
      </c>
      <c r="M80" s="10">
        <v>10</v>
      </c>
      <c r="N80" s="10">
        <v>39</v>
      </c>
      <c r="O80" s="10">
        <v>9</v>
      </c>
      <c r="P80" s="10"/>
      <c r="Q80" s="10">
        <v>190</v>
      </c>
      <c r="R80" s="10">
        <v>13</v>
      </c>
      <c r="S80" s="10">
        <v>33</v>
      </c>
      <c r="T80" s="10">
        <v>41</v>
      </c>
      <c r="U80" s="10">
        <v>99</v>
      </c>
      <c r="V80" s="10">
        <v>57</v>
      </c>
      <c r="W80" s="10">
        <v>10</v>
      </c>
      <c r="X80" s="10"/>
      <c r="Y80" s="10">
        <v>10</v>
      </c>
      <c r="Z80" s="10"/>
      <c r="AA80" s="10">
        <v>32</v>
      </c>
      <c r="AB80" s="10"/>
      <c r="AC80" s="10">
        <v>45</v>
      </c>
      <c r="AD80" s="10"/>
      <c r="AE80" s="10">
        <v>18</v>
      </c>
      <c r="AF80" s="9"/>
      <c r="AG80" s="29">
        <f t="shared" si="1"/>
        <v>2421</v>
      </c>
    </row>
    <row r="81" spans="1:33" x14ac:dyDescent="0.25">
      <c r="A81" s="24" t="s">
        <v>10</v>
      </c>
      <c r="B81" s="12">
        <v>118</v>
      </c>
      <c r="C81" s="12">
        <v>112</v>
      </c>
      <c r="D81" s="12">
        <v>31</v>
      </c>
      <c r="E81" s="12">
        <v>7</v>
      </c>
      <c r="F81" s="12">
        <v>19</v>
      </c>
      <c r="G81" s="12"/>
      <c r="H81" s="12">
        <v>10</v>
      </c>
      <c r="I81" s="12">
        <v>3</v>
      </c>
      <c r="J81" s="12"/>
      <c r="K81" s="12">
        <v>4</v>
      </c>
      <c r="L81" s="12">
        <v>6</v>
      </c>
      <c r="M81" s="12">
        <v>4</v>
      </c>
      <c r="N81" s="12">
        <v>6</v>
      </c>
      <c r="O81" s="12">
        <v>0</v>
      </c>
      <c r="P81" s="12"/>
      <c r="Q81" s="12">
        <v>28</v>
      </c>
      <c r="R81" s="12">
        <v>1</v>
      </c>
      <c r="S81" s="12">
        <v>9</v>
      </c>
      <c r="T81" s="12">
        <v>4</v>
      </c>
      <c r="U81" s="12">
        <v>26</v>
      </c>
      <c r="V81" s="12">
        <v>17</v>
      </c>
      <c r="W81" s="12">
        <v>5</v>
      </c>
      <c r="X81" s="12"/>
      <c r="Y81" s="12">
        <v>2</v>
      </c>
      <c r="Z81" s="12"/>
      <c r="AA81" s="12">
        <v>5</v>
      </c>
      <c r="AB81" s="12"/>
      <c r="AC81" s="12">
        <v>16</v>
      </c>
      <c r="AD81" s="12"/>
      <c r="AE81" s="12">
        <v>9</v>
      </c>
      <c r="AF81" s="11"/>
      <c r="AG81" s="30">
        <f t="shared" si="1"/>
        <v>442</v>
      </c>
    </row>
    <row r="82" spans="1:33" x14ac:dyDescent="0.25">
      <c r="A82" s="2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4"/>
      <c r="AG82" s="28"/>
    </row>
    <row r="83" spans="1:33" x14ac:dyDescent="0.25">
      <c r="A83" s="22" t="s">
        <v>38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4"/>
      <c r="AG83" s="28"/>
    </row>
    <row r="84" spans="1:33" x14ac:dyDescent="0.25">
      <c r="A84" s="23" t="s">
        <v>9</v>
      </c>
      <c r="B84" s="10">
        <v>483</v>
      </c>
      <c r="C84" s="10">
        <v>628</v>
      </c>
      <c r="D84" s="10"/>
      <c r="E84" s="10">
        <v>27</v>
      </c>
      <c r="F84" s="10">
        <v>72</v>
      </c>
      <c r="G84" s="10"/>
      <c r="H84" s="10">
        <v>29</v>
      </c>
      <c r="I84" s="10"/>
      <c r="J84" s="10">
        <v>4</v>
      </c>
      <c r="K84" s="10"/>
      <c r="L84" s="10"/>
      <c r="M84" s="10">
        <v>10</v>
      </c>
      <c r="N84" s="10"/>
      <c r="O84" s="10"/>
      <c r="P84" s="10">
        <v>8</v>
      </c>
      <c r="Q84" s="10"/>
      <c r="R84" s="10"/>
      <c r="S84" s="10">
        <v>27</v>
      </c>
      <c r="T84" s="10">
        <v>33</v>
      </c>
      <c r="U84" s="10"/>
      <c r="V84" s="10">
        <v>38</v>
      </c>
      <c r="W84" s="10"/>
      <c r="X84" s="10">
        <v>2</v>
      </c>
      <c r="Y84" s="10"/>
      <c r="Z84" s="10">
        <v>3</v>
      </c>
      <c r="AA84" s="10"/>
      <c r="AB84" s="10">
        <v>26</v>
      </c>
      <c r="AC84" s="10"/>
      <c r="AD84" s="10">
        <v>27</v>
      </c>
      <c r="AE84" s="10"/>
      <c r="AF84" s="9"/>
      <c r="AG84" s="29">
        <f t="shared" si="1"/>
        <v>1417</v>
      </c>
    </row>
    <row r="85" spans="1:33" x14ac:dyDescent="0.25">
      <c r="A85" s="24" t="s">
        <v>10</v>
      </c>
      <c r="B85" s="12">
        <v>357</v>
      </c>
      <c r="C85" s="12">
        <v>337</v>
      </c>
      <c r="D85" s="12"/>
      <c r="E85" s="12">
        <v>34</v>
      </c>
      <c r="F85" s="12">
        <v>61</v>
      </c>
      <c r="G85" s="12"/>
      <c r="H85" s="12">
        <v>15</v>
      </c>
      <c r="I85" s="12"/>
      <c r="J85" s="12">
        <v>2</v>
      </c>
      <c r="K85" s="12"/>
      <c r="L85" s="12"/>
      <c r="M85" s="12">
        <v>5</v>
      </c>
      <c r="N85" s="12"/>
      <c r="O85" s="12"/>
      <c r="P85" s="12">
        <v>1</v>
      </c>
      <c r="Q85" s="12"/>
      <c r="R85" s="12"/>
      <c r="S85" s="12">
        <v>18</v>
      </c>
      <c r="T85" s="12">
        <v>12</v>
      </c>
      <c r="U85" s="12"/>
      <c r="V85" s="12">
        <v>46</v>
      </c>
      <c r="W85" s="12"/>
      <c r="X85" s="12">
        <v>6</v>
      </c>
      <c r="Y85" s="12"/>
      <c r="Z85" s="12">
        <v>7</v>
      </c>
      <c r="AA85" s="12"/>
      <c r="AB85" s="12">
        <v>10</v>
      </c>
      <c r="AC85" s="12"/>
      <c r="AD85" s="12">
        <v>27</v>
      </c>
      <c r="AE85" s="12"/>
      <c r="AF85" s="11"/>
      <c r="AG85" s="30">
        <f t="shared" si="1"/>
        <v>938</v>
      </c>
    </row>
    <row r="86" spans="1:33" x14ac:dyDescent="0.25">
      <c r="A86" s="2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4"/>
      <c r="AG86" s="28"/>
    </row>
    <row r="87" spans="1:33" x14ac:dyDescent="0.25">
      <c r="A87" s="22" t="s">
        <v>39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4"/>
      <c r="AG87" s="28"/>
    </row>
    <row r="88" spans="1:33" x14ac:dyDescent="0.25">
      <c r="A88" s="23" t="s">
        <v>9</v>
      </c>
      <c r="B88" s="10">
        <v>350</v>
      </c>
      <c r="C88" s="10">
        <v>470</v>
      </c>
      <c r="D88" s="10"/>
      <c r="E88" s="10">
        <v>20</v>
      </c>
      <c r="F88" s="10">
        <v>49</v>
      </c>
      <c r="G88" s="10"/>
      <c r="H88" s="10">
        <v>18</v>
      </c>
      <c r="I88" s="10"/>
      <c r="J88" s="10">
        <v>1</v>
      </c>
      <c r="K88" s="10"/>
      <c r="L88" s="10"/>
      <c r="M88" s="10">
        <v>7</v>
      </c>
      <c r="N88" s="10"/>
      <c r="O88" s="10"/>
      <c r="P88" s="10">
        <v>8</v>
      </c>
      <c r="Q88" s="10"/>
      <c r="R88" s="10"/>
      <c r="S88" s="10">
        <v>20</v>
      </c>
      <c r="T88" s="10">
        <v>25</v>
      </c>
      <c r="U88" s="10"/>
      <c r="V88" s="10">
        <v>18</v>
      </c>
      <c r="W88" s="10"/>
      <c r="X88" s="10">
        <v>0</v>
      </c>
      <c r="Y88" s="10"/>
      <c r="Z88" s="10">
        <v>4</v>
      </c>
      <c r="AA88" s="10"/>
      <c r="AB88" s="10">
        <v>21</v>
      </c>
      <c r="AC88" s="10"/>
      <c r="AD88" s="10">
        <v>15</v>
      </c>
      <c r="AE88" s="10"/>
      <c r="AF88" s="9"/>
      <c r="AG88" s="29">
        <f t="shared" si="1"/>
        <v>1026</v>
      </c>
    </row>
    <row r="89" spans="1:33" x14ac:dyDescent="0.25">
      <c r="A89" s="24" t="s">
        <v>10</v>
      </c>
      <c r="B89" s="12">
        <v>482</v>
      </c>
      <c r="C89" s="12">
        <v>488</v>
      </c>
      <c r="D89" s="12"/>
      <c r="E89" s="12">
        <v>41</v>
      </c>
      <c r="F89" s="12">
        <v>81</v>
      </c>
      <c r="G89" s="12"/>
      <c r="H89" s="12">
        <v>26</v>
      </c>
      <c r="I89" s="12"/>
      <c r="J89" s="12">
        <v>5</v>
      </c>
      <c r="K89" s="12"/>
      <c r="L89" s="12"/>
      <c r="M89" s="12">
        <v>8</v>
      </c>
      <c r="N89" s="12"/>
      <c r="O89" s="12"/>
      <c r="P89" s="12">
        <v>1</v>
      </c>
      <c r="Q89" s="12"/>
      <c r="R89" s="12"/>
      <c r="S89" s="12">
        <v>25</v>
      </c>
      <c r="T89" s="12">
        <v>21</v>
      </c>
      <c r="U89" s="12"/>
      <c r="V89" s="12">
        <v>67</v>
      </c>
      <c r="W89" s="12"/>
      <c r="X89" s="12">
        <v>8</v>
      </c>
      <c r="Y89" s="12"/>
      <c r="Z89" s="12">
        <v>6</v>
      </c>
      <c r="AA89" s="12"/>
      <c r="AB89" s="12">
        <v>15</v>
      </c>
      <c r="AC89" s="12"/>
      <c r="AD89" s="12">
        <v>39</v>
      </c>
      <c r="AE89" s="12"/>
      <c r="AF89" s="11"/>
      <c r="AG89" s="30">
        <f t="shared" si="1"/>
        <v>1313</v>
      </c>
    </row>
    <row r="90" spans="1:33" x14ac:dyDescent="0.25">
      <c r="A90" s="2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4"/>
      <c r="AG90" s="28"/>
    </row>
    <row r="91" spans="1:33" x14ac:dyDescent="0.25">
      <c r="A91" s="22" t="s">
        <v>40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4"/>
      <c r="AG91" s="28"/>
    </row>
    <row r="92" spans="1:33" x14ac:dyDescent="0.25">
      <c r="A92" s="23" t="s">
        <v>9</v>
      </c>
      <c r="B92" s="10">
        <v>376</v>
      </c>
      <c r="C92" s="10">
        <v>500</v>
      </c>
      <c r="D92" s="10"/>
      <c r="E92" s="10">
        <v>20</v>
      </c>
      <c r="F92" s="10">
        <v>50</v>
      </c>
      <c r="G92" s="10"/>
      <c r="H92" s="10">
        <v>16</v>
      </c>
      <c r="I92" s="10"/>
      <c r="J92" s="10">
        <v>0</v>
      </c>
      <c r="K92" s="10"/>
      <c r="L92" s="10"/>
      <c r="M92" s="10">
        <v>7</v>
      </c>
      <c r="N92" s="10"/>
      <c r="O92" s="10"/>
      <c r="P92" s="10">
        <v>8</v>
      </c>
      <c r="Q92" s="10"/>
      <c r="R92" s="10"/>
      <c r="S92" s="10">
        <v>18</v>
      </c>
      <c r="T92" s="10">
        <v>26</v>
      </c>
      <c r="U92" s="10"/>
      <c r="V92" s="10">
        <v>20</v>
      </c>
      <c r="W92" s="10"/>
      <c r="X92" s="10">
        <v>0</v>
      </c>
      <c r="Y92" s="10"/>
      <c r="Z92" s="10">
        <v>3</v>
      </c>
      <c r="AA92" s="10"/>
      <c r="AB92" s="10">
        <v>16</v>
      </c>
      <c r="AC92" s="10"/>
      <c r="AD92" s="10">
        <v>20</v>
      </c>
      <c r="AE92" s="10"/>
      <c r="AF92" s="9"/>
      <c r="AG92" s="29">
        <f t="shared" si="1"/>
        <v>1080</v>
      </c>
    </row>
    <row r="93" spans="1:33" x14ac:dyDescent="0.25">
      <c r="A93" s="24" t="s">
        <v>10</v>
      </c>
      <c r="B93" s="12">
        <v>456</v>
      </c>
      <c r="C93" s="12">
        <v>461</v>
      </c>
      <c r="D93" s="12"/>
      <c r="E93" s="12">
        <v>41</v>
      </c>
      <c r="F93" s="12">
        <v>83</v>
      </c>
      <c r="G93" s="12"/>
      <c r="H93" s="12">
        <v>28</v>
      </c>
      <c r="I93" s="12"/>
      <c r="J93" s="12">
        <v>6</v>
      </c>
      <c r="K93" s="12"/>
      <c r="L93" s="12"/>
      <c r="M93" s="12">
        <v>7</v>
      </c>
      <c r="N93" s="12"/>
      <c r="O93" s="12"/>
      <c r="P93" s="12">
        <v>1</v>
      </c>
      <c r="Q93" s="12"/>
      <c r="R93" s="12"/>
      <c r="S93" s="12">
        <v>27</v>
      </c>
      <c r="T93" s="12">
        <v>20</v>
      </c>
      <c r="U93" s="12"/>
      <c r="V93" s="12">
        <v>65</v>
      </c>
      <c r="W93" s="12"/>
      <c r="X93" s="12">
        <v>8</v>
      </c>
      <c r="Y93" s="12"/>
      <c r="Z93" s="12">
        <v>7</v>
      </c>
      <c r="AA93" s="12"/>
      <c r="AB93" s="12">
        <v>19</v>
      </c>
      <c r="AC93" s="12"/>
      <c r="AD93" s="12">
        <v>34</v>
      </c>
      <c r="AE93" s="12"/>
      <c r="AF93" s="11"/>
      <c r="AG93" s="30">
        <f t="shared" si="1"/>
        <v>1263</v>
      </c>
    </row>
    <row r="94" spans="1:33" ht="16.5" thickBot="1" x14ac:dyDescent="0.3">
      <c r="A94" s="3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7"/>
      <c r="AG94" s="25"/>
    </row>
    <row r="97" spans="1:6" ht="16.5" thickBot="1" x14ac:dyDescent="0.3"/>
    <row r="98" spans="1:6" x14ac:dyDescent="0.25">
      <c r="A98" s="36" t="s">
        <v>76</v>
      </c>
      <c r="B98" s="37"/>
      <c r="D98" s="67" t="s">
        <v>82</v>
      </c>
      <c r="E98" s="68"/>
      <c r="F98" s="69"/>
    </row>
    <row r="99" spans="1:6" x14ac:dyDescent="0.25">
      <c r="A99" s="38" t="s">
        <v>38</v>
      </c>
      <c r="B99" s="39"/>
      <c r="D99" s="63" t="s">
        <v>78</v>
      </c>
      <c r="E99" s="64"/>
      <c r="F99" s="48"/>
    </row>
    <row r="100" spans="1:6" x14ac:dyDescent="0.25">
      <c r="A100" s="23" t="s">
        <v>9</v>
      </c>
      <c r="B100" s="40">
        <v>56</v>
      </c>
      <c r="D100" s="44" t="s">
        <v>9</v>
      </c>
      <c r="E100" s="50"/>
      <c r="F100" s="45">
        <f>B100+B113+AG84</f>
        <v>1478</v>
      </c>
    </row>
    <row r="101" spans="1:6" x14ac:dyDescent="0.25">
      <c r="A101" s="24" t="s">
        <v>10</v>
      </c>
      <c r="B101" s="41">
        <v>99</v>
      </c>
      <c r="D101" s="46" t="s">
        <v>10</v>
      </c>
      <c r="E101" s="51"/>
      <c r="F101" s="53">
        <f>B101+B114+B127+AG85</f>
        <v>1043</v>
      </c>
    </row>
    <row r="102" spans="1:6" x14ac:dyDescent="0.25">
      <c r="A102" s="21"/>
      <c r="B102" s="39"/>
      <c r="D102" s="47"/>
      <c r="F102" s="48"/>
    </row>
    <row r="103" spans="1:6" x14ac:dyDescent="0.25">
      <c r="A103" s="38" t="s">
        <v>39</v>
      </c>
      <c r="B103" s="39"/>
      <c r="D103" s="65" t="s">
        <v>79</v>
      </c>
      <c r="E103" s="66"/>
      <c r="F103" s="48"/>
    </row>
    <row r="104" spans="1:6" x14ac:dyDescent="0.25">
      <c r="A104" s="23" t="s">
        <v>9</v>
      </c>
      <c r="B104" s="40">
        <v>48</v>
      </c>
      <c r="D104" s="44" t="s">
        <v>9</v>
      </c>
      <c r="E104" s="50"/>
      <c r="F104" s="45">
        <f>B104+B117+AG88</f>
        <v>1078</v>
      </c>
    </row>
    <row r="105" spans="1:6" x14ac:dyDescent="0.25">
      <c r="A105" s="24" t="s">
        <v>10</v>
      </c>
      <c r="B105" s="41">
        <v>107</v>
      </c>
      <c r="D105" s="46" t="s">
        <v>10</v>
      </c>
      <c r="E105" s="51"/>
      <c r="F105" s="53">
        <f>B105+B118+B131+AG89</f>
        <v>1427</v>
      </c>
    </row>
    <row r="106" spans="1:6" x14ac:dyDescent="0.25">
      <c r="A106" s="21"/>
      <c r="B106" s="39"/>
      <c r="D106" s="47"/>
      <c r="F106" s="48"/>
    </row>
    <row r="107" spans="1:6" x14ac:dyDescent="0.25">
      <c r="A107" s="38" t="s">
        <v>40</v>
      </c>
      <c r="B107" s="39"/>
      <c r="D107" s="63" t="s">
        <v>80</v>
      </c>
      <c r="E107" s="64"/>
      <c r="F107" s="48"/>
    </row>
    <row r="108" spans="1:6" x14ac:dyDescent="0.25">
      <c r="A108" s="23" t="s">
        <v>9</v>
      </c>
      <c r="B108" s="40">
        <v>41</v>
      </c>
      <c r="D108" s="44" t="s">
        <v>9</v>
      </c>
      <c r="E108" s="50"/>
      <c r="F108" s="45">
        <f>AG92+B108+B121</f>
        <v>1126</v>
      </c>
    </row>
    <row r="109" spans="1:6" ht="16.5" thickBot="1" x14ac:dyDescent="0.3">
      <c r="A109" s="24" t="s">
        <v>10</v>
      </c>
      <c r="B109" s="41">
        <v>114</v>
      </c>
      <c r="D109" s="49" t="s">
        <v>10</v>
      </c>
      <c r="E109" s="52"/>
      <c r="F109" s="54">
        <f>B109+B122+B135+AG93</f>
        <v>1383</v>
      </c>
    </row>
    <row r="110" spans="1:6" x14ac:dyDescent="0.25">
      <c r="A110" s="21"/>
      <c r="B110" s="39"/>
    </row>
    <row r="111" spans="1:6" x14ac:dyDescent="0.25">
      <c r="A111" s="42" t="s">
        <v>77</v>
      </c>
      <c r="B111" s="39"/>
    </row>
    <row r="112" spans="1:6" x14ac:dyDescent="0.25">
      <c r="A112" s="38" t="s">
        <v>38</v>
      </c>
      <c r="B112" s="39"/>
    </row>
    <row r="113" spans="1:2" x14ac:dyDescent="0.25">
      <c r="A113" s="23" t="s">
        <v>9</v>
      </c>
      <c r="B113" s="40">
        <v>5</v>
      </c>
    </row>
    <row r="114" spans="1:2" x14ac:dyDescent="0.25">
      <c r="A114" s="24" t="s">
        <v>10</v>
      </c>
      <c r="B114" s="41">
        <v>5</v>
      </c>
    </row>
    <row r="115" spans="1:2" x14ac:dyDescent="0.25">
      <c r="A115" s="21"/>
      <c r="B115" s="39"/>
    </row>
    <row r="116" spans="1:2" x14ac:dyDescent="0.25">
      <c r="A116" s="38" t="s">
        <v>39</v>
      </c>
      <c r="B116" s="39"/>
    </row>
    <row r="117" spans="1:2" x14ac:dyDescent="0.25">
      <c r="A117" s="23" t="s">
        <v>9</v>
      </c>
      <c r="B117" s="40">
        <v>4</v>
      </c>
    </row>
    <row r="118" spans="1:2" x14ac:dyDescent="0.25">
      <c r="A118" s="24" t="s">
        <v>10</v>
      </c>
      <c r="B118" s="41">
        <v>6</v>
      </c>
    </row>
    <row r="119" spans="1:2" x14ac:dyDescent="0.25">
      <c r="A119" s="21"/>
      <c r="B119" s="39"/>
    </row>
    <row r="120" spans="1:2" x14ac:dyDescent="0.25">
      <c r="A120" s="38" t="s">
        <v>40</v>
      </c>
      <c r="B120" s="39"/>
    </row>
    <row r="121" spans="1:2" x14ac:dyDescent="0.25">
      <c r="A121" s="23" t="s">
        <v>9</v>
      </c>
      <c r="B121" s="40">
        <v>5</v>
      </c>
    </row>
    <row r="122" spans="1:2" x14ac:dyDescent="0.25">
      <c r="A122" s="24" t="s">
        <v>10</v>
      </c>
      <c r="B122" s="41">
        <v>5</v>
      </c>
    </row>
    <row r="123" spans="1:2" x14ac:dyDescent="0.25">
      <c r="A123" s="21"/>
      <c r="B123" s="39"/>
    </row>
    <row r="124" spans="1:2" x14ac:dyDescent="0.25">
      <c r="A124" s="42" t="s">
        <v>81</v>
      </c>
      <c r="B124" s="39"/>
    </row>
    <row r="125" spans="1:2" x14ac:dyDescent="0.25">
      <c r="A125" s="38" t="s">
        <v>38</v>
      </c>
      <c r="B125" s="39"/>
    </row>
    <row r="126" spans="1:2" x14ac:dyDescent="0.25">
      <c r="A126" s="23" t="s">
        <v>9</v>
      </c>
      <c r="B126" s="40">
        <v>0</v>
      </c>
    </row>
    <row r="127" spans="1:2" x14ac:dyDescent="0.25">
      <c r="A127" s="24" t="s">
        <v>10</v>
      </c>
      <c r="B127" s="41">
        <v>1</v>
      </c>
    </row>
    <row r="128" spans="1:2" x14ac:dyDescent="0.25">
      <c r="A128" s="21"/>
      <c r="B128" s="39"/>
    </row>
    <row r="129" spans="1:2" x14ac:dyDescent="0.25">
      <c r="A129" s="38" t="s">
        <v>39</v>
      </c>
      <c r="B129" s="39"/>
    </row>
    <row r="130" spans="1:2" x14ac:dyDescent="0.25">
      <c r="A130" s="23" t="s">
        <v>9</v>
      </c>
      <c r="B130" s="40">
        <v>0</v>
      </c>
    </row>
    <row r="131" spans="1:2" x14ac:dyDescent="0.25">
      <c r="A131" s="24" t="s">
        <v>10</v>
      </c>
      <c r="B131" s="41">
        <v>1</v>
      </c>
    </row>
    <row r="132" spans="1:2" x14ac:dyDescent="0.25">
      <c r="A132" s="21"/>
      <c r="B132" s="39"/>
    </row>
    <row r="133" spans="1:2" x14ac:dyDescent="0.25">
      <c r="A133" s="38" t="s">
        <v>40</v>
      </c>
      <c r="B133" s="39"/>
    </row>
    <row r="134" spans="1:2" x14ac:dyDescent="0.25">
      <c r="A134" s="23" t="s">
        <v>9</v>
      </c>
      <c r="B134" s="40">
        <v>0</v>
      </c>
    </row>
    <row r="135" spans="1:2" x14ac:dyDescent="0.25">
      <c r="A135" s="24" t="s">
        <v>10</v>
      </c>
      <c r="B135" s="41">
        <v>1</v>
      </c>
    </row>
    <row r="136" spans="1:2" ht="16.5" thickBot="1" x14ac:dyDescent="0.3">
      <c r="A136" s="31"/>
      <c r="B136" s="43"/>
    </row>
  </sheetData>
  <mergeCells count="4">
    <mergeCell ref="D99:E99"/>
    <mergeCell ref="D103:E103"/>
    <mergeCell ref="D107:E107"/>
    <mergeCell ref="D98:F98"/>
  </mergeCells>
  <pageMargins left="0.25" right="0.25" top="0.75" bottom="0.75" header="0.3" footer="0.3"/>
  <pageSetup paperSize="17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13A6-5B08-41F1-BB44-EE26AB216658}">
  <dimension ref="A1:B94"/>
  <sheetViews>
    <sheetView workbookViewId="0">
      <selection activeCell="E15" sqref="E15"/>
    </sheetView>
  </sheetViews>
  <sheetFormatPr defaultRowHeight="15" x14ac:dyDescent="0.25"/>
  <cols>
    <col min="1" max="1" width="31.7109375" bestFit="1" customWidth="1"/>
    <col min="2" max="2" width="14.85546875" customWidth="1"/>
  </cols>
  <sheetData>
    <row r="1" spans="1:2" ht="16.5" thickBot="1" x14ac:dyDescent="0.3">
      <c r="A1" s="70" t="s">
        <v>84</v>
      </c>
      <c r="B1" s="70"/>
    </row>
    <row r="2" spans="1:2" ht="15.75" x14ac:dyDescent="0.25">
      <c r="A2" s="17"/>
      <c r="B2" s="55"/>
    </row>
    <row r="3" spans="1:2" ht="15.75" x14ac:dyDescent="0.25">
      <c r="A3" s="20" t="s">
        <v>0</v>
      </c>
      <c r="B3" s="57" t="s">
        <v>85</v>
      </c>
    </row>
    <row r="4" spans="1:2" ht="15.75" x14ac:dyDescent="0.25">
      <c r="A4" s="21" t="s">
        <v>18</v>
      </c>
      <c r="B4" s="58">
        <v>11</v>
      </c>
    </row>
    <row r="5" spans="1:2" ht="15.75" x14ac:dyDescent="0.25">
      <c r="A5" s="21" t="s">
        <v>19</v>
      </c>
      <c r="B5" s="58">
        <v>2608</v>
      </c>
    </row>
    <row r="6" spans="1:2" ht="15.75" x14ac:dyDescent="0.25">
      <c r="A6" s="21" t="s">
        <v>20</v>
      </c>
      <c r="B6" s="58">
        <v>528</v>
      </c>
    </row>
    <row r="7" spans="1:2" ht="15.75" x14ac:dyDescent="0.25">
      <c r="A7" s="21" t="s">
        <v>21</v>
      </c>
      <c r="B7" s="58">
        <v>25</v>
      </c>
    </row>
    <row r="8" spans="1:2" ht="15.75" x14ac:dyDescent="0.25">
      <c r="A8" s="22"/>
      <c r="B8" s="58"/>
    </row>
    <row r="9" spans="1:2" ht="15.75" x14ac:dyDescent="0.25">
      <c r="A9" s="20" t="s">
        <v>1</v>
      </c>
      <c r="B9" s="59"/>
    </row>
    <row r="10" spans="1:2" ht="15.75" x14ac:dyDescent="0.25">
      <c r="A10" s="21" t="s">
        <v>22</v>
      </c>
      <c r="B10" s="58">
        <v>393</v>
      </c>
    </row>
    <row r="11" spans="1:2" ht="15.75" x14ac:dyDescent="0.25">
      <c r="A11" s="21" t="s">
        <v>23</v>
      </c>
      <c r="B11" s="58">
        <v>2744</v>
      </c>
    </row>
    <row r="12" spans="1:2" ht="15.75" x14ac:dyDescent="0.25">
      <c r="A12" s="21"/>
      <c r="B12" s="58"/>
    </row>
    <row r="13" spans="1:2" ht="15.75" x14ac:dyDescent="0.25">
      <c r="A13" s="20" t="s">
        <v>2</v>
      </c>
      <c r="B13" s="59"/>
    </row>
    <row r="14" spans="1:2" ht="15.75" x14ac:dyDescent="0.25">
      <c r="A14" s="21" t="s">
        <v>24</v>
      </c>
      <c r="B14" s="58">
        <v>3006</v>
      </c>
    </row>
    <row r="15" spans="1:2" ht="15.75" x14ac:dyDescent="0.25">
      <c r="A15" s="21"/>
      <c r="B15" s="58"/>
    </row>
    <row r="16" spans="1:2" ht="15.75" x14ac:dyDescent="0.25">
      <c r="A16" s="20" t="s">
        <v>3</v>
      </c>
      <c r="B16" s="59"/>
    </row>
    <row r="17" spans="1:2" ht="15.75" x14ac:dyDescent="0.25">
      <c r="A17" s="21" t="s">
        <v>25</v>
      </c>
      <c r="B17" s="58">
        <v>2884</v>
      </c>
    </row>
    <row r="18" spans="1:2" ht="15.75" x14ac:dyDescent="0.25">
      <c r="A18" s="21"/>
      <c r="B18" s="58"/>
    </row>
    <row r="19" spans="1:2" ht="15.75" x14ac:dyDescent="0.25">
      <c r="A19" s="20" t="s">
        <v>26</v>
      </c>
      <c r="B19" s="59"/>
    </row>
    <row r="20" spans="1:2" ht="15.75" x14ac:dyDescent="0.25">
      <c r="A20" s="21" t="s">
        <v>28</v>
      </c>
      <c r="B20" s="58">
        <v>1159</v>
      </c>
    </row>
    <row r="21" spans="1:2" ht="15.75" x14ac:dyDescent="0.25">
      <c r="A21" s="21"/>
      <c r="B21" s="58"/>
    </row>
    <row r="22" spans="1:2" ht="15.75" x14ac:dyDescent="0.25">
      <c r="A22" s="20" t="s">
        <v>27</v>
      </c>
      <c r="B22" s="59"/>
    </row>
    <row r="23" spans="1:2" ht="15.75" x14ac:dyDescent="0.25">
      <c r="A23" s="21" t="s">
        <v>29</v>
      </c>
      <c r="B23" s="58">
        <v>715</v>
      </c>
    </row>
    <row r="24" spans="1:2" ht="15.75" x14ac:dyDescent="0.25">
      <c r="A24" s="21"/>
      <c r="B24" s="58"/>
    </row>
    <row r="25" spans="1:2" ht="15.75" x14ac:dyDescent="0.25">
      <c r="A25" s="20" t="s">
        <v>4</v>
      </c>
      <c r="B25" s="59"/>
    </row>
    <row r="26" spans="1:2" ht="15.75" x14ac:dyDescent="0.25">
      <c r="A26" s="21" t="s">
        <v>30</v>
      </c>
      <c r="B26" s="58">
        <v>2989</v>
      </c>
    </row>
    <row r="27" spans="1:2" ht="15.75" x14ac:dyDescent="0.25">
      <c r="A27" s="21"/>
      <c r="B27" s="58"/>
    </row>
    <row r="28" spans="1:2" ht="15.75" x14ac:dyDescent="0.25">
      <c r="A28" s="20" t="s">
        <v>5</v>
      </c>
      <c r="B28" s="59"/>
    </row>
    <row r="29" spans="1:2" ht="15.75" x14ac:dyDescent="0.25">
      <c r="A29" s="21" t="s">
        <v>31</v>
      </c>
      <c r="B29" s="58">
        <v>2843</v>
      </c>
    </row>
    <row r="30" spans="1:2" ht="15.75" x14ac:dyDescent="0.25">
      <c r="A30" s="21"/>
      <c r="B30" s="58"/>
    </row>
    <row r="31" spans="1:2" ht="15.75" x14ac:dyDescent="0.25">
      <c r="A31" s="20" t="s">
        <v>6</v>
      </c>
      <c r="B31" s="59"/>
    </row>
    <row r="32" spans="1:2" ht="15.75" x14ac:dyDescent="0.25">
      <c r="A32" s="21" t="s">
        <v>32</v>
      </c>
      <c r="B32" s="58">
        <v>3030</v>
      </c>
    </row>
    <row r="33" spans="1:2" ht="15.75" x14ac:dyDescent="0.25">
      <c r="A33" s="21"/>
      <c r="B33" s="58"/>
    </row>
    <row r="34" spans="1:2" ht="15.75" x14ac:dyDescent="0.25">
      <c r="A34" s="20" t="s">
        <v>7</v>
      </c>
      <c r="B34" s="59"/>
    </row>
    <row r="35" spans="1:2" ht="15.75" x14ac:dyDescent="0.25">
      <c r="A35" s="21" t="s">
        <v>33</v>
      </c>
      <c r="B35" s="58">
        <v>2993</v>
      </c>
    </row>
    <row r="36" spans="1:2" ht="15.75" x14ac:dyDescent="0.25">
      <c r="A36" s="21"/>
      <c r="B36" s="58"/>
    </row>
    <row r="37" spans="1:2" ht="15.75" x14ac:dyDescent="0.25">
      <c r="A37" s="20" t="s">
        <v>8</v>
      </c>
      <c r="B37" s="59"/>
    </row>
    <row r="38" spans="1:2" ht="15.75" x14ac:dyDescent="0.25">
      <c r="A38" s="21" t="s">
        <v>34</v>
      </c>
      <c r="B38" s="58">
        <v>2801</v>
      </c>
    </row>
    <row r="39" spans="1:2" ht="15.75" x14ac:dyDescent="0.25">
      <c r="A39" s="21"/>
      <c r="B39" s="58"/>
    </row>
    <row r="40" spans="1:2" ht="15.75" x14ac:dyDescent="0.25">
      <c r="A40" s="20" t="s">
        <v>63</v>
      </c>
      <c r="B40" s="59"/>
    </row>
    <row r="41" spans="1:2" ht="15.75" x14ac:dyDescent="0.25">
      <c r="A41" s="21" t="s">
        <v>64</v>
      </c>
      <c r="B41" s="58">
        <v>194</v>
      </c>
    </row>
    <row r="42" spans="1:2" ht="15.75" x14ac:dyDescent="0.25">
      <c r="A42" s="21"/>
      <c r="B42" s="58"/>
    </row>
    <row r="43" spans="1:2" ht="15.75" x14ac:dyDescent="0.25">
      <c r="A43" s="20" t="s">
        <v>65</v>
      </c>
      <c r="B43" s="59"/>
    </row>
    <row r="44" spans="1:2" ht="15.75" x14ac:dyDescent="0.25">
      <c r="A44" s="21" t="s">
        <v>66</v>
      </c>
      <c r="B44" s="58">
        <v>168</v>
      </c>
    </row>
    <row r="45" spans="1:2" ht="15.75" x14ac:dyDescent="0.25">
      <c r="A45" s="21" t="s">
        <v>67</v>
      </c>
      <c r="B45" s="58">
        <v>170</v>
      </c>
    </row>
    <row r="46" spans="1:2" ht="15.75" x14ac:dyDescent="0.25">
      <c r="A46" s="21"/>
      <c r="B46" s="58"/>
    </row>
    <row r="47" spans="1:2" ht="15.75" x14ac:dyDescent="0.25">
      <c r="A47" s="22" t="s">
        <v>35</v>
      </c>
      <c r="B47" s="58"/>
    </row>
    <row r="48" spans="1:2" ht="15.75" x14ac:dyDescent="0.25">
      <c r="A48" s="23" t="s">
        <v>9</v>
      </c>
      <c r="B48" s="60">
        <v>11</v>
      </c>
    </row>
    <row r="49" spans="1:2" ht="15.75" x14ac:dyDescent="0.25">
      <c r="A49" s="24" t="s">
        <v>10</v>
      </c>
      <c r="B49" s="61">
        <v>1</v>
      </c>
    </row>
    <row r="50" spans="1:2" ht="15.75" x14ac:dyDescent="0.25">
      <c r="A50" s="21"/>
      <c r="B50" s="58"/>
    </row>
    <row r="51" spans="1:2" ht="15.75" x14ac:dyDescent="0.25">
      <c r="A51" s="22" t="s">
        <v>13</v>
      </c>
      <c r="B51" s="58"/>
    </row>
    <row r="52" spans="1:2" ht="15.75" x14ac:dyDescent="0.25">
      <c r="A52" s="23" t="s">
        <v>9</v>
      </c>
      <c r="B52" s="60">
        <v>2252</v>
      </c>
    </row>
    <row r="53" spans="1:2" ht="15.75" x14ac:dyDescent="0.25">
      <c r="A53" s="24" t="s">
        <v>10</v>
      </c>
      <c r="B53" s="61">
        <v>524</v>
      </c>
    </row>
    <row r="54" spans="1:2" ht="15.75" x14ac:dyDescent="0.25">
      <c r="A54" s="21"/>
      <c r="B54" s="58"/>
    </row>
    <row r="55" spans="1:2" ht="15.75" x14ac:dyDescent="0.25">
      <c r="A55" s="22" t="s">
        <v>14</v>
      </c>
      <c r="B55" s="58"/>
    </row>
    <row r="56" spans="1:2" ht="15.75" x14ac:dyDescent="0.25">
      <c r="A56" s="23" t="s">
        <v>9</v>
      </c>
      <c r="B56" s="60">
        <v>2234</v>
      </c>
    </row>
    <row r="57" spans="1:2" ht="15.75" x14ac:dyDescent="0.25">
      <c r="A57" s="24" t="s">
        <v>10</v>
      </c>
      <c r="B57" s="61">
        <v>507</v>
      </c>
    </row>
    <row r="58" spans="1:2" ht="15.75" x14ac:dyDescent="0.25">
      <c r="A58" s="21"/>
      <c r="B58" s="58"/>
    </row>
    <row r="59" spans="1:2" ht="15.75" x14ac:dyDescent="0.25">
      <c r="A59" s="22" t="s">
        <v>15</v>
      </c>
      <c r="B59" s="58"/>
    </row>
    <row r="60" spans="1:2" ht="15.75" x14ac:dyDescent="0.25">
      <c r="A60" s="23" t="s">
        <v>9</v>
      </c>
      <c r="B60" s="60">
        <v>1949</v>
      </c>
    </row>
    <row r="61" spans="1:2" ht="15.75" x14ac:dyDescent="0.25">
      <c r="A61" s="24" t="s">
        <v>10</v>
      </c>
      <c r="B61" s="61">
        <v>779</v>
      </c>
    </row>
    <row r="62" spans="1:2" ht="15.75" x14ac:dyDescent="0.25">
      <c r="A62" s="21"/>
      <c r="B62" s="58"/>
    </row>
    <row r="63" spans="1:2" ht="15.75" x14ac:dyDescent="0.25">
      <c r="A63" s="22" t="s">
        <v>36</v>
      </c>
      <c r="B63" s="58"/>
    </row>
    <row r="64" spans="1:2" ht="15.75" x14ac:dyDescent="0.25">
      <c r="A64" s="23" t="s">
        <v>9</v>
      </c>
      <c r="B64" s="60">
        <v>1953</v>
      </c>
    </row>
    <row r="65" spans="1:2" ht="15.75" x14ac:dyDescent="0.25">
      <c r="A65" s="24" t="s">
        <v>10</v>
      </c>
      <c r="B65" s="61">
        <v>777</v>
      </c>
    </row>
    <row r="66" spans="1:2" ht="15.75" x14ac:dyDescent="0.25">
      <c r="A66" s="21"/>
      <c r="B66" s="58"/>
    </row>
    <row r="67" spans="1:2" ht="15.75" x14ac:dyDescent="0.25">
      <c r="A67" s="22" t="s">
        <v>37</v>
      </c>
      <c r="B67" s="58"/>
    </row>
    <row r="68" spans="1:2" ht="15.75" x14ac:dyDescent="0.25">
      <c r="A68" s="23" t="s">
        <v>9</v>
      </c>
      <c r="B68" s="60">
        <v>1965</v>
      </c>
    </row>
    <row r="69" spans="1:2" ht="15.75" x14ac:dyDescent="0.25">
      <c r="A69" s="24" t="s">
        <v>10</v>
      </c>
      <c r="B69" s="61">
        <v>777</v>
      </c>
    </row>
    <row r="70" spans="1:2" ht="15.75" x14ac:dyDescent="0.25">
      <c r="A70" s="21"/>
      <c r="B70" s="58"/>
    </row>
    <row r="71" spans="1:2" ht="15.75" x14ac:dyDescent="0.25">
      <c r="A71" s="22" t="s">
        <v>68</v>
      </c>
      <c r="B71" s="58"/>
    </row>
    <row r="72" spans="1:2" ht="15.75" x14ac:dyDescent="0.25">
      <c r="A72" s="23" t="s">
        <v>9</v>
      </c>
      <c r="B72" s="60">
        <v>2088</v>
      </c>
    </row>
    <row r="73" spans="1:2" ht="15.75" x14ac:dyDescent="0.25">
      <c r="A73" s="24" t="s">
        <v>10</v>
      </c>
      <c r="B73" s="61">
        <v>673</v>
      </c>
    </row>
    <row r="74" spans="1:2" ht="15.75" x14ac:dyDescent="0.25">
      <c r="A74" s="21"/>
      <c r="B74" s="58"/>
    </row>
    <row r="75" spans="1:2" ht="15.75" x14ac:dyDescent="0.25">
      <c r="A75" s="22" t="s">
        <v>16</v>
      </c>
      <c r="B75" s="58"/>
    </row>
    <row r="76" spans="1:2" ht="15.75" x14ac:dyDescent="0.25">
      <c r="A76" s="23" t="s">
        <v>9</v>
      </c>
      <c r="B76" s="60">
        <v>2242</v>
      </c>
    </row>
    <row r="77" spans="1:2" ht="15.75" x14ac:dyDescent="0.25">
      <c r="A77" s="24" t="s">
        <v>10</v>
      </c>
      <c r="B77" s="61">
        <v>501</v>
      </c>
    </row>
    <row r="78" spans="1:2" ht="15.75" x14ac:dyDescent="0.25">
      <c r="A78" s="21"/>
      <c r="B78" s="58"/>
    </row>
    <row r="79" spans="1:2" ht="15.75" x14ac:dyDescent="0.25">
      <c r="A79" s="22" t="s">
        <v>17</v>
      </c>
      <c r="B79" s="58"/>
    </row>
    <row r="80" spans="1:2" ht="15.75" x14ac:dyDescent="0.25">
      <c r="A80" s="23" t="s">
        <v>9</v>
      </c>
      <c r="B80" s="60">
        <v>2421</v>
      </c>
    </row>
    <row r="81" spans="1:2" ht="15.75" x14ac:dyDescent="0.25">
      <c r="A81" s="24" t="s">
        <v>10</v>
      </c>
      <c r="B81" s="61">
        <v>442</v>
      </c>
    </row>
    <row r="82" spans="1:2" ht="15.75" x14ac:dyDescent="0.25">
      <c r="A82" s="21"/>
      <c r="B82" s="58"/>
    </row>
    <row r="83" spans="1:2" ht="15.75" x14ac:dyDescent="0.25">
      <c r="A83" s="22" t="s">
        <v>38</v>
      </c>
      <c r="B83" s="58"/>
    </row>
    <row r="84" spans="1:2" ht="15.75" x14ac:dyDescent="0.25">
      <c r="A84" s="23" t="s">
        <v>9</v>
      </c>
      <c r="B84" s="60">
        <v>1478</v>
      </c>
    </row>
    <row r="85" spans="1:2" ht="15.75" x14ac:dyDescent="0.25">
      <c r="A85" s="24" t="s">
        <v>10</v>
      </c>
      <c r="B85" s="61">
        <v>1043</v>
      </c>
    </row>
    <row r="86" spans="1:2" ht="15.75" x14ac:dyDescent="0.25">
      <c r="A86" s="21"/>
      <c r="B86" s="58"/>
    </row>
    <row r="87" spans="1:2" ht="15.75" x14ac:dyDescent="0.25">
      <c r="A87" s="22" t="s">
        <v>39</v>
      </c>
      <c r="B87" s="58"/>
    </row>
    <row r="88" spans="1:2" ht="15.75" x14ac:dyDescent="0.25">
      <c r="A88" s="23" t="s">
        <v>9</v>
      </c>
      <c r="B88" s="60">
        <v>1078</v>
      </c>
    </row>
    <row r="89" spans="1:2" ht="15.75" x14ac:dyDescent="0.25">
      <c r="A89" s="24" t="s">
        <v>10</v>
      </c>
      <c r="B89" s="61">
        <v>1427</v>
      </c>
    </row>
    <row r="90" spans="1:2" ht="15.75" x14ac:dyDescent="0.25">
      <c r="A90" s="21"/>
      <c r="B90" s="58"/>
    </row>
    <row r="91" spans="1:2" ht="15.75" x14ac:dyDescent="0.25">
      <c r="A91" s="22" t="s">
        <v>40</v>
      </c>
      <c r="B91" s="58"/>
    </row>
    <row r="92" spans="1:2" ht="15.75" x14ac:dyDescent="0.25">
      <c r="A92" s="23" t="s">
        <v>9</v>
      </c>
      <c r="B92" s="60">
        <v>1126</v>
      </c>
    </row>
    <row r="93" spans="1:2" ht="15.75" x14ac:dyDescent="0.25">
      <c r="A93" s="56" t="s">
        <v>10</v>
      </c>
      <c r="B93" s="61">
        <v>1338</v>
      </c>
    </row>
    <row r="94" spans="1:2" ht="16.5" thickBot="1" x14ac:dyDescent="0.3">
      <c r="A94" s="31"/>
      <c r="B94" s="6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Greg German</cp:lastModifiedBy>
  <cp:lastPrinted>2024-11-21T14:18:47Z</cp:lastPrinted>
  <dcterms:created xsi:type="dcterms:W3CDTF">2020-11-10T16:30:09Z</dcterms:created>
  <dcterms:modified xsi:type="dcterms:W3CDTF">2024-11-25T23:26:49Z</dcterms:modified>
</cp:coreProperties>
</file>