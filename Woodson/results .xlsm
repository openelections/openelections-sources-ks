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5" windowWidth="11295" windowHeight="6495" activeTab="2"/>
  </bookViews>
  <sheets>
    <sheet name="Advanced" sheetId="14" r:id="rId1"/>
    <sheet name="results" sheetId="12" r:id="rId2"/>
    <sheet name="Nov.2014" sheetId="13" r:id="rId3"/>
  </sheets>
  <definedNames>
    <definedName name="address" hidden="1">{"'results'!$B$3:$M$52"}</definedName>
    <definedName name="HTML_CodePage" hidden="1">1252</definedName>
    <definedName name="HTML_Control" localSheetId="0" hidden="1">{"'results'!$B$3:$M$52"}</definedName>
    <definedName name="HTML_Control" localSheetId="1" hidden="1">{"'results'!$B$3:$M$52"}</definedName>
    <definedName name="HTML_Control" hidden="1">{"'results'!$B$3:$M$52"}</definedName>
    <definedName name="HTML_Description" hidden="1">""</definedName>
    <definedName name="HTML_Email" hidden="1">""</definedName>
    <definedName name="HTML_Header" hidden="1">"Election Results"</definedName>
    <definedName name="HTML_LastUpdate" hidden="1">"4/1/03"</definedName>
    <definedName name="HTML_LineAfter" hidden="1">FALSE</definedName>
    <definedName name="HTML_LineBefore" hidden="1">FALSE</definedName>
    <definedName name="HTML_Name" hidden="1">"Shelley A. Stuber"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"C:\Clerk\SHELLEY\files\Election\Election.htm"</definedName>
    <definedName name="HTML_PathTemplate" hidden="1">"C:\Clerk\SHELLEY\files\Election\Election.htm"</definedName>
    <definedName name="HTML_Title" hidden="1">"Election"</definedName>
    <definedName name="_xlnm.Print_Area" localSheetId="0">Advanced!#REF!</definedName>
    <definedName name="_xlnm.Print_Area" localSheetId="1">results!#REF!</definedName>
    <definedName name="TABLE" localSheetId="0">Advanced!#REF!</definedName>
    <definedName name="TABLE" localSheetId="1">results!#REF!</definedName>
  </definedNames>
  <calcPr calcId="145621"/>
</workbook>
</file>

<file path=xl/calcChain.xml><?xml version="1.0" encoding="utf-8"?>
<calcChain xmlns="http://schemas.openxmlformats.org/spreadsheetml/2006/main">
  <c r="K37" i="13" l="1"/>
  <c r="K62" i="13" l="1"/>
  <c r="K61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39" i="13"/>
  <c r="K38" i="13"/>
  <c r="K36" i="13"/>
  <c r="K34" i="13"/>
  <c r="K32" i="13"/>
  <c r="K29" i="13"/>
  <c r="K27" i="13"/>
  <c r="K26" i="13"/>
  <c r="K24" i="13"/>
  <c r="K23" i="13"/>
  <c r="K21" i="13"/>
  <c r="K20" i="13"/>
  <c r="K18" i="13"/>
  <c r="K17" i="13"/>
  <c r="K15" i="13"/>
  <c r="K14" i="13"/>
  <c r="K13" i="13"/>
  <c r="K11" i="13"/>
  <c r="K10" i="13"/>
  <c r="K9" i="13"/>
  <c r="K7" i="13"/>
  <c r="K6" i="13"/>
  <c r="K5" i="13"/>
  <c r="L63" i="14" l="1"/>
  <c r="L62" i="14"/>
  <c r="L60" i="14"/>
  <c r="L59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0" i="14"/>
  <c r="L39" i="14"/>
  <c r="L38" i="14"/>
  <c r="L37" i="14"/>
  <c r="L35" i="14"/>
  <c r="L32" i="14"/>
  <c r="L30" i="14"/>
  <c r="L28" i="14"/>
  <c r="L27" i="14"/>
  <c r="L25" i="14"/>
  <c r="L24" i="14"/>
  <c r="L22" i="14"/>
  <c r="L21" i="14"/>
  <c r="L19" i="14"/>
  <c r="L18" i="14"/>
  <c r="L16" i="14"/>
  <c r="L15" i="14"/>
  <c r="L14" i="14"/>
  <c r="L12" i="14"/>
  <c r="L11" i="14"/>
  <c r="L10" i="14"/>
  <c r="L8" i="14"/>
  <c r="L7" i="14"/>
  <c r="L6" i="14"/>
  <c r="L63" i="12" l="1"/>
  <c r="L62" i="12"/>
  <c r="L60" i="12"/>
  <c r="L59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0" i="12"/>
  <c r="L39" i="12"/>
  <c r="L38" i="12"/>
  <c r="L37" i="12"/>
  <c r="L35" i="12"/>
  <c r="L32" i="12"/>
  <c r="L30" i="12"/>
  <c r="L28" i="12"/>
  <c r="L27" i="12"/>
  <c r="L25" i="12"/>
  <c r="L24" i="12"/>
  <c r="L22" i="12"/>
  <c r="L21" i="12"/>
  <c r="L19" i="12"/>
  <c r="L18" i="12"/>
  <c r="L16" i="12"/>
  <c r="L15" i="12"/>
  <c r="L14" i="12"/>
  <c r="L12" i="12"/>
  <c r="L11" i="12"/>
  <c r="L10" i="12"/>
  <c r="L8" i="12"/>
  <c r="L7" i="12"/>
  <c r="L6" i="12"/>
</calcChain>
</file>

<file path=xl/sharedStrings.xml><?xml version="1.0" encoding="utf-8"?>
<sst xmlns="http://schemas.openxmlformats.org/spreadsheetml/2006/main" count="286" uniqueCount="73">
  <si>
    <t>Candidates</t>
  </si>
  <si>
    <t xml:space="preserve"> </t>
  </si>
  <si>
    <t>Totals</t>
  </si>
  <si>
    <t>UNITED STATE SENATE</t>
  </si>
  <si>
    <t>Pat Roberts-R</t>
  </si>
  <si>
    <t>UNITED STATE HOUSE OF REPRESENTATIVES Dist #2</t>
  </si>
  <si>
    <t>Margie Wakefield-D</t>
  </si>
  <si>
    <t>Lynn Jenkins-R</t>
  </si>
  <si>
    <t>GOVERNOR/LT. GOVERNOR</t>
  </si>
  <si>
    <t>SECRETARY OF STATE</t>
  </si>
  <si>
    <t>Jean Kurtis Schodorf-D</t>
  </si>
  <si>
    <t>Kris Kobach-R</t>
  </si>
  <si>
    <t>ATTORNEY GENERAL</t>
  </si>
  <si>
    <t>A.J. Kotich-D</t>
  </si>
  <si>
    <t>Derek Schmidt-R</t>
  </si>
  <si>
    <t>STATE TREASURER</t>
  </si>
  <si>
    <t>Carmen Alldritt-D</t>
  </si>
  <si>
    <t>Ron Estes-R</t>
  </si>
  <si>
    <t>COMMISSIONER OF INSURANCE</t>
  </si>
  <si>
    <t>Dennis Anderson-D</t>
  </si>
  <si>
    <t>Ken Selzer-R</t>
  </si>
  <si>
    <t>KANSAS HOUSE OF REPRESENTATIVE DIST #13</t>
  </si>
  <si>
    <t>Larry P. Hibbard-R</t>
  </si>
  <si>
    <t>STATE BOARD OF EDUCATION DIST #9</t>
  </si>
  <si>
    <t>Jim Porter-R</t>
  </si>
  <si>
    <t>COUNTY COMMISSIONER DIST #1</t>
  </si>
  <si>
    <t>John Weseloh-R</t>
  </si>
  <si>
    <t>Randall Batson-L</t>
  </si>
  <si>
    <t>Greg Orman-i</t>
  </si>
  <si>
    <t>Christopher Clemmons-L</t>
  </si>
  <si>
    <t>Umbehr/Umbehr-L</t>
  </si>
  <si>
    <t>Brownback/Colyer-R</t>
  </si>
  <si>
    <t>Davis/Docking-D</t>
  </si>
  <si>
    <t>SUPREME COURT FOR JUSTICE</t>
  </si>
  <si>
    <t>Eric S. Rosen Pos #4    YES</t>
  </si>
  <si>
    <t>Lee Johnson Pos #6     YES</t>
  </si>
  <si>
    <t>COURT OF APPEALS FOR JUDGE</t>
  </si>
  <si>
    <t>Patrick D McAnany Pos #4 YES</t>
  </si>
  <si>
    <t>Stephen D Hill Pos #1      YES</t>
  </si>
  <si>
    <t>Kim R Schroeder Pos #5   YES</t>
  </si>
  <si>
    <t>Henry W Green Jr Pos #7 YES</t>
  </si>
  <si>
    <t>Anthony J Powell Pos #10 YES</t>
  </si>
  <si>
    <t>Tom Malone Pos #11       YES</t>
  </si>
  <si>
    <t>Michael B Buser Pos #12  YES</t>
  </si>
  <si>
    <t>Melissa T Standridge Pos#13YES</t>
  </si>
  <si>
    <t>David W Rogers Div #2     YES</t>
  </si>
  <si>
    <t>DISTRICT COURT FOR DISTRICT JUDGE DIST #31</t>
  </si>
  <si>
    <t>CONSTITUTIONAL AMENDMENT</t>
  </si>
  <si>
    <t>Raffles                       YES</t>
  </si>
  <si>
    <t xml:space="preserve">                               NO</t>
  </si>
  <si>
    <t>General Election Woodson County      Denice A. Julian, Clerk</t>
  </si>
  <si>
    <t xml:space="preserve">                            NO</t>
  </si>
  <si>
    <t xml:space="preserve">                                NO</t>
  </si>
  <si>
    <t>*  Unofficial winners until declared after the official canvass on 11/10/2014.</t>
  </si>
  <si>
    <t>** Tie for position until winner declared after official canvass on 11/10/2014.</t>
  </si>
  <si>
    <t>Neosho Falls</t>
  </si>
  <si>
    <t>Perry</t>
  </si>
  <si>
    <t>Piqua</t>
  </si>
  <si>
    <t>Center</t>
  </si>
  <si>
    <t>Liberty</t>
  </si>
  <si>
    <t>North</t>
  </si>
  <si>
    <t>Toronto</t>
  </si>
  <si>
    <t>YC1</t>
  </si>
  <si>
    <t>YC2</t>
  </si>
  <si>
    <t>Advanced</t>
  </si>
  <si>
    <t>neosho falls</t>
  </si>
  <si>
    <t>perry</t>
  </si>
  <si>
    <t>piqua</t>
  </si>
  <si>
    <t>toronto</t>
  </si>
  <si>
    <t>yc 1</t>
  </si>
  <si>
    <t>yc 2</t>
  </si>
  <si>
    <t>*</t>
  </si>
  <si>
    <t>Center, Liberty 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</si>
</sst>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b/>
      <sz val="10"/>
      <name val="Comic Sans MS"/>
      <family val="4"/>
    </font>
    <font>
      <sz val="10"/>
      <name val="Comic Sans MS"/>
      <family val="4"/>
    </font>
    <font>
      <b/>
      <sz val="11"/>
      <name val="Comic Sans MS"/>
      <family val="4"/>
    </font>
    <font>
      <sz val="11"/>
      <name val="Arial"/>
    </font>
    <font>
      <b/>
      <sz val="8"/>
      <name val="Comic Sans MS"/>
      <family val="4"/>
    </font>
    <font>
      <b/>
      <sz val="9"/>
      <name val="Comic Sans MS"/>
      <family val="4"/>
    </font>
    <font>
      <sz val="9"/>
      <name val="Comic Sans MS"/>
      <family val="4"/>
    </font>
    <font>
      <sz val="12"/>
      <name val="Arial"/>
    </font>
    <font>
      <sz val="10"/>
      <name val="Arial"/>
    </font>
    <font>
      <sz val="1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0" borderId="0" xfId="0" applyFont="1" applyProtection="1"/>
    <xf numFmtId="0" fontId="1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textRotation="45" wrapText="1"/>
      <protection locked="0"/>
    </xf>
    <xf numFmtId="0" fontId="7" fillId="0" borderId="0" xfId="0" applyFont="1" applyProtection="1"/>
    <xf numFmtId="0" fontId="7" fillId="0" borderId="0" xfId="0" applyFont="1" applyAlignment="1" applyProtection="1">
      <alignment wrapText="1"/>
    </xf>
    <xf numFmtId="0" fontId="3" fillId="3" borderId="3" xfId="0" applyFont="1" applyFill="1" applyBorder="1" applyAlignment="1" applyProtection="1">
      <alignment horizontal="left"/>
    </xf>
    <xf numFmtId="0" fontId="2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Alignment="1" applyProtection="1">
      <alignment horizontal="center"/>
    </xf>
    <xf numFmtId="0" fontId="7" fillId="0" borderId="4" xfId="0" applyFont="1" applyBorder="1" applyProtection="1"/>
    <xf numFmtId="0" fontId="7" fillId="0" borderId="4" xfId="0" applyFont="1" applyBorder="1" applyAlignment="1" applyProtection="1">
      <alignment wrapText="1"/>
    </xf>
    <xf numFmtId="0" fontId="8" fillId="3" borderId="5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center"/>
    </xf>
    <xf numFmtId="0" fontId="9" fillId="3" borderId="5" xfId="0" applyFont="1" applyFill="1" applyBorder="1" applyAlignment="1" applyProtection="1">
      <alignment horizontal="center"/>
    </xf>
    <xf numFmtId="0" fontId="10" fillId="0" borderId="3" xfId="0" applyFont="1" applyBorder="1" applyAlignment="1" applyProtection="1">
      <alignment horizontal="center"/>
    </xf>
    <xf numFmtId="0" fontId="9" fillId="4" borderId="3" xfId="0" applyFont="1" applyFill="1" applyBorder="1" applyAlignment="1" applyProtection="1">
      <alignment horizontal="center"/>
    </xf>
    <xf numFmtId="0" fontId="9" fillId="4" borderId="2" xfId="0" applyFont="1" applyFill="1" applyBorder="1" applyAlignment="1" applyProtection="1">
      <alignment horizontal="center"/>
    </xf>
    <xf numFmtId="0" fontId="9" fillId="4" borderId="6" xfId="0" applyFont="1" applyFill="1" applyBorder="1" applyAlignment="1" applyProtection="1">
      <alignment horizontal="center"/>
    </xf>
    <xf numFmtId="0" fontId="9" fillId="0" borderId="7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/>
    </xf>
    <xf numFmtId="0" fontId="10" fillId="0" borderId="4" xfId="0" applyFont="1" applyBorder="1" applyAlignment="1" applyProtection="1">
      <alignment horizontal="center" vertical="center"/>
    </xf>
    <xf numFmtId="0" fontId="3" fillId="3" borderId="9" xfId="0" applyFont="1" applyFill="1" applyBorder="1" applyAlignment="1" applyProtection="1"/>
    <xf numFmtId="0" fontId="1" fillId="4" borderId="0" xfId="0" applyFont="1" applyFill="1" applyAlignment="1" applyProtection="1"/>
    <xf numFmtId="0" fontId="2" fillId="4" borderId="0" xfId="0" applyFont="1" applyFill="1" applyAlignment="1" applyProtection="1">
      <alignment horizontal="center"/>
    </xf>
    <xf numFmtId="0" fontId="3" fillId="4" borderId="0" xfId="0" applyFont="1" applyFill="1" applyAlignment="1" applyProtection="1">
      <alignment horizontal="center"/>
    </xf>
    <xf numFmtId="0" fontId="10" fillId="0" borderId="2" xfId="0" applyFont="1" applyBorder="1" applyAlignment="1" applyProtection="1">
      <alignment horizontal="center"/>
    </xf>
    <xf numFmtId="0" fontId="3" fillId="5" borderId="3" xfId="0" applyFont="1" applyFill="1" applyBorder="1" applyAlignment="1" applyProtection="1">
      <alignment horizontal="left"/>
    </xf>
    <xf numFmtId="0" fontId="9" fillId="5" borderId="3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left"/>
    </xf>
    <xf numFmtId="0" fontId="2" fillId="0" borderId="7" xfId="0" applyFont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left"/>
    </xf>
    <xf numFmtId="0" fontId="1" fillId="4" borderId="8" xfId="0" applyFont="1" applyFill="1" applyBorder="1" applyAlignment="1" applyProtection="1">
      <alignment horizontal="left"/>
    </xf>
    <xf numFmtId="0" fontId="11" fillId="4" borderId="3" xfId="0" applyFont="1" applyFill="1" applyBorder="1" applyAlignment="1" applyProtection="1">
      <alignment horizontal="center"/>
    </xf>
    <xf numFmtId="0" fontId="11" fillId="4" borderId="6" xfId="0" applyFont="1" applyFill="1" applyBorder="1" applyAlignment="1" applyProtection="1">
      <alignment horizontal="center"/>
    </xf>
    <xf numFmtId="0" fontId="2" fillId="0" borderId="4" xfId="0" applyFont="1" applyBorder="1" applyProtection="1"/>
    <xf numFmtId="0" fontId="10" fillId="4" borderId="3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/>
    <xf numFmtId="0" fontId="2" fillId="5" borderId="0" xfId="0" applyFont="1" applyFill="1" applyBorder="1" applyAlignment="1" applyProtection="1">
      <alignment horizontal="center"/>
    </xf>
    <xf numFmtId="0" fontId="3" fillId="5" borderId="0" xfId="0" applyFont="1" applyFill="1" applyBorder="1" applyAlignment="1" applyProtection="1"/>
    <xf numFmtId="0" fontId="9" fillId="5" borderId="0" xfId="0" applyFont="1" applyFill="1" applyBorder="1" applyAlignment="1" applyProtection="1">
      <alignment horizontal="center"/>
    </xf>
    <xf numFmtId="0" fontId="7" fillId="4" borderId="0" xfId="0" applyFont="1" applyFill="1" applyBorder="1" applyProtection="1"/>
    <xf numFmtId="0" fontId="10" fillId="5" borderId="0" xfId="0" applyFont="1" applyFill="1" applyBorder="1" applyAlignment="1" applyProtection="1">
      <alignment horizontal="center"/>
    </xf>
    <xf numFmtId="0" fontId="3" fillId="5" borderId="0" xfId="0" applyFont="1" applyFill="1" applyBorder="1" applyAlignment="1" applyProtection="1">
      <alignment horizontal="left"/>
    </xf>
    <xf numFmtId="0" fontId="2" fillId="5" borderId="0" xfId="0" applyFont="1" applyFill="1" applyBorder="1" applyAlignment="1" applyProtection="1">
      <alignment horizontal="left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2" fillId="4" borderId="0" xfId="0" applyFont="1" applyFill="1" applyBorder="1" applyProtection="1"/>
    <xf numFmtId="0" fontId="0" fillId="4" borderId="0" xfId="0" applyFill="1" applyBorder="1" applyAlignment="1" applyProtection="1"/>
    <xf numFmtId="0" fontId="2" fillId="0" borderId="0" xfId="0" applyFont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10" fillId="3" borderId="5" xfId="0" applyFont="1" applyFill="1" applyBorder="1" applyAlignment="1" applyProtection="1">
      <alignment horizontal="center"/>
    </xf>
    <xf numFmtId="0" fontId="0" fillId="5" borderId="3" xfId="0" applyFont="1" applyFill="1" applyBorder="1" applyAlignment="1" applyProtection="1">
      <alignment horizontal="center"/>
    </xf>
    <xf numFmtId="0" fontId="0" fillId="5" borderId="2" xfId="0" applyFont="1" applyFill="1" applyBorder="1" applyAlignment="1" applyProtection="1">
      <alignment horizontal="center"/>
    </xf>
    <xf numFmtId="0" fontId="0" fillId="4" borderId="6" xfId="0" applyFont="1" applyFill="1" applyBorder="1" applyAlignment="1" applyProtection="1">
      <alignment horizontal="center"/>
    </xf>
    <xf numFmtId="0" fontId="0" fillId="4" borderId="7" xfId="0" applyFont="1" applyFill="1" applyBorder="1" applyAlignment="1" applyProtection="1">
      <alignment horizontal="center"/>
    </xf>
    <xf numFmtId="0" fontId="0" fillId="0" borderId="2" xfId="0" applyFont="1" applyBorder="1" applyAlignment="1" applyProtection="1">
      <alignment horizontal="center"/>
    </xf>
    <xf numFmtId="0" fontId="0" fillId="0" borderId="6" xfId="0" applyFont="1" applyBorder="1" applyAlignment="1" applyProtection="1">
      <alignment horizontal="center"/>
    </xf>
    <xf numFmtId="0" fontId="0" fillId="0" borderId="8" xfId="0" applyFont="1" applyBorder="1" applyAlignment="1" applyProtection="1">
      <alignment horizontal="center"/>
    </xf>
    <xf numFmtId="0" fontId="10" fillId="6" borderId="3" xfId="0" applyFont="1" applyFill="1" applyBorder="1" applyAlignment="1" applyProtection="1">
      <alignment horizontal="center"/>
    </xf>
    <xf numFmtId="0" fontId="7" fillId="4" borderId="4" xfId="0" applyFont="1" applyFill="1" applyBorder="1" applyProtection="1"/>
    <xf numFmtId="0" fontId="1" fillId="3" borderId="6" xfId="0" applyFont="1" applyFill="1" applyBorder="1" applyAlignment="1" applyProtection="1">
      <alignment horizontal="center"/>
    </xf>
    <xf numFmtId="0" fontId="11" fillId="0" borderId="3" xfId="0" applyFont="1" applyBorder="1"/>
    <xf numFmtId="0" fontId="1" fillId="0" borderId="3" xfId="0" applyFont="1" applyBorder="1"/>
    <xf numFmtId="0" fontId="1" fillId="3" borderId="3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/>
    <xf numFmtId="0" fontId="1" fillId="5" borderId="6" xfId="0" applyFont="1" applyFill="1" applyBorder="1" applyAlignment="1" applyProtection="1">
      <alignment horizontal="left"/>
    </xf>
    <xf numFmtId="0" fontId="6" fillId="7" borderId="2" xfId="0" applyFont="1" applyFill="1" applyBorder="1" applyAlignment="1" applyProtection="1">
      <alignment horizontal="center" vertical="top" wrapText="1"/>
    </xf>
    <xf numFmtId="0" fontId="5" fillId="7" borderId="2" xfId="0" applyFont="1" applyFill="1" applyBorder="1" applyAlignment="1" applyProtection="1">
      <alignment horizontal="center" textRotation="45" wrapText="1"/>
      <protection locked="0"/>
    </xf>
    <xf numFmtId="0" fontId="1" fillId="7" borderId="2" xfId="0" applyFont="1" applyFill="1" applyBorder="1" applyAlignment="1" applyProtection="1">
      <alignment horizontal="center" textRotation="45" wrapText="1"/>
      <protection locked="0"/>
    </xf>
    <xf numFmtId="0" fontId="3" fillId="7" borderId="2" xfId="0" applyFont="1" applyFill="1" applyBorder="1" applyAlignment="1" applyProtection="1">
      <alignment horizontal="center" textRotation="45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2" fillId="0" borderId="10" xfId="0" applyFont="1" applyFill="1" applyBorder="1" applyProtection="1"/>
    <xf numFmtId="0" fontId="1" fillId="0" borderId="0" xfId="0" applyFont="1" applyAlignment="1" applyProtection="1"/>
    <xf numFmtId="0" fontId="0" fillId="4" borderId="4" xfId="0" applyFont="1" applyFill="1" applyBorder="1" applyAlignment="1" applyProtection="1">
      <alignment horizontal="left"/>
    </xf>
    <xf numFmtId="0" fontId="0" fillId="5" borderId="4" xfId="0" applyFont="1" applyFill="1" applyBorder="1" applyAlignment="1" applyProtection="1">
      <alignment horizontal="left"/>
    </xf>
    <xf numFmtId="0" fontId="0" fillId="8" borderId="0" xfId="0" applyFill="1"/>
    <xf numFmtId="0" fontId="6" fillId="0" borderId="10" xfId="0" applyFont="1" applyBorder="1" applyAlignment="1" applyProtection="1"/>
    <xf numFmtId="0" fontId="0" fillId="0" borderId="10" xfId="0" applyBorder="1" applyAlignment="1"/>
    <xf numFmtId="0" fontId="1" fillId="0" borderId="0" xfId="0" applyFont="1" applyAlignment="1" applyProtection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showGridLines="0" topLeftCell="A3" zoomScaleNormal="100" workbookViewId="0">
      <selection activeCell="A3" sqref="A3:L70"/>
    </sheetView>
  </sheetViews>
  <sheetFormatPr defaultColWidth="9.140625" defaultRowHeight="18" outlineLevelCol="1" x14ac:dyDescent="0.35"/>
  <cols>
    <col min="1" max="1" width="31.42578125" style="92" customWidth="1"/>
    <col min="2" max="2" width="7.42578125" style="3" customWidth="1" outlineLevel="1"/>
    <col min="3" max="3" width="6.28515625" style="3" customWidth="1" outlineLevel="1"/>
    <col min="4" max="4" width="5.28515625" style="3" customWidth="1" outlineLevel="1"/>
    <col min="5" max="5" width="5.7109375" style="3" customWidth="1" outlineLevel="1"/>
    <col min="6" max="6" width="5.5703125" style="3" customWidth="1" outlineLevel="1"/>
    <col min="7" max="7" width="5.42578125" style="3" customWidth="1" outlineLevel="1"/>
    <col min="8" max="8" width="6" style="3" customWidth="1" outlineLevel="1"/>
    <col min="9" max="9" width="5.7109375" style="5" customWidth="1" outlineLevel="1"/>
    <col min="10" max="10" width="6.85546875" style="1" customWidth="1" outlineLevel="1"/>
    <col min="11" max="11" width="6.140625" style="1" customWidth="1" outlineLevel="1"/>
    <col min="12" max="16384" width="9.140625" style="1"/>
  </cols>
  <sheetData>
    <row r="1" spans="1:13" ht="16.5" hidden="1" x14ac:dyDescent="0.35">
      <c r="A1" s="2"/>
      <c r="B1" s="2"/>
      <c r="C1" s="2"/>
      <c r="D1" s="2"/>
      <c r="E1" s="2"/>
      <c r="F1" s="2"/>
      <c r="G1" s="2"/>
      <c r="H1" s="6"/>
      <c r="I1" s="6"/>
    </row>
    <row r="2" spans="1:13" ht="16.5" hidden="1" x14ac:dyDescent="0.35">
      <c r="B2" s="60"/>
      <c r="C2" s="60"/>
      <c r="D2" s="89"/>
      <c r="E2" s="89"/>
      <c r="F2" s="89"/>
      <c r="G2" s="89"/>
      <c r="H2" s="89"/>
      <c r="I2" s="90"/>
    </row>
    <row r="3" spans="1:13" ht="48.75" customHeight="1" x14ac:dyDescent="0.3">
      <c r="A3" s="82" t="s">
        <v>50</v>
      </c>
      <c r="B3" s="83" t="s">
        <v>61</v>
      </c>
      <c r="C3" s="84" t="s">
        <v>55</v>
      </c>
      <c r="D3" s="84" t="s">
        <v>56</v>
      </c>
      <c r="E3" s="84" t="s">
        <v>58</v>
      </c>
      <c r="F3" s="84" t="s">
        <v>59</v>
      </c>
      <c r="G3" s="84" t="s">
        <v>60</v>
      </c>
      <c r="H3" s="84" t="s">
        <v>62</v>
      </c>
      <c r="I3" s="84" t="s">
        <v>63</v>
      </c>
      <c r="J3" s="84" t="s">
        <v>57</v>
      </c>
      <c r="K3" s="84"/>
      <c r="L3" s="85" t="s">
        <v>2</v>
      </c>
      <c r="M3" s="91"/>
    </row>
    <row r="4" spans="1:13" s="7" customFormat="1" ht="16.5" x14ac:dyDescent="0.35">
      <c r="A4" s="76" t="s">
        <v>0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2"/>
    </row>
    <row r="5" spans="1:13" s="7" customFormat="1" x14ac:dyDescent="0.35">
      <c r="A5" s="9" t="s">
        <v>3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2"/>
    </row>
    <row r="6" spans="1:13" s="7" customFormat="1" x14ac:dyDescent="0.35">
      <c r="A6" s="36" t="s">
        <v>4</v>
      </c>
      <c r="B6" s="67">
        <v>19</v>
      </c>
      <c r="C6" s="67">
        <v>3</v>
      </c>
      <c r="D6" s="68">
        <v>7</v>
      </c>
      <c r="E6" s="67">
        <v>16</v>
      </c>
      <c r="F6" s="67">
        <v>10</v>
      </c>
      <c r="G6" s="67">
        <v>7</v>
      </c>
      <c r="H6" s="67">
        <v>22</v>
      </c>
      <c r="I6" s="67">
        <v>15</v>
      </c>
      <c r="J6" s="67">
        <v>10</v>
      </c>
      <c r="K6" s="67" t="s">
        <v>1</v>
      </c>
      <c r="L6" s="35">
        <f>SUM(B6:K6)</f>
        <v>109</v>
      </c>
      <c r="M6" s="12"/>
    </row>
    <row r="7" spans="1:13" s="7" customFormat="1" x14ac:dyDescent="0.35">
      <c r="A7" s="36" t="s">
        <v>27</v>
      </c>
      <c r="B7" s="67">
        <v>2</v>
      </c>
      <c r="C7" s="67">
        <v>0</v>
      </c>
      <c r="D7" s="68">
        <v>2</v>
      </c>
      <c r="E7" s="67">
        <v>1</v>
      </c>
      <c r="F7" s="67">
        <v>2</v>
      </c>
      <c r="G7" s="67">
        <v>0</v>
      </c>
      <c r="H7" s="67">
        <v>3</v>
      </c>
      <c r="I7" s="67">
        <v>2</v>
      </c>
      <c r="J7" s="67">
        <v>1</v>
      </c>
      <c r="K7" s="67" t="s">
        <v>1</v>
      </c>
      <c r="L7" s="35">
        <f>SUM(B7:K7)</f>
        <v>13</v>
      </c>
      <c r="M7" s="12"/>
    </row>
    <row r="8" spans="1:13" s="7" customFormat="1" x14ac:dyDescent="0.35">
      <c r="A8" s="36" t="s">
        <v>28</v>
      </c>
      <c r="B8" s="67">
        <v>9</v>
      </c>
      <c r="C8" s="67">
        <v>8</v>
      </c>
      <c r="D8" s="68">
        <v>2</v>
      </c>
      <c r="E8" s="67">
        <v>12</v>
      </c>
      <c r="F8" s="67">
        <v>5</v>
      </c>
      <c r="G8" s="67">
        <v>0</v>
      </c>
      <c r="H8" s="67">
        <v>19</v>
      </c>
      <c r="I8" s="67">
        <v>15</v>
      </c>
      <c r="J8" s="67">
        <v>8</v>
      </c>
      <c r="K8" s="67" t="s">
        <v>1</v>
      </c>
      <c r="L8" s="35">
        <f>SUM(B8:K8)</f>
        <v>78</v>
      </c>
      <c r="M8" s="12"/>
    </row>
    <row r="9" spans="1:13" s="7" customFormat="1" x14ac:dyDescent="0.35">
      <c r="A9" s="9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2"/>
    </row>
    <row r="10" spans="1:13" s="7" customFormat="1" ht="16.5" x14ac:dyDescent="0.35">
      <c r="A10" s="38" t="s">
        <v>6</v>
      </c>
      <c r="B10" s="67">
        <v>8</v>
      </c>
      <c r="C10" s="68">
        <v>8</v>
      </c>
      <c r="D10" s="67">
        <v>4</v>
      </c>
      <c r="E10" s="67">
        <v>11</v>
      </c>
      <c r="F10" s="67">
        <v>4</v>
      </c>
      <c r="G10" s="67">
        <v>0</v>
      </c>
      <c r="H10" s="67">
        <v>16</v>
      </c>
      <c r="I10" s="67">
        <v>15</v>
      </c>
      <c r="J10" s="67">
        <v>6</v>
      </c>
      <c r="K10" s="67" t="s">
        <v>1</v>
      </c>
      <c r="L10" s="17">
        <f>SUM(B10:K10)</f>
        <v>72</v>
      </c>
      <c r="M10" s="12"/>
    </row>
    <row r="11" spans="1:13" s="7" customFormat="1" ht="16.5" x14ac:dyDescent="0.35">
      <c r="A11" s="38" t="s">
        <v>29</v>
      </c>
      <c r="B11" s="69">
        <v>3</v>
      </c>
      <c r="C11" s="70">
        <v>0</v>
      </c>
      <c r="D11" s="69">
        <v>1</v>
      </c>
      <c r="E11" s="69">
        <v>1</v>
      </c>
      <c r="F11" s="69">
        <v>3</v>
      </c>
      <c r="G11" s="69">
        <v>0</v>
      </c>
      <c r="H11" s="69">
        <v>5</v>
      </c>
      <c r="I11" s="69">
        <v>1</v>
      </c>
      <c r="J11" s="69">
        <v>0</v>
      </c>
      <c r="K11" s="69" t="s">
        <v>1</v>
      </c>
      <c r="L11" s="17">
        <f>SUM(B11:K11)</f>
        <v>14</v>
      </c>
      <c r="M11" s="12"/>
    </row>
    <row r="12" spans="1:13" s="7" customFormat="1" ht="16.5" x14ac:dyDescent="0.35">
      <c r="A12" s="38" t="s">
        <v>7</v>
      </c>
      <c r="B12" s="69">
        <v>18</v>
      </c>
      <c r="C12" s="70">
        <v>2</v>
      </c>
      <c r="D12" s="69">
        <v>6</v>
      </c>
      <c r="E12" s="69">
        <v>17</v>
      </c>
      <c r="F12" s="69">
        <v>10</v>
      </c>
      <c r="G12" s="69">
        <v>7</v>
      </c>
      <c r="H12" s="69">
        <v>22</v>
      </c>
      <c r="I12" s="69">
        <v>17</v>
      </c>
      <c r="J12" s="69">
        <v>13</v>
      </c>
      <c r="K12" s="69" t="s">
        <v>1</v>
      </c>
      <c r="L12" s="17">
        <f>SUM(B12:K12)</f>
        <v>112</v>
      </c>
      <c r="M12" s="12"/>
    </row>
    <row r="13" spans="1:13" s="7" customFormat="1" x14ac:dyDescent="0.35">
      <c r="A13" s="9" t="s">
        <v>8</v>
      </c>
      <c r="B13" s="16"/>
      <c r="C13" s="16"/>
      <c r="D13" s="16"/>
      <c r="E13" s="16"/>
      <c r="F13" s="16"/>
      <c r="G13" s="16"/>
      <c r="H13" s="65"/>
      <c r="I13" s="16"/>
      <c r="J13" s="16"/>
      <c r="K13" s="16"/>
      <c r="L13" s="16"/>
      <c r="M13" s="12"/>
    </row>
    <row r="14" spans="1:13" s="7" customFormat="1" ht="16.5" x14ac:dyDescent="0.35">
      <c r="A14" s="38" t="s">
        <v>30</v>
      </c>
      <c r="B14" s="71">
        <v>1</v>
      </c>
      <c r="C14" s="71">
        <v>0</v>
      </c>
      <c r="D14" s="71">
        <v>1</v>
      </c>
      <c r="E14" s="71">
        <v>1</v>
      </c>
      <c r="F14" s="71">
        <v>1</v>
      </c>
      <c r="G14" s="71">
        <v>0</v>
      </c>
      <c r="H14" s="71">
        <v>4</v>
      </c>
      <c r="I14" s="71">
        <v>0</v>
      </c>
      <c r="J14" s="71">
        <v>1</v>
      </c>
      <c r="K14" s="71" t="s">
        <v>1</v>
      </c>
      <c r="L14" s="22">
        <f>SUM(B14:K14)</f>
        <v>9</v>
      </c>
      <c r="M14" s="12"/>
    </row>
    <row r="15" spans="1:13" s="7" customFormat="1" ht="16.5" x14ac:dyDescent="0.35">
      <c r="A15" s="38" t="s">
        <v>31</v>
      </c>
      <c r="B15" s="71">
        <v>19</v>
      </c>
      <c r="C15" s="71">
        <v>4</v>
      </c>
      <c r="D15" s="71">
        <v>4</v>
      </c>
      <c r="E15" s="71">
        <v>16</v>
      </c>
      <c r="F15" s="71">
        <v>7</v>
      </c>
      <c r="G15" s="71">
        <v>6</v>
      </c>
      <c r="H15" s="71">
        <v>18</v>
      </c>
      <c r="I15" s="71">
        <v>15</v>
      </c>
      <c r="J15" s="71">
        <v>9</v>
      </c>
      <c r="K15" s="71" t="s">
        <v>1</v>
      </c>
      <c r="L15" s="22">
        <f>SUM(B15:K15)</f>
        <v>98</v>
      </c>
      <c r="M15" s="12"/>
    </row>
    <row r="16" spans="1:13" s="7" customFormat="1" ht="16.5" x14ac:dyDescent="0.35">
      <c r="A16" s="38" t="s">
        <v>32</v>
      </c>
      <c r="B16" s="71">
        <v>9</v>
      </c>
      <c r="C16" s="71">
        <v>7</v>
      </c>
      <c r="D16" s="71">
        <v>6</v>
      </c>
      <c r="E16" s="71">
        <v>12</v>
      </c>
      <c r="F16" s="71">
        <v>9</v>
      </c>
      <c r="G16" s="71">
        <v>1</v>
      </c>
      <c r="H16" s="71">
        <v>22</v>
      </c>
      <c r="I16" s="71">
        <v>19</v>
      </c>
      <c r="J16" s="71">
        <v>9</v>
      </c>
      <c r="K16" s="71" t="s">
        <v>1</v>
      </c>
      <c r="L16" s="22">
        <f>SUM(B16:K16)</f>
        <v>94</v>
      </c>
      <c r="M16" s="12"/>
    </row>
    <row r="17" spans="1:13" s="8" customFormat="1" x14ac:dyDescent="0.35">
      <c r="A17" s="9" t="s">
        <v>9</v>
      </c>
      <c r="B17" s="16"/>
      <c r="C17" s="16"/>
      <c r="D17" s="16"/>
      <c r="E17" s="16"/>
      <c r="F17" s="16"/>
      <c r="G17" s="16"/>
      <c r="H17" s="16"/>
      <c r="I17" s="16"/>
      <c r="J17" s="66"/>
      <c r="K17" s="16"/>
      <c r="L17" s="16"/>
      <c r="M17" s="12"/>
    </row>
    <row r="18" spans="1:13" s="7" customFormat="1" ht="14.25" x14ac:dyDescent="0.3">
      <c r="A18" s="77" t="s">
        <v>10</v>
      </c>
      <c r="B18" s="62">
        <v>10</v>
      </c>
      <c r="C18" s="62">
        <v>8</v>
      </c>
      <c r="D18" s="62">
        <v>5</v>
      </c>
      <c r="E18" s="62">
        <v>10</v>
      </c>
      <c r="F18" s="62">
        <v>7</v>
      </c>
      <c r="G18" s="62">
        <v>0</v>
      </c>
      <c r="H18" s="62">
        <v>20</v>
      </c>
      <c r="I18" s="62">
        <v>12</v>
      </c>
      <c r="J18" s="62">
        <v>7</v>
      </c>
      <c r="K18" s="62" t="s">
        <v>1</v>
      </c>
      <c r="L18" s="21">
        <f>SUM(B18:K18)</f>
        <v>79</v>
      </c>
      <c r="M18" s="12"/>
    </row>
    <row r="19" spans="1:13" s="7" customFormat="1" ht="14.25" x14ac:dyDescent="0.3">
      <c r="A19" s="77" t="s">
        <v>11</v>
      </c>
      <c r="B19" s="62">
        <v>20</v>
      </c>
      <c r="C19" s="62">
        <v>3</v>
      </c>
      <c r="D19" s="62">
        <v>6</v>
      </c>
      <c r="E19" s="62">
        <v>18</v>
      </c>
      <c r="F19" s="62">
        <v>10</v>
      </c>
      <c r="G19" s="62">
        <v>5</v>
      </c>
      <c r="H19" s="62">
        <v>25</v>
      </c>
      <c r="I19" s="62">
        <v>21</v>
      </c>
      <c r="J19" s="62">
        <v>12</v>
      </c>
      <c r="K19" s="62" t="s">
        <v>1</v>
      </c>
      <c r="L19" s="21">
        <f>SUM(B19:K19)</f>
        <v>120</v>
      </c>
      <c r="M19" s="12"/>
    </row>
    <row r="20" spans="1:13" s="7" customFormat="1" x14ac:dyDescent="0.35">
      <c r="A20" s="9" t="s">
        <v>12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3"/>
    </row>
    <row r="21" spans="1:13" s="7" customFormat="1" ht="15" x14ac:dyDescent="0.3">
      <c r="A21" s="77" t="s">
        <v>14</v>
      </c>
      <c r="B21" s="62">
        <v>24</v>
      </c>
      <c r="C21" s="62">
        <v>5</v>
      </c>
      <c r="D21" s="62">
        <v>8</v>
      </c>
      <c r="E21" s="62">
        <v>21</v>
      </c>
      <c r="F21" s="62">
        <v>14</v>
      </c>
      <c r="G21" s="62">
        <v>6</v>
      </c>
      <c r="H21" s="62">
        <v>32</v>
      </c>
      <c r="I21" s="62">
        <v>27</v>
      </c>
      <c r="J21" s="62">
        <v>14</v>
      </c>
      <c r="K21" s="62" t="s">
        <v>1</v>
      </c>
      <c r="L21" s="39">
        <f>SUM(B21:K21)</f>
        <v>151</v>
      </c>
      <c r="M21" s="13"/>
    </row>
    <row r="22" spans="1:13" s="7" customFormat="1" ht="16.5" x14ac:dyDescent="0.35">
      <c r="A22" s="40" t="s">
        <v>13</v>
      </c>
      <c r="B22" s="41">
        <v>6</v>
      </c>
      <c r="C22" s="72">
        <v>6</v>
      </c>
      <c r="D22" s="72">
        <v>3</v>
      </c>
      <c r="E22" s="72">
        <v>7</v>
      </c>
      <c r="F22" s="72">
        <v>3</v>
      </c>
      <c r="G22" s="72">
        <v>0</v>
      </c>
      <c r="H22" s="72">
        <v>10</v>
      </c>
      <c r="I22" s="72">
        <v>6</v>
      </c>
      <c r="J22" s="72">
        <v>5</v>
      </c>
      <c r="K22" s="72" t="s">
        <v>1</v>
      </c>
      <c r="L22" s="39">
        <f>SUM(B22:K22)</f>
        <v>46</v>
      </c>
      <c r="M22" s="12"/>
    </row>
    <row r="23" spans="1:13" s="7" customFormat="1" x14ac:dyDescent="0.35">
      <c r="A23" s="9" t="s">
        <v>15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2"/>
    </row>
    <row r="24" spans="1:13" s="7" customFormat="1" ht="15" x14ac:dyDescent="0.3">
      <c r="A24" s="77" t="s">
        <v>17</v>
      </c>
      <c r="B24" s="62">
        <v>23</v>
      </c>
      <c r="C24" s="62">
        <v>4</v>
      </c>
      <c r="D24" s="62">
        <v>7</v>
      </c>
      <c r="E24" s="62">
        <v>20</v>
      </c>
      <c r="F24" s="62">
        <v>12</v>
      </c>
      <c r="G24" s="62">
        <v>6</v>
      </c>
      <c r="H24" s="62">
        <v>30</v>
      </c>
      <c r="I24" s="62">
        <v>25</v>
      </c>
      <c r="J24" s="62">
        <v>11</v>
      </c>
      <c r="K24" s="62" t="s">
        <v>1</v>
      </c>
      <c r="L24" s="23">
        <f>SUM(B24:K24)</f>
        <v>138</v>
      </c>
      <c r="M24" s="12"/>
    </row>
    <row r="25" spans="1:13" s="7" customFormat="1" ht="16.5" x14ac:dyDescent="0.35">
      <c r="A25" s="42" t="s">
        <v>16</v>
      </c>
      <c r="B25" s="68">
        <v>7</v>
      </c>
      <c r="C25" s="68">
        <v>7</v>
      </c>
      <c r="D25" s="68">
        <v>4</v>
      </c>
      <c r="E25" s="68">
        <v>7</v>
      </c>
      <c r="F25" s="68">
        <v>4</v>
      </c>
      <c r="G25" s="68">
        <v>0</v>
      </c>
      <c r="H25" s="68">
        <v>12</v>
      </c>
      <c r="I25" s="68">
        <v>8</v>
      </c>
      <c r="J25" s="68">
        <v>8</v>
      </c>
      <c r="K25" s="68" t="s">
        <v>1</v>
      </c>
      <c r="L25" s="23">
        <f>SUM(B25:K25)</f>
        <v>57</v>
      </c>
      <c r="M25" s="12"/>
    </row>
    <row r="26" spans="1:13" s="7" customFormat="1" x14ac:dyDescent="0.35">
      <c r="A26" s="9" t="s">
        <v>18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2"/>
    </row>
    <row r="27" spans="1:13" s="7" customFormat="1" ht="16.5" x14ac:dyDescent="0.35">
      <c r="A27" s="78" t="s">
        <v>20</v>
      </c>
      <c r="B27" s="63">
        <v>22</v>
      </c>
      <c r="C27" s="62">
        <v>4</v>
      </c>
      <c r="D27" s="62">
        <v>7</v>
      </c>
      <c r="E27" s="62">
        <v>17</v>
      </c>
      <c r="F27" s="62">
        <v>9</v>
      </c>
      <c r="G27" s="62">
        <v>5</v>
      </c>
      <c r="H27" s="62">
        <v>23</v>
      </c>
      <c r="I27" s="62">
        <v>19</v>
      </c>
      <c r="J27" s="62">
        <v>10</v>
      </c>
      <c r="K27" s="62" t="s">
        <v>1</v>
      </c>
      <c r="L27" s="23">
        <f>SUM(B27:K27)</f>
        <v>116</v>
      </c>
      <c r="M27" s="12"/>
    </row>
    <row r="28" spans="1:13" s="7" customFormat="1" ht="16.5" x14ac:dyDescent="0.35">
      <c r="A28" s="78" t="s">
        <v>19</v>
      </c>
      <c r="B28" s="63">
        <v>6</v>
      </c>
      <c r="C28" s="62">
        <v>7</v>
      </c>
      <c r="D28" s="62">
        <v>4</v>
      </c>
      <c r="E28" s="62">
        <v>8</v>
      </c>
      <c r="F28" s="62">
        <v>7</v>
      </c>
      <c r="G28" s="62">
        <v>0</v>
      </c>
      <c r="H28" s="62">
        <v>19</v>
      </c>
      <c r="I28" s="62">
        <v>14</v>
      </c>
      <c r="J28" s="62">
        <v>8</v>
      </c>
      <c r="K28" s="62" t="s">
        <v>1</v>
      </c>
      <c r="L28" s="23">
        <f>SUM(B28:K28)</f>
        <v>73</v>
      </c>
      <c r="M28" s="12"/>
    </row>
    <row r="29" spans="1:13" s="7" customFormat="1" x14ac:dyDescent="0.35">
      <c r="A29" s="9" t="s">
        <v>21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2"/>
    </row>
    <row r="30" spans="1:13" s="7" customFormat="1" ht="16.5" x14ac:dyDescent="0.35">
      <c r="A30" s="42" t="s">
        <v>22</v>
      </c>
      <c r="B30" s="67">
        <v>27</v>
      </c>
      <c r="C30" s="67">
        <v>7</v>
      </c>
      <c r="D30" s="67">
        <v>8</v>
      </c>
      <c r="E30" s="67">
        <v>25</v>
      </c>
      <c r="F30" s="67">
        <v>17</v>
      </c>
      <c r="G30" s="67">
        <v>5</v>
      </c>
      <c r="H30" s="67">
        <v>39</v>
      </c>
      <c r="I30" s="67">
        <v>28</v>
      </c>
      <c r="J30" s="67">
        <v>14</v>
      </c>
      <c r="K30" s="67" t="s">
        <v>1</v>
      </c>
      <c r="L30" s="25">
        <f>SUM(B30:K30)</f>
        <v>170</v>
      </c>
      <c r="M30" s="12"/>
    </row>
    <row r="31" spans="1:13" s="7" customFormat="1" ht="18.75" thickBot="1" x14ac:dyDescent="0.4">
      <c r="A31" s="31" t="s">
        <v>23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2"/>
    </row>
    <row r="32" spans="1:13" s="7" customFormat="1" ht="16.5" x14ac:dyDescent="0.35">
      <c r="A32" s="24" t="s">
        <v>24</v>
      </c>
      <c r="B32" s="26">
        <v>29</v>
      </c>
      <c r="C32" s="71">
        <v>6</v>
      </c>
      <c r="D32" s="71">
        <v>9</v>
      </c>
      <c r="E32" s="71">
        <v>22</v>
      </c>
      <c r="F32" s="71">
        <v>15</v>
      </c>
      <c r="G32" s="71">
        <v>5</v>
      </c>
      <c r="H32" s="71">
        <v>39</v>
      </c>
      <c r="I32" s="71">
        <v>29</v>
      </c>
      <c r="J32" s="71">
        <v>12</v>
      </c>
      <c r="K32" s="71" t="s">
        <v>1</v>
      </c>
      <c r="L32" s="27">
        <f>SUM(B32:K32)</f>
        <v>166</v>
      </c>
      <c r="M32" s="12"/>
    </row>
    <row r="33" spans="1:13" s="7" customFormat="1" ht="16.5" x14ac:dyDescent="0.35">
      <c r="A33" s="42"/>
      <c r="B33" s="86"/>
      <c r="C33" s="87"/>
      <c r="D33" s="87"/>
      <c r="E33" s="87"/>
      <c r="F33" s="87"/>
      <c r="G33" s="87"/>
      <c r="H33" s="87"/>
      <c r="I33" s="87"/>
      <c r="J33" s="87"/>
      <c r="K33" s="87"/>
      <c r="L33" s="88"/>
      <c r="M33" s="12"/>
    </row>
    <row r="34" spans="1:13" s="7" customFormat="1" ht="16.5" x14ac:dyDescent="0.35">
      <c r="A34" s="79" t="s">
        <v>25</v>
      </c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2"/>
    </row>
    <row r="35" spans="1:13" s="7" customFormat="1" ht="19.899999999999999" customHeight="1" x14ac:dyDescent="0.35">
      <c r="A35" s="43" t="s">
        <v>26</v>
      </c>
      <c r="B35" s="28">
        <v>0</v>
      </c>
      <c r="C35" s="73">
        <v>7</v>
      </c>
      <c r="D35" s="73">
        <v>9</v>
      </c>
      <c r="E35" s="73">
        <v>8</v>
      </c>
      <c r="F35" s="73">
        <v>7</v>
      </c>
      <c r="G35" s="73">
        <v>0</v>
      </c>
      <c r="H35" s="73">
        <v>0</v>
      </c>
      <c r="I35" s="73">
        <v>0</v>
      </c>
      <c r="J35" s="29">
        <v>8</v>
      </c>
      <c r="K35" s="29"/>
      <c r="L35" s="30">
        <f>SUM(B35:K35)</f>
        <v>39</v>
      </c>
      <c r="M35" s="12"/>
    </row>
    <row r="36" spans="1:13" s="7" customFormat="1" ht="15" customHeight="1" x14ac:dyDescent="0.35">
      <c r="A36" s="79" t="s">
        <v>33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2"/>
    </row>
    <row r="37" spans="1:13" s="7" customFormat="1" ht="16.5" x14ac:dyDescent="0.35">
      <c r="A37" s="38" t="s">
        <v>34</v>
      </c>
      <c r="B37" s="67">
        <v>14</v>
      </c>
      <c r="C37" s="18">
        <v>7</v>
      </c>
      <c r="D37" s="67">
        <v>5</v>
      </c>
      <c r="E37" s="44">
        <v>14</v>
      </c>
      <c r="F37" s="18">
        <v>7</v>
      </c>
      <c r="G37" s="18">
        <v>4</v>
      </c>
      <c r="H37" s="18">
        <v>22</v>
      </c>
      <c r="I37" s="18">
        <v>19</v>
      </c>
      <c r="J37" s="18">
        <v>9</v>
      </c>
      <c r="K37" s="18"/>
      <c r="L37" s="35">
        <f>SUM(B37:K37)</f>
        <v>101</v>
      </c>
      <c r="M37" s="12"/>
    </row>
    <row r="38" spans="1:13" ht="16.5" x14ac:dyDescent="0.35">
      <c r="A38" s="38" t="s">
        <v>51</v>
      </c>
      <c r="B38" s="62">
        <v>12</v>
      </c>
      <c r="C38" s="62">
        <v>3</v>
      </c>
      <c r="D38" s="62">
        <v>5</v>
      </c>
      <c r="E38" s="64">
        <v>12</v>
      </c>
      <c r="F38" s="62">
        <v>10</v>
      </c>
      <c r="G38" s="62">
        <v>1</v>
      </c>
      <c r="H38" s="62">
        <v>16</v>
      </c>
      <c r="I38" s="62">
        <v>10</v>
      </c>
      <c r="J38" s="62">
        <v>8</v>
      </c>
      <c r="K38" s="62"/>
      <c r="L38" s="35">
        <f t="shared" ref="L38:L63" si="0">SUM(B38:K38)</f>
        <v>77</v>
      </c>
      <c r="M38" s="12"/>
    </row>
    <row r="39" spans="1:13" ht="16.5" x14ac:dyDescent="0.35">
      <c r="A39" s="38" t="s">
        <v>35</v>
      </c>
      <c r="B39" s="69">
        <v>15</v>
      </c>
      <c r="C39" s="20">
        <v>5</v>
      </c>
      <c r="D39" s="20">
        <v>7</v>
      </c>
      <c r="E39" s="45">
        <v>13</v>
      </c>
      <c r="F39" s="69">
        <v>9</v>
      </c>
      <c r="G39" s="20">
        <v>4</v>
      </c>
      <c r="H39" s="20">
        <v>23</v>
      </c>
      <c r="I39" s="20">
        <v>18</v>
      </c>
      <c r="J39" s="20">
        <v>7</v>
      </c>
      <c r="K39" s="20"/>
      <c r="L39" s="35">
        <f t="shared" si="0"/>
        <v>101</v>
      </c>
      <c r="M39" s="12"/>
    </row>
    <row r="40" spans="1:13" ht="16.5" x14ac:dyDescent="0.35">
      <c r="A40" s="78" t="s">
        <v>51</v>
      </c>
      <c r="B40" s="62">
        <v>10</v>
      </c>
      <c r="C40" s="62">
        <v>3</v>
      </c>
      <c r="D40" s="62">
        <v>4</v>
      </c>
      <c r="E40" s="64">
        <v>11</v>
      </c>
      <c r="F40" s="62">
        <v>8</v>
      </c>
      <c r="G40" s="62">
        <v>1</v>
      </c>
      <c r="H40" s="62">
        <v>15</v>
      </c>
      <c r="I40" s="62">
        <v>11</v>
      </c>
      <c r="J40" s="62">
        <v>8</v>
      </c>
      <c r="K40" s="62"/>
      <c r="L40" s="35">
        <f t="shared" si="0"/>
        <v>71</v>
      </c>
      <c r="M40" s="12"/>
    </row>
    <row r="41" spans="1:13" ht="18.75" thickBot="1" x14ac:dyDescent="0.4">
      <c r="A41" s="31" t="s">
        <v>36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46"/>
    </row>
    <row r="42" spans="1:13" ht="16.5" x14ac:dyDescent="0.35">
      <c r="A42" s="80" t="s">
        <v>38</v>
      </c>
      <c r="B42" s="67">
        <v>17</v>
      </c>
      <c r="C42" s="18">
        <v>5</v>
      </c>
      <c r="D42" s="67">
        <v>6</v>
      </c>
      <c r="E42" s="18">
        <v>15</v>
      </c>
      <c r="F42" s="18">
        <v>7</v>
      </c>
      <c r="G42" s="18">
        <v>4</v>
      </c>
      <c r="H42" s="18">
        <v>25</v>
      </c>
      <c r="I42" s="18">
        <v>18</v>
      </c>
      <c r="J42" s="18">
        <v>7</v>
      </c>
      <c r="K42" s="18"/>
      <c r="L42" s="35">
        <f t="shared" si="0"/>
        <v>104</v>
      </c>
      <c r="M42" s="46"/>
    </row>
    <row r="43" spans="1:13" ht="16.5" x14ac:dyDescent="0.35">
      <c r="A43" s="80" t="s">
        <v>49</v>
      </c>
      <c r="B43" s="67">
        <v>10</v>
      </c>
      <c r="C43" s="67">
        <v>3</v>
      </c>
      <c r="D43" s="18">
        <v>5</v>
      </c>
      <c r="E43" s="18">
        <v>10</v>
      </c>
      <c r="F43" s="67">
        <v>10</v>
      </c>
      <c r="G43" s="18">
        <v>0</v>
      </c>
      <c r="H43" s="18">
        <v>13</v>
      </c>
      <c r="I43" s="18">
        <v>10</v>
      </c>
      <c r="J43" s="18">
        <v>10</v>
      </c>
      <c r="K43" s="18"/>
      <c r="L43" s="35">
        <f t="shared" si="0"/>
        <v>71</v>
      </c>
      <c r="M43" s="46"/>
    </row>
    <row r="44" spans="1:13" ht="16.5" x14ac:dyDescent="0.35">
      <c r="A44" s="80" t="s">
        <v>37</v>
      </c>
      <c r="B44" s="67">
        <v>17</v>
      </c>
      <c r="C44" s="67">
        <v>5</v>
      </c>
      <c r="D44" s="18">
        <v>5</v>
      </c>
      <c r="E44" s="18">
        <v>14</v>
      </c>
      <c r="F44" s="67">
        <v>8</v>
      </c>
      <c r="G44" s="18">
        <v>3</v>
      </c>
      <c r="H44" s="18">
        <v>26</v>
      </c>
      <c r="I44" s="18">
        <v>17</v>
      </c>
      <c r="J44" s="18">
        <v>9</v>
      </c>
      <c r="K44" s="18"/>
      <c r="L44" s="35">
        <f t="shared" si="0"/>
        <v>104</v>
      </c>
      <c r="M44" s="46"/>
    </row>
    <row r="45" spans="1:13" ht="16.5" x14ac:dyDescent="0.35">
      <c r="A45" s="80" t="s">
        <v>49</v>
      </c>
      <c r="B45" s="67">
        <v>10</v>
      </c>
      <c r="C45" s="67">
        <v>3</v>
      </c>
      <c r="D45" s="18">
        <v>6</v>
      </c>
      <c r="E45" s="18">
        <v>10</v>
      </c>
      <c r="F45" s="67">
        <v>9</v>
      </c>
      <c r="G45" s="18">
        <v>1</v>
      </c>
      <c r="H45" s="18">
        <v>12</v>
      </c>
      <c r="I45" s="18">
        <v>11</v>
      </c>
      <c r="J45" s="18">
        <v>8</v>
      </c>
      <c r="K45" s="18"/>
      <c r="L45" s="35">
        <f t="shared" si="0"/>
        <v>70</v>
      </c>
      <c r="M45" s="46"/>
    </row>
    <row r="46" spans="1:13" ht="16.5" x14ac:dyDescent="0.35">
      <c r="A46" s="80" t="s">
        <v>39</v>
      </c>
      <c r="B46" s="67">
        <v>18</v>
      </c>
      <c r="C46" s="67">
        <v>7</v>
      </c>
      <c r="D46" s="18">
        <v>6</v>
      </c>
      <c r="E46" s="18">
        <v>14</v>
      </c>
      <c r="F46" s="67">
        <v>8</v>
      </c>
      <c r="G46" s="18">
        <v>4</v>
      </c>
      <c r="H46" s="18">
        <v>27</v>
      </c>
      <c r="I46" s="18">
        <v>17</v>
      </c>
      <c r="J46" s="18">
        <v>9</v>
      </c>
      <c r="K46" s="18"/>
      <c r="L46" s="35">
        <f t="shared" si="0"/>
        <v>110</v>
      </c>
      <c r="M46" s="46"/>
    </row>
    <row r="47" spans="1:13" ht="16.5" x14ac:dyDescent="0.35">
      <c r="A47" s="80" t="s">
        <v>49</v>
      </c>
      <c r="B47" s="67">
        <v>9</v>
      </c>
      <c r="C47" s="67">
        <v>1</v>
      </c>
      <c r="D47" s="18">
        <v>4</v>
      </c>
      <c r="E47" s="18">
        <v>10</v>
      </c>
      <c r="F47" s="67">
        <v>9</v>
      </c>
      <c r="G47" s="18">
        <v>0</v>
      </c>
      <c r="H47" s="18">
        <v>10</v>
      </c>
      <c r="I47" s="18">
        <v>10</v>
      </c>
      <c r="J47" s="18">
        <v>8</v>
      </c>
      <c r="K47" s="18"/>
      <c r="L47" s="35">
        <f t="shared" si="0"/>
        <v>61</v>
      </c>
      <c r="M47" s="46"/>
    </row>
    <row r="48" spans="1:13" ht="16.5" x14ac:dyDescent="0.35">
      <c r="A48" s="80" t="s">
        <v>40</v>
      </c>
      <c r="B48" s="67">
        <v>21</v>
      </c>
      <c r="C48" s="67">
        <v>7</v>
      </c>
      <c r="D48" s="18">
        <v>7</v>
      </c>
      <c r="E48" s="18">
        <v>17</v>
      </c>
      <c r="F48" s="67">
        <v>8</v>
      </c>
      <c r="G48" s="18">
        <v>3</v>
      </c>
      <c r="H48" s="18">
        <v>28</v>
      </c>
      <c r="I48" s="18">
        <v>20</v>
      </c>
      <c r="J48" s="18">
        <v>10</v>
      </c>
      <c r="K48" s="18"/>
      <c r="L48" s="35">
        <f t="shared" si="0"/>
        <v>121</v>
      </c>
      <c r="M48" s="46"/>
    </row>
    <row r="49" spans="1:13" ht="16.5" x14ac:dyDescent="0.35">
      <c r="A49" s="80" t="s">
        <v>49</v>
      </c>
      <c r="B49" s="67">
        <v>6</v>
      </c>
      <c r="C49" s="67">
        <v>1</v>
      </c>
      <c r="D49" s="67">
        <v>3</v>
      </c>
      <c r="E49" s="67">
        <v>7</v>
      </c>
      <c r="F49" s="67">
        <v>9</v>
      </c>
      <c r="G49" s="67">
        <v>1</v>
      </c>
      <c r="H49" s="67">
        <v>10</v>
      </c>
      <c r="I49" s="67">
        <v>9</v>
      </c>
      <c r="J49" s="37">
        <v>7</v>
      </c>
      <c r="K49" s="37"/>
      <c r="L49" s="35">
        <f t="shared" si="0"/>
        <v>53</v>
      </c>
      <c r="M49" s="46"/>
    </row>
    <row r="50" spans="1:13" ht="16.5" x14ac:dyDescent="0.35">
      <c r="A50" s="81" t="s">
        <v>41</v>
      </c>
      <c r="B50" s="67">
        <v>21</v>
      </c>
      <c r="C50" s="67">
        <v>7</v>
      </c>
      <c r="D50" s="37">
        <v>5</v>
      </c>
      <c r="E50" s="37">
        <v>17</v>
      </c>
      <c r="F50" s="37">
        <v>8</v>
      </c>
      <c r="G50" s="37">
        <v>4</v>
      </c>
      <c r="H50" s="37">
        <v>25</v>
      </c>
      <c r="I50" s="37">
        <v>19</v>
      </c>
      <c r="J50" s="37">
        <v>13</v>
      </c>
      <c r="K50" s="37"/>
      <c r="L50" s="35">
        <f t="shared" si="0"/>
        <v>119</v>
      </c>
      <c r="M50" s="46"/>
    </row>
    <row r="51" spans="1:13" ht="16.5" x14ac:dyDescent="0.35">
      <c r="A51" s="42" t="s">
        <v>49</v>
      </c>
      <c r="B51" s="47">
        <v>6</v>
      </c>
      <c r="C51" s="18">
        <v>1</v>
      </c>
      <c r="D51" s="18">
        <v>6</v>
      </c>
      <c r="E51" s="18">
        <v>7</v>
      </c>
      <c r="F51" s="19">
        <v>9</v>
      </c>
      <c r="G51" s="19">
        <v>0</v>
      </c>
      <c r="H51" s="68">
        <v>12</v>
      </c>
      <c r="I51" s="19">
        <v>10</v>
      </c>
      <c r="J51" s="19">
        <v>4</v>
      </c>
      <c r="K51" s="19"/>
      <c r="L51" s="35">
        <f t="shared" si="0"/>
        <v>55</v>
      </c>
      <c r="M51" s="46"/>
    </row>
    <row r="52" spans="1:13" ht="16.5" x14ac:dyDescent="0.35">
      <c r="A52" s="38" t="s">
        <v>42</v>
      </c>
      <c r="B52" s="47">
        <v>21</v>
      </c>
      <c r="C52" s="18">
        <v>7</v>
      </c>
      <c r="D52" s="18">
        <v>5</v>
      </c>
      <c r="E52" s="18">
        <v>18</v>
      </c>
      <c r="F52" s="18">
        <v>8</v>
      </c>
      <c r="G52" s="18">
        <v>3</v>
      </c>
      <c r="H52" s="67">
        <v>23</v>
      </c>
      <c r="I52" s="18">
        <v>18</v>
      </c>
      <c r="J52" s="18">
        <v>10</v>
      </c>
      <c r="K52" s="18"/>
      <c r="L52" s="35">
        <f t="shared" si="0"/>
        <v>113</v>
      </c>
      <c r="M52" s="46"/>
    </row>
    <row r="53" spans="1:13" ht="16.5" x14ac:dyDescent="0.35">
      <c r="A53" s="38" t="s">
        <v>49</v>
      </c>
      <c r="B53" s="47">
        <v>6</v>
      </c>
      <c r="C53" s="18">
        <v>1</v>
      </c>
      <c r="D53" s="18">
        <v>5</v>
      </c>
      <c r="E53" s="18">
        <v>6</v>
      </c>
      <c r="F53" s="18">
        <v>9</v>
      </c>
      <c r="G53" s="18">
        <v>1</v>
      </c>
      <c r="H53" s="67">
        <v>13</v>
      </c>
      <c r="I53" s="18">
        <v>11</v>
      </c>
      <c r="J53" s="18">
        <v>7</v>
      </c>
      <c r="K53" s="18"/>
      <c r="L53" s="35">
        <f t="shared" si="0"/>
        <v>59</v>
      </c>
      <c r="M53" s="46"/>
    </row>
    <row r="54" spans="1:13" ht="16.5" x14ac:dyDescent="0.35">
      <c r="A54" s="38" t="s">
        <v>43</v>
      </c>
      <c r="B54" s="47">
        <v>16</v>
      </c>
      <c r="C54" s="18">
        <v>5</v>
      </c>
      <c r="D54" s="18">
        <v>6</v>
      </c>
      <c r="E54" s="18">
        <v>14</v>
      </c>
      <c r="F54" s="18">
        <v>8</v>
      </c>
      <c r="G54" s="18">
        <v>3</v>
      </c>
      <c r="H54" s="67">
        <v>25</v>
      </c>
      <c r="I54" s="18">
        <v>18</v>
      </c>
      <c r="J54" s="18">
        <v>8</v>
      </c>
      <c r="K54" s="18"/>
      <c r="L54" s="35">
        <f t="shared" si="0"/>
        <v>103</v>
      </c>
      <c r="M54" s="46"/>
    </row>
    <row r="55" spans="1:13" ht="16.5" x14ac:dyDescent="0.35">
      <c r="A55" s="38" t="s">
        <v>49</v>
      </c>
      <c r="B55" s="18">
        <v>10</v>
      </c>
      <c r="C55" s="18">
        <v>3</v>
      </c>
      <c r="D55" s="18">
        <v>5</v>
      </c>
      <c r="E55" s="18">
        <v>10</v>
      </c>
      <c r="F55" s="18">
        <v>9</v>
      </c>
      <c r="G55" s="18">
        <v>1</v>
      </c>
      <c r="H55" s="18">
        <v>12</v>
      </c>
      <c r="I55" s="18">
        <v>10</v>
      </c>
      <c r="J55" s="18">
        <v>9</v>
      </c>
      <c r="K55" s="18"/>
      <c r="L55" s="35">
        <f t="shared" si="0"/>
        <v>69</v>
      </c>
      <c r="M55" s="46"/>
    </row>
    <row r="56" spans="1:13" ht="16.5" x14ac:dyDescent="0.35">
      <c r="A56" s="38" t="s">
        <v>44</v>
      </c>
      <c r="B56" s="18">
        <v>18</v>
      </c>
      <c r="C56" s="18">
        <v>5</v>
      </c>
      <c r="D56" s="18">
        <v>5</v>
      </c>
      <c r="E56" s="18">
        <v>14</v>
      </c>
      <c r="F56" s="18">
        <v>8</v>
      </c>
      <c r="G56" s="18">
        <v>4</v>
      </c>
      <c r="H56" s="18">
        <v>25</v>
      </c>
      <c r="I56" s="18">
        <v>19</v>
      </c>
      <c r="J56" s="18">
        <v>7</v>
      </c>
      <c r="K56" s="18"/>
      <c r="L56" s="35">
        <f t="shared" si="0"/>
        <v>105</v>
      </c>
      <c r="M56" s="46"/>
    </row>
    <row r="57" spans="1:13" ht="16.5" x14ac:dyDescent="0.35">
      <c r="A57" s="38" t="s">
        <v>52</v>
      </c>
      <c r="B57" s="18">
        <v>8</v>
      </c>
      <c r="C57" s="18">
        <v>3</v>
      </c>
      <c r="D57" s="18">
        <v>6</v>
      </c>
      <c r="E57" s="18">
        <v>10</v>
      </c>
      <c r="F57" s="18">
        <v>9</v>
      </c>
      <c r="G57" s="18">
        <v>0</v>
      </c>
      <c r="H57" s="18">
        <v>13</v>
      </c>
      <c r="I57" s="18">
        <v>10</v>
      </c>
      <c r="J57" s="18">
        <v>9</v>
      </c>
      <c r="K57" s="18"/>
      <c r="L57" s="17">
        <f t="shared" si="0"/>
        <v>68</v>
      </c>
      <c r="M57" s="46"/>
    </row>
    <row r="58" spans="1:13" ht="18.75" thickBot="1" x14ac:dyDescent="0.4">
      <c r="A58" s="31" t="s">
        <v>46</v>
      </c>
      <c r="B58" s="6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46"/>
    </row>
    <row r="59" spans="1:13" ht="16.5" x14ac:dyDescent="0.35">
      <c r="A59" s="38" t="s">
        <v>45</v>
      </c>
      <c r="B59" s="18">
        <v>26</v>
      </c>
      <c r="C59" s="18">
        <v>6</v>
      </c>
      <c r="D59" s="18">
        <v>5</v>
      </c>
      <c r="E59" s="18">
        <v>21</v>
      </c>
      <c r="F59" s="18">
        <v>12</v>
      </c>
      <c r="G59" s="18">
        <v>6</v>
      </c>
      <c r="H59" s="18">
        <v>30</v>
      </c>
      <c r="I59" s="18">
        <v>20</v>
      </c>
      <c r="J59" s="18">
        <v>13</v>
      </c>
      <c r="K59" s="18"/>
      <c r="L59" s="17">
        <f t="shared" si="0"/>
        <v>139</v>
      </c>
      <c r="M59" s="46"/>
    </row>
    <row r="60" spans="1:13" ht="16.5" x14ac:dyDescent="0.35">
      <c r="A60" s="38" t="s">
        <v>52</v>
      </c>
      <c r="B60" s="18">
        <v>4</v>
      </c>
      <c r="C60" s="18">
        <v>2</v>
      </c>
      <c r="D60" s="18">
        <v>5</v>
      </c>
      <c r="E60" s="18">
        <v>3</v>
      </c>
      <c r="F60" s="18">
        <v>5</v>
      </c>
      <c r="G60" s="18">
        <v>0</v>
      </c>
      <c r="H60" s="18">
        <v>8</v>
      </c>
      <c r="I60" s="18">
        <v>10</v>
      </c>
      <c r="J60" s="18">
        <v>2</v>
      </c>
      <c r="K60" s="18"/>
      <c r="L60" s="17">
        <f t="shared" si="0"/>
        <v>39</v>
      </c>
      <c r="M60" s="75"/>
    </row>
    <row r="61" spans="1:13" ht="18.75" thickBot="1" x14ac:dyDescent="0.4">
      <c r="A61" s="31" t="s">
        <v>47</v>
      </c>
      <c r="B61" s="66"/>
      <c r="C61" s="16"/>
      <c r="D61" s="16"/>
      <c r="E61" s="16"/>
      <c r="F61" s="16"/>
      <c r="G61" s="16"/>
      <c r="H61" s="16"/>
      <c r="I61" s="16"/>
      <c r="J61" s="16"/>
      <c r="K61" s="16"/>
      <c r="L61" s="74" t="s">
        <v>1</v>
      </c>
      <c r="M61" s="75"/>
    </row>
    <row r="62" spans="1:13" ht="16.5" x14ac:dyDescent="0.35">
      <c r="A62" s="38" t="s">
        <v>48</v>
      </c>
      <c r="B62" s="18">
        <v>21</v>
      </c>
      <c r="C62" s="18">
        <v>8</v>
      </c>
      <c r="D62" s="18">
        <v>7</v>
      </c>
      <c r="E62" s="18">
        <v>20</v>
      </c>
      <c r="F62" s="18">
        <v>13</v>
      </c>
      <c r="G62" s="18">
        <v>0</v>
      </c>
      <c r="H62" s="18">
        <v>27</v>
      </c>
      <c r="I62" s="18">
        <v>27</v>
      </c>
      <c r="J62" s="18">
        <v>12</v>
      </c>
      <c r="K62" s="18"/>
      <c r="L62" s="17">
        <f t="shared" si="0"/>
        <v>135</v>
      </c>
      <c r="M62" s="75"/>
    </row>
    <row r="63" spans="1:13" ht="16.5" x14ac:dyDescent="0.35">
      <c r="A63" s="38" t="s">
        <v>52</v>
      </c>
      <c r="B63" s="18">
        <v>8</v>
      </c>
      <c r="C63" s="18">
        <v>2</v>
      </c>
      <c r="D63" s="18">
        <v>4</v>
      </c>
      <c r="E63" s="18">
        <v>6</v>
      </c>
      <c r="F63" s="18">
        <v>4</v>
      </c>
      <c r="G63" s="18">
        <v>5</v>
      </c>
      <c r="H63" s="18">
        <v>15</v>
      </c>
      <c r="I63" s="18">
        <v>1</v>
      </c>
      <c r="J63" s="18">
        <v>7</v>
      </c>
      <c r="K63" s="18"/>
      <c r="L63" s="17">
        <f t="shared" si="0"/>
        <v>52</v>
      </c>
      <c r="M63" s="75"/>
    </row>
    <row r="64" spans="1:13" ht="15" x14ac:dyDescent="0.3">
      <c r="A64" s="96" t="s">
        <v>53</v>
      </c>
      <c r="B64" s="97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52"/>
    </row>
    <row r="65" spans="1:13" ht="16.5" x14ac:dyDescent="0.35">
      <c r="A65" s="98" t="s">
        <v>54</v>
      </c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52"/>
    </row>
    <row r="66" spans="1:13" x14ac:dyDescent="0.35">
      <c r="A66" s="55"/>
      <c r="B66" s="61"/>
      <c r="C66" s="61"/>
      <c r="D66" s="61"/>
      <c r="E66" s="61"/>
      <c r="F66" s="61"/>
      <c r="G66" s="51"/>
      <c r="H66" s="57"/>
      <c r="I66" s="49"/>
      <c r="J66" s="10"/>
      <c r="K66" s="10"/>
      <c r="L66" s="11"/>
      <c r="M66" s="58"/>
    </row>
    <row r="67" spans="1:13" x14ac:dyDescent="0.35">
      <c r="A67" s="55"/>
      <c r="B67" s="51"/>
      <c r="C67" s="51"/>
      <c r="D67" s="51"/>
      <c r="E67" s="51"/>
      <c r="F67" s="51"/>
      <c r="G67" s="51"/>
      <c r="H67" s="51"/>
      <c r="I67" s="49"/>
      <c r="J67" s="10"/>
      <c r="K67" s="10"/>
      <c r="L67" s="11"/>
      <c r="M67" s="58"/>
    </row>
    <row r="68" spans="1:13" x14ac:dyDescent="0.35">
      <c r="A68" s="54"/>
      <c r="B68" s="51"/>
      <c r="C68" s="51"/>
      <c r="D68" s="51"/>
      <c r="E68" s="51"/>
      <c r="F68" s="51"/>
      <c r="G68" s="51"/>
      <c r="H68" s="53"/>
      <c r="I68" s="49"/>
      <c r="J68" s="10"/>
      <c r="K68" s="10"/>
      <c r="L68" s="11"/>
      <c r="M68" s="58"/>
    </row>
    <row r="69" spans="1:13" x14ac:dyDescent="0.35">
      <c r="A69" s="55"/>
      <c r="B69" s="51"/>
      <c r="C69" s="51"/>
      <c r="D69" s="51"/>
      <c r="E69" s="51"/>
      <c r="F69" s="51"/>
      <c r="G69" s="51"/>
      <c r="H69" s="53"/>
      <c r="I69" s="49"/>
      <c r="J69" s="10"/>
      <c r="K69" s="10"/>
      <c r="L69" s="11"/>
      <c r="M69" s="59"/>
    </row>
    <row r="70" spans="1:13" x14ac:dyDescent="0.35">
      <c r="A70" s="50"/>
      <c r="B70" s="51"/>
      <c r="C70" s="51"/>
      <c r="D70" s="51"/>
      <c r="E70" s="51"/>
      <c r="F70" s="51"/>
      <c r="G70" s="51"/>
      <c r="H70" s="51"/>
      <c r="I70" s="49"/>
      <c r="J70" s="10"/>
      <c r="K70" s="10"/>
      <c r="L70" s="11"/>
      <c r="M70" s="58"/>
    </row>
    <row r="71" spans="1:13" x14ac:dyDescent="0.35">
      <c r="A71" s="54"/>
      <c r="B71" s="51"/>
      <c r="C71" s="51"/>
      <c r="D71" s="51"/>
      <c r="E71" s="51"/>
      <c r="F71" s="51"/>
      <c r="G71" s="51"/>
      <c r="H71" s="53"/>
      <c r="I71" s="49"/>
      <c r="J71" s="10"/>
      <c r="K71" s="10"/>
      <c r="L71" s="11"/>
      <c r="M71" s="58"/>
    </row>
    <row r="72" spans="1:13" x14ac:dyDescent="0.35">
      <c r="A72" s="55"/>
      <c r="B72" s="51"/>
      <c r="C72" s="51"/>
      <c r="D72" s="51"/>
      <c r="E72" s="51"/>
      <c r="F72" s="51"/>
      <c r="G72" s="51"/>
      <c r="H72" s="51"/>
      <c r="I72" s="49"/>
      <c r="J72" s="10"/>
      <c r="K72" s="10"/>
      <c r="L72" s="11"/>
      <c r="M72" s="58"/>
    </row>
    <row r="73" spans="1:13" x14ac:dyDescent="0.35">
      <c r="A73" s="55"/>
      <c r="B73" s="51"/>
      <c r="C73" s="51"/>
      <c r="D73" s="51"/>
      <c r="E73" s="51"/>
      <c r="F73" s="51"/>
      <c r="G73" s="51"/>
      <c r="H73" s="51"/>
      <c r="I73" s="49"/>
      <c r="J73" s="10"/>
      <c r="K73" s="10"/>
      <c r="L73" s="11"/>
      <c r="M73" s="58"/>
    </row>
    <row r="74" spans="1:13" x14ac:dyDescent="0.35">
      <c r="A74" s="54"/>
      <c r="B74" s="51"/>
      <c r="C74" s="51"/>
      <c r="D74" s="51"/>
      <c r="E74" s="51"/>
      <c r="F74" s="51"/>
      <c r="G74" s="51"/>
      <c r="H74" s="53"/>
      <c r="I74" s="49"/>
      <c r="J74" s="10"/>
      <c r="K74" s="10"/>
      <c r="L74" s="11"/>
      <c r="M74" s="58"/>
    </row>
    <row r="75" spans="1:13" x14ac:dyDescent="0.35">
      <c r="A75" s="55"/>
      <c r="B75" s="51"/>
      <c r="C75" s="51"/>
      <c r="D75" s="51"/>
      <c r="E75" s="51"/>
      <c r="F75" s="51"/>
      <c r="G75" s="51"/>
      <c r="H75" s="53"/>
      <c r="I75" s="49"/>
      <c r="J75" s="10"/>
      <c r="K75" s="10"/>
      <c r="L75" s="11"/>
      <c r="M75" s="58"/>
    </row>
    <row r="76" spans="1:13" x14ac:dyDescent="0.35">
      <c r="A76" s="54"/>
      <c r="B76" s="51"/>
      <c r="C76" s="51"/>
      <c r="D76" s="51"/>
      <c r="E76" s="51"/>
      <c r="F76" s="51"/>
      <c r="G76" s="51"/>
      <c r="H76" s="51"/>
      <c r="I76" s="49"/>
      <c r="J76" s="10"/>
      <c r="K76" s="10"/>
      <c r="L76" s="11"/>
      <c r="M76" s="58"/>
    </row>
    <row r="77" spans="1:13" x14ac:dyDescent="0.35">
      <c r="A77" s="55"/>
      <c r="B77" s="56"/>
      <c r="C77" s="51"/>
      <c r="D77" s="51"/>
      <c r="E77" s="51"/>
      <c r="F77" s="51"/>
      <c r="G77" s="51"/>
      <c r="H77" s="57"/>
      <c r="I77" s="49"/>
      <c r="J77" s="10"/>
      <c r="K77" s="10"/>
      <c r="L77" s="11"/>
      <c r="M77" s="58"/>
    </row>
    <row r="78" spans="1:13" x14ac:dyDescent="0.35">
      <c r="A78" s="54"/>
      <c r="B78" s="51"/>
      <c r="C78" s="51"/>
      <c r="D78" s="51"/>
      <c r="E78" s="51"/>
      <c r="F78" s="51"/>
      <c r="G78" s="51"/>
      <c r="H78" s="51"/>
      <c r="I78" s="49"/>
      <c r="J78" s="10"/>
      <c r="K78" s="10"/>
      <c r="L78" s="11"/>
      <c r="M78" s="58"/>
    </row>
    <row r="79" spans="1:13" x14ac:dyDescent="0.35">
      <c r="A79" s="55"/>
      <c r="B79" s="51"/>
      <c r="C79" s="51"/>
      <c r="D79" s="51"/>
      <c r="E79" s="51"/>
      <c r="F79" s="51"/>
      <c r="G79" s="51"/>
      <c r="H79" s="53"/>
      <c r="I79" s="49"/>
      <c r="J79" s="10"/>
      <c r="K79" s="10"/>
      <c r="L79" s="11"/>
      <c r="M79" s="58"/>
    </row>
    <row r="80" spans="1:13" x14ac:dyDescent="0.35">
      <c r="A80" s="55"/>
      <c r="B80" s="51"/>
      <c r="C80" s="51"/>
      <c r="D80" s="51"/>
      <c r="E80" s="51"/>
      <c r="F80" s="51"/>
      <c r="G80" s="51"/>
      <c r="H80" s="51"/>
      <c r="I80" s="49"/>
      <c r="J80" s="10"/>
      <c r="K80" s="10"/>
      <c r="L80" s="11"/>
      <c r="M80" s="58"/>
    </row>
    <row r="81" spans="1:13" x14ac:dyDescent="0.35">
      <c r="A81" s="48"/>
      <c r="B81" s="51"/>
      <c r="C81" s="51"/>
      <c r="D81" s="51"/>
      <c r="E81" s="51"/>
      <c r="F81" s="51"/>
      <c r="G81" s="51"/>
      <c r="H81" s="53"/>
      <c r="I81" s="49"/>
      <c r="J81" s="10"/>
      <c r="K81" s="10"/>
      <c r="L81" s="11"/>
      <c r="M81" s="58"/>
    </row>
    <row r="82" spans="1:13" x14ac:dyDescent="0.35">
      <c r="B82" s="51"/>
      <c r="C82" s="51"/>
      <c r="D82" s="51"/>
      <c r="E82" s="51"/>
      <c r="F82" s="51"/>
      <c r="G82" s="51"/>
      <c r="H82" s="53"/>
      <c r="I82" s="49"/>
      <c r="J82" s="10"/>
      <c r="K82" s="10"/>
      <c r="L82" s="11"/>
      <c r="M82" s="58"/>
    </row>
    <row r="83" spans="1:13" x14ac:dyDescent="0.35">
      <c r="B83" s="49"/>
      <c r="C83" s="49"/>
      <c r="D83" s="49"/>
      <c r="E83" s="49"/>
      <c r="F83" s="49"/>
      <c r="G83" s="49"/>
      <c r="H83" s="49"/>
      <c r="I83" s="49"/>
      <c r="J83" s="10"/>
      <c r="K83" s="10"/>
      <c r="L83" s="11"/>
      <c r="M83" s="58"/>
    </row>
    <row r="84" spans="1:13" x14ac:dyDescent="0.35">
      <c r="I84" s="60"/>
      <c r="J84" s="10"/>
      <c r="K84" s="10"/>
      <c r="L84" s="11"/>
      <c r="M84" s="58"/>
    </row>
    <row r="85" spans="1:13" x14ac:dyDescent="0.35">
      <c r="I85" s="60"/>
      <c r="J85" s="10"/>
      <c r="K85" s="10"/>
      <c r="L85" s="11"/>
      <c r="M85" s="58"/>
    </row>
    <row r="86" spans="1:13" x14ac:dyDescent="0.35">
      <c r="I86" s="3"/>
      <c r="J86" s="10"/>
      <c r="K86" s="10"/>
      <c r="L86" s="11"/>
      <c r="M86" s="58"/>
    </row>
    <row r="87" spans="1:13" x14ac:dyDescent="0.35">
      <c r="I87" s="3"/>
      <c r="J87" s="10"/>
      <c r="K87" s="10"/>
      <c r="L87" s="11"/>
      <c r="M87" s="58"/>
    </row>
    <row r="88" spans="1:13" x14ac:dyDescent="0.35">
      <c r="I88" s="3"/>
      <c r="J88" s="10"/>
      <c r="K88" s="10"/>
      <c r="L88" s="11"/>
      <c r="M88" s="58"/>
    </row>
    <row r="89" spans="1:13" x14ac:dyDescent="0.35">
      <c r="I89" s="3"/>
      <c r="J89" s="10"/>
      <c r="K89" s="10"/>
      <c r="L89" s="11"/>
      <c r="M89" s="58"/>
    </row>
    <row r="90" spans="1:13" x14ac:dyDescent="0.35">
      <c r="I90" s="3"/>
      <c r="J90" s="10"/>
      <c r="K90" s="10"/>
      <c r="L90" s="11"/>
      <c r="M90" s="58"/>
    </row>
    <row r="91" spans="1:13" x14ac:dyDescent="0.35">
      <c r="I91" s="3"/>
      <c r="J91" s="10"/>
      <c r="K91" s="10"/>
      <c r="L91" s="11"/>
      <c r="M91" s="58"/>
    </row>
    <row r="92" spans="1:13" x14ac:dyDescent="0.35">
      <c r="I92" s="3"/>
      <c r="J92" s="10"/>
      <c r="K92" s="10"/>
      <c r="L92" s="11"/>
      <c r="M92" s="58"/>
    </row>
    <row r="93" spans="1:13" x14ac:dyDescent="0.35">
      <c r="I93" s="3"/>
      <c r="J93" s="10"/>
      <c r="K93" s="10"/>
      <c r="L93" s="11"/>
      <c r="M93" s="58"/>
    </row>
    <row r="94" spans="1:13" x14ac:dyDescent="0.35">
      <c r="I94" s="3"/>
      <c r="J94" s="10"/>
      <c r="K94" s="10"/>
      <c r="L94" s="11"/>
      <c r="M94" s="58"/>
    </row>
    <row r="95" spans="1:13" x14ac:dyDescent="0.35">
      <c r="I95" s="3"/>
      <c r="J95" s="3"/>
      <c r="K95" s="3"/>
      <c r="L95" s="5"/>
    </row>
    <row r="96" spans="1:13" x14ac:dyDescent="0.35">
      <c r="I96" s="3"/>
      <c r="J96" s="3"/>
      <c r="K96" s="3"/>
      <c r="L96" s="5"/>
    </row>
    <row r="97" spans="1:12" x14ac:dyDescent="0.35">
      <c r="I97" s="3"/>
      <c r="J97" s="3"/>
      <c r="K97" s="3"/>
      <c r="L97" s="5"/>
    </row>
    <row r="98" spans="1:12" x14ac:dyDescent="0.35">
      <c r="I98" s="3"/>
      <c r="J98" s="3"/>
      <c r="K98" s="3"/>
      <c r="L98" s="5"/>
    </row>
    <row r="99" spans="1:12" x14ac:dyDescent="0.35">
      <c r="I99" s="3"/>
      <c r="J99" s="3"/>
      <c r="K99" s="3"/>
      <c r="L99" s="5"/>
    </row>
    <row r="100" spans="1:12" x14ac:dyDescent="0.35">
      <c r="I100" s="3"/>
      <c r="J100" s="3"/>
      <c r="K100" s="3"/>
      <c r="L100" s="5"/>
    </row>
    <row r="101" spans="1:12" x14ac:dyDescent="0.35">
      <c r="I101" s="3"/>
      <c r="J101" s="3"/>
      <c r="K101" s="3"/>
      <c r="L101" s="5"/>
    </row>
    <row r="102" spans="1:12" x14ac:dyDescent="0.35">
      <c r="I102" s="3"/>
      <c r="J102" s="3"/>
      <c r="K102" s="3"/>
      <c r="L102" s="5"/>
    </row>
    <row r="103" spans="1:12" x14ac:dyDescent="0.35">
      <c r="A103" s="32"/>
      <c r="I103" s="3"/>
      <c r="J103" s="3"/>
      <c r="K103" s="3"/>
      <c r="L103" s="5"/>
    </row>
    <row r="104" spans="1:12" x14ac:dyDescent="0.35">
      <c r="I104" s="3"/>
      <c r="J104" s="3"/>
      <c r="K104" s="3"/>
      <c r="L104" s="5"/>
    </row>
    <row r="105" spans="1:12" x14ac:dyDescent="0.35">
      <c r="B105" s="33"/>
      <c r="C105" s="33"/>
      <c r="D105" s="33"/>
      <c r="E105" s="33"/>
      <c r="F105" s="33"/>
      <c r="G105" s="33"/>
      <c r="H105" s="33"/>
      <c r="I105" s="34"/>
    </row>
  </sheetData>
  <mergeCells count="2">
    <mergeCell ref="A64:L64"/>
    <mergeCell ref="A65:L65"/>
  </mergeCells>
  <pageMargins left="0.25" right="0.25" top="0.5" bottom="0.5" header="0.5" footer="0.5"/>
  <pageSetup orientation="landscape" r:id="rId1"/>
  <headerFooter alignWithMargins="0">
    <oddFooter>&amp;L&amp;T&amp;D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showGridLines="0" topLeftCell="A3" zoomScaleNormal="100" workbookViewId="0">
      <selection activeCell="L11" sqref="L11"/>
    </sheetView>
  </sheetViews>
  <sheetFormatPr defaultColWidth="9.140625" defaultRowHeight="18" outlineLevelCol="1" x14ac:dyDescent="0.35"/>
  <cols>
    <col min="1" max="1" width="31.42578125" style="4" customWidth="1"/>
    <col min="2" max="2" width="7.42578125" style="3" customWidth="1" outlineLevel="1"/>
    <col min="3" max="3" width="6.28515625" style="3" customWidth="1" outlineLevel="1"/>
    <col min="4" max="4" width="5.28515625" style="3" customWidth="1" outlineLevel="1"/>
    <col min="5" max="5" width="5.7109375" style="3" customWidth="1" outlineLevel="1"/>
    <col min="6" max="6" width="5.5703125" style="3" customWidth="1" outlineLevel="1"/>
    <col min="7" max="7" width="5.42578125" style="3" customWidth="1" outlineLevel="1"/>
    <col min="8" max="8" width="6" style="3" customWidth="1" outlineLevel="1"/>
    <col min="9" max="9" width="5.7109375" style="5" customWidth="1" outlineLevel="1"/>
    <col min="10" max="10" width="6.85546875" style="1" customWidth="1" outlineLevel="1"/>
    <col min="11" max="11" width="6.140625" style="1" customWidth="1" outlineLevel="1"/>
    <col min="12" max="16384" width="9.140625" style="1"/>
  </cols>
  <sheetData>
    <row r="1" spans="1:13" ht="16.5" hidden="1" x14ac:dyDescent="0.35">
      <c r="A1" s="2"/>
      <c r="B1" s="2"/>
      <c r="C1" s="2"/>
      <c r="D1" s="2"/>
      <c r="E1" s="2"/>
      <c r="F1" s="2"/>
      <c r="G1" s="2"/>
      <c r="H1" s="6"/>
      <c r="I1" s="6"/>
    </row>
    <row r="2" spans="1:13" ht="16.5" hidden="1" x14ac:dyDescent="0.35">
      <c r="B2" s="60"/>
      <c r="C2" s="60"/>
      <c r="D2" s="89"/>
      <c r="E2" s="89"/>
      <c r="F2" s="89"/>
      <c r="G2" s="89"/>
      <c r="H2" s="89"/>
      <c r="I2" s="90"/>
    </row>
    <row r="3" spans="1:13" ht="48.75" customHeight="1" x14ac:dyDescent="0.3">
      <c r="A3" s="82" t="s">
        <v>50</v>
      </c>
      <c r="B3" s="83" t="s">
        <v>55</v>
      </c>
      <c r="C3" s="84" t="s">
        <v>56</v>
      </c>
      <c r="D3" s="84" t="s">
        <v>57</v>
      </c>
      <c r="E3" s="84" t="s">
        <v>58</v>
      </c>
      <c r="F3" s="84" t="s">
        <v>59</v>
      </c>
      <c r="G3" s="84" t="s">
        <v>60</v>
      </c>
      <c r="H3" s="84" t="s">
        <v>61</v>
      </c>
      <c r="I3" s="84" t="s">
        <v>62</v>
      </c>
      <c r="J3" s="84" t="s">
        <v>63</v>
      </c>
      <c r="K3" s="84" t="s">
        <v>64</v>
      </c>
      <c r="L3" s="85" t="s">
        <v>2</v>
      </c>
      <c r="M3" s="91"/>
    </row>
    <row r="4" spans="1:13" s="7" customFormat="1" ht="16.5" x14ac:dyDescent="0.35">
      <c r="A4" s="76" t="s">
        <v>0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2"/>
    </row>
    <row r="5" spans="1:13" s="7" customFormat="1" x14ac:dyDescent="0.35">
      <c r="A5" s="9" t="s">
        <v>3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2"/>
    </row>
    <row r="6" spans="1:13" s="7" customFormat="1" x14ac:dyDescent="0.35">
      <c r="A6" s="36" t="s">
        <v>4</v>
      </c>
      <c r="B6" s="67">
        <v>10</v>
      </c>
      <c r="C6" s="67">
        <v>20</v>
      </c>
      <c r="D6" s="68">
        <v>41</v>
      </c>
      <c r="E6" s="67">
        <v>142</v>
      </c>
      <c r="F6" s="67">
        <v>32</v>
      </c>
      <c r="G6" s="67">
        <v>21</v>
      </c>
      <c r="H6" s="67">
        <v>78</v>
      </c>
      <c r="I6" s="67">
        <v>100</v>
      </c>
      <c r="J6" s="67">
        <v>115</v>
      </c>
      <c r="K6" s="67">
        <v>109</v>
      </c>
      <c r="L6" s="35">
        <f>SUM(B6:K6)</f>
        <v>668</v>
      </c>
      <c r="M6" s="12"/>
    </row>
    <row r="7" spans="1:13" s="7" customFormat="1" x14ac:dyDescent="0.35">
      <c r="A7" s="36" t="s">
        <v>27</v>
      </c>
      <c r="B7" s="67">
        <v>0</v>
      </c>
      <c r="C7" s="67">
        <v>2</v>
      </c>
      <c r="D7" s="68">
        <v>3</v>
      </c>
      <c r="E7" s="67">
        <v>12</v>
      </c>
      <c r="F7" s="67">
        <v>3</v>
      </c>
      <c r="G7" s="67">
        <v>1</v>
      </c>
      <c r="H7" s="67">
        <v>19</v>
      </c>
      <c r="I7" s="67">
        <v>17</v>
      </c>
      <c r="J7" s="67">
        <v>15</v>
      </c>
      <c r="K7" s="67">
        <v>13</v>
      </c>
      <c r="L7" s="35">
        <f>SUM(B7:K7)</f>
        <v>85</v>
      </c>
      <c r="M7" s="12"/>
    </row>
    <row r="8" spans="1:13" s="7" customFormat="1" x14ac:dyDescent="0.35">
      <c r="A8" s="36" t="s">
        <v>28</v>
      </c>
      <c r="B8" s="67">
        <v>7</v>
      </c>
      <c r="C8" s="67">
        <v>8</v>
      </c>
      <c r="D8" s="68">
        <v>10</v>
      </c>
      <c r="E8" s="67">
        <v>33</v>
      </c>
      <c r="F8" s="67">
        <v>16</v>
      </c>
      <c r="G8" s="67">
        <v>5</v>
      </c>
      <c r="H8" s="67">
        <v>48</v>
      </c>
      <c r="I8" s="67">
        <v>53</v>
      </c>
      <c r="J8" s="67">
        <v>46</v>
      </c>
      <c r="K8" s="67">
        <v>78</v>
      </c>
      <c r="L8" s="35">
        <f>SUM(B8:K8)</f>
        <v>304</v>
      </c>
      <c r="M8" s="12"/>
    </row>
    <row r="9" spans="1:13" s="7" customFormat="1" x14ac:dyDescent="0.35">
      <c r="A9" s="9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2"/>
    </row>
    <row r="10" spans="1:13" s="7" customFormat="1" ht="16.5" x14ac:dyDescent="0.35">
      <c r="A10" s="38" t="s">
        <v>6</v>
      </c>
      <c r="B10" s="67">
        <v>8</v>
      </c>
      <c r="C10" s="68">
        <v>8</v>
      </c>
      <c r="D10" s="67">
        <v>9</v>
      </c>
      <c r="E10" s="67">
        <v>27</v>
      </c>
      <c r="F10" s="67">
        <v>13</v>
      </c>
      <c r="G10" s="67">
        <v>2</v>
      </c>
      <c r="H10" s="67">
        <v>33</v>
      </c>
      <c r="I10" s="67">
        <v>39</v>
      </c>
      <c r="J10" s="67">
        <v>41</v>
      </c>
      <c r="K10" s="67">
        <v>72</v>
      </c>
      <c r="L10" s="17">
        <f>SUM(B10:K10)</f>
        <v>252</v>
      </c>
      <c r="M10" s="12"/>
    </row>
    <row r="11" spans="1:13" s="7" customFormat="1" ht="16.5" x14ac:dyDescent="0.35">
      <c r="A11" s="38" t="s">
        <v>29</v>
      </c>
      <c r="B11" s="69">
        <v>1</v>
      </c>
      <c r="C11" s="70">
        <v>0</v>
      </c>
      <c r="D11" s="69">
        <v>2</v>
      </c>
      <c r="E11" s="69">
        <v>5</v>
      </c>
      <c r="F11" s="69">
        <v>6</v>
      </c>
      <c r="G11" s="69">
        <v>0</v>
      </c>
      <c r="H11" s="69">
        <v>14</v>
      </c>
      <c r="I11" s="69">
        <v>12</v>
      </c>
      <c r="J11" s="69">
        <v>7</v>
      </c>
      <c r="K11" s="69">
        <v>14</v>
      </c>
      <c r="L11" s="17">
        <f>SUM(B11:K11)</f>
        <v>61</v>
      </c>
      <c r="M11" s="12"/>
    </row>
    <row r="12" spans="1:13" s="7" customFormat="1" ht="16.5" x14ac:dyDescent="0.35">
      <c r="A12" s="38" t="s">
        <v>7</v>
      </c>
      <c r="B12" s="69">
        <v>9</v>
      </c>
      <c r="C12" s="70">
        <v>21</v>
      </c>
      <c r="D12" s="69">
        <v>42</v>
      </c>
      <c r="E12" s="69">
        <v>156</v>
      </c>
      <c r="F12" s="69">
        <v>31</v>
      </c>
      <c r="G12" s="69">
        <v>25</v>
      </c>
      <c r="H12" s="69">
        <v>99</v>
      </c>
      <c r="I12" s="69">
        <v>119</v>
      </c>
      <c r="J12" s="69">
        <v>130</v>
      </c>
      <c r="K12" s="69">
        <v>112</v>
      </c>
      <c r="L12" s="17">
        <f>SUM(B12:K12)</f>
        <v>744</v>
      </c>
      <c r="M12" s="12"/>
    </row>
    <row r="13" spans="1:13" s="7" customFormat="1" x14ac:dyDescent="0.35">
      <c r="A13" s="9" t="s">
        <v>8</v>
      </c>
      <c r="B13" s="16"/>
      <c r="C13" s="16"/>
      <c r="D13" s="16"/>
      <c r="E13" s="16"/>
      <c r="F13" s="16"/>
      <c r="G13" s="16"/>
      <c r="H13" s="65" t="s">
        <v>1</v>
      </c>
      <c r="I13" s="16"/>
      <c r="J13" s="16"/>
      <c r="K13" s="16"/>
      <c r="L13" s="16"/>
      <c r="M13" s="12"/>
    </row>
    <row r="14" spans="1:13" s="7" customFormat="1" ht="16.5" x14ac:dyDescent="0.35">
      <c r="A14" s="38" t="s">
        <v>30</v>
      </c>
      <c r="B14" s="71">
        <v>0</v>
      </c>
      <c r="C14" s="71">
        <v>0</v>
      </c>
      <c r="D14" s="71">
        <v>2</v>
      </c>
      <c r="E14" s="71">
        <v>3</v>
      </c>
      <c r="F14" s="71">
        <v>4</v>
      </c>
      <c r="G14" s="71">
        <v>1</v>
      </c>
      <c r="H14" s="71">
        <v>11</v>
      </c>
      <c r="I14" s="71">
        <v>8</v>
      </c>
      <c r="J14" s="71">
        <v>9</v>
      </c>
      <c r="K14" s="71">
        <v>9</v>
      </c>
      <c r="L14" s="22">
        <f>SUM(B14:K14)</f>
        <v>47</v>
      </c>
      <c r="M14" s="12"/>
    </row>
    <row r="15" spans="1:13" s="7" customFormat="1" ht="16.5" x14ac:dyDescent="0.35">
      <c r="A15" s="38" t="s">
        <v>31</v>
      </c>
      <c r="B15" s="71">
        <v>10</v>
      </c>
      <c r="C15" s="71">
        <v>21</v>
      </c>
      <c r="D15" s="71">
        <v>37</v>
      </c>
      <c r="E15" s="71">
        <v>137</v>
      </c>
      <c r="F15" s="71">
        <v>26</v>
      </c>
      <c r="G15" s="71">
        <v>18</v>
      </c>
      <c r="H15" s="71">
        <v>74</v>
      </c>
      <c r="I15" s="71">
        <v>90</v>
      </c>
      <c r="J15" s="71">
        <v>97</v>
      </c>
      <c r="K15" s="71">
        <v>98</v>
      </c>
      <c r="L15" s="22">
        <f>SUM(B15:K15)</f>
        <v>608</v>
      </c>
      <c r="M15" s="12"/>
    </row>
    <row r="16" spans="1:13" s="7" customFormat="1" ht="16.5" x14ac:dyDescent="0.35">
      <c r="A16" s="38" t="s">
        <v>32</v>
      </c>
      <c r="B16" s="71">
        <v>8</v>
      </c>
      <c r="C16" s="71">
        <v>9</v>
      </c>
      <c r="D16" s="71">
        <v>14</v>
      </c>
      <c r="E16" s="71">
        <v>50</v>
      </c>
      <c r="F16" s="71">
        <v>22</v>
      </c>
      <c r="G16" s="71">
        <v>8</v>
      </c>
      <c r="H16" s="71">
        <v>62</v>
      </c>
      <c r="I16" s="71">
        <v>74</v>
      </c>
      <c r="J16" s="71">
        <v>74</v>
      </c>
      <c r="K16" s="71">
        <v>94</v>
      </c>
      <c r="L16" s="22">
        <f>SUM(B16:K16)</f>
        <v>415</v>
      </c>
      <c r="M16" s="12"/>
    </row>
    <row r="17" spans="1:13" s="8" customFormat="1" x14ac:dyDescent="0.35">
      <c r="A17" s="9" t="s">
        <v>9</v>
      </c>
      <c r="B17" s="16"/>
      <c r="C17" s="16"/>
      <c r="D17" s="16"/>
      <c r="E17" s="16"/>
      <c r="F17" s="16"/>
      <c r="G17" s="16"/>
      <c r="H17" s="16"/>
      <c r="I17" s="16"/>
      <c r="J17" s="66" t="s">
        <v>1</v>
      </c>
      <c r="K17" s="16"/>
      <c r="L17" s="16"/>
      <c r="M17" s="12"/>
    </row>
    <row r="18" spans="1:13" s="7" customFormat="1" ht="14.25" x14ac:dyDescent="0.3">
      <c r="A18" s="77" t="s">
        <v>10</v>
      </c>
      <c r="B18" s="62">
        <v>7</v>
      </c>
      <c r="C18" s="62">
        <v>7</v>
      </c>
      <c r="D18" s="62">
        <v>13</v>
      </c>
      <c r="E18" s="62">
        <v>32</v>
      </c>
      <c r="F18" s="62">
        <v>11</v>
      </c>
      <c r="G18" s="62">
        <v>7</v>
      </c>
      <c r="H18" s="62">
        <v>47</v>
      </c>
      <c r="I18" s="62">
        <v>50</v>
      </c>
      <c r="J18" s="62">
        <v>49</v>
      </c>
      <c r="K18" s="62">
        <v>79</v>
      </c>
      <c r="L18" s="21">
        <f>SUM(B18:K18)</f>
        <v>302</v>
      </c>
      <c r="M18" s="12"/>
    </row>
    <row r="19" spans="1:13" s="7" customFormat="1" ht="14.25" x14ac:dyDescent="0.3">
      <c r="A19" s="77" t="s">
        <v>11</v>
      </c>
      <c r="B19" s="62">
        <v>10</v>
      </c>
      <c r="C19" s="62">
        <v>23</v>
      </c>
      <c r="D19" s="62">
        <v>40</v>
      </c>
      <c r="E19" s="62">
        <v>155</v>
      </c>
      <c r="F19" s="62">
        <v>38</v>
      </c>
      <c r="G19" s="62">
        <v>20</v>
      </c>
      <c r="H19" s="62">
        <v>96</v>
      </c>
      <c r="I19" s="62">
        <v>119</v>
      </c>
      <c r="J19" s="62">
        <v>126</v>
      </c>
      <c r="K19" s="62">
        <v>120</v>
      </c>
      <c r="L19" s="21">
        <f>SUM(B19:K19)</f>
        <v>747</v>
      </c>
      <c r="M19" s="12"/>
    </row>
    <row r="20" spans="1:13" s="7" customFormat="1" x14ac:dyDescent="0.35">
      <c r="A20" s="9" t="s">
        <v>12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3"/>
    </row>
    <row r="21" spans="1:13" s="7" customFormat="1" ht="15" x14ac:dyDescent="0.3">
      <c r="A21" s="77" t="s">
        <v>14</v>
      </c>
      <c r="B21" s="62">
        <v>10</v>
      </c>
      <c r="C21" s="62">
        <v>27</v>
      </c>
      <c r="D21" s="62">
        <v>46</v>
      </c>
      <c r="E21" s="62">
        <v>168</v>
      </c>
      <c r="F21" s="62">
        <v>39</v>
      </c>
      <c r="G21" s="62">
        <v>26</v>
      </c>
      <c r="H21" s="62">
        <v>115</v>
      </c>
      <c r="I21" s="62">
        <v>132</v>
      </c>
      <c r="J21" s="62">
        <v>153</v>
      </c>
      <c r="K21" s="62">
        <v>151</v>
      </c>
      <c r="L21" s="39">
        <f>SUM(B21:K21)</f>
        <v>867</v>
      </c>
      <c r="M21" s="13"/>
    </row>
    <row r="22" spans="1:13" s="7" customFormat="1" ht="16.5" x14ac:dyDescent="0.35">
      <c r="A22" s="40" t="s">
        <v>13</v>
      </c>
      <c r="B22" s="41">
        <v>7</v>
      </c>
      <c r="C22" s="72">
        <v>4</v>
      </c>
      <c r="D22" s="72">
        <v>7</v>
      </c>
      <c r="E22" s="72">
        <v>20</v>
      </c>
      <c r="F22" s="72">
        <v>11</v>
      </c>
      <c r="G22" s="72">
        <v>1</v>
      </c>
      <c r="H22" s="72">
        <v>29</v>
      </c>
      <c r="I22" s="72">
        <v>37</v>
      </c>
      <c r="J22" s="72">
        <v>27</v>
      </c>
      <c r="K22" s="72">
        <v>46</v>
      </c>
      <c r="L22" s="39">
        <f>SUM(B22:K22)</f>
        <v>189</v>
      </c>
      <c r="M22" s="12"/>
    </row>
    <row r="23" spans="1:13" s="7" customFormat="1" x14ac:dyDescent="0.35">
      <c r="A23" s="9" t="s">
        <v>15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2"/>
    </row>
    <row r="24" spans="1:13" s="7" customFormat="1" ht="15" x14ac:dyDescent="0.3">
      <c r="A24" s="77" t="s">
        <v>17</v>
      </c>
      <c r="B24" s="62">
        <v>10</v>
      </c>
      <c r="C24" s="62">
        <v>26</v>
      </c>
      <c r="D24" s="62">
        <v>42</v>
      </c>
      <c r="E24" s="62">
        <v>162</v>
      </c>
      <c r="F24" s="62">
        <v>41</v>
      </c>
      <c r="G24" s="62">
        <v>23</v>
      </c>
      <c r="H24" s="62">
        <v>101</v>
      </c>
      <c r="I24" s="62">
        <v>125</v>
      </c>
      <c r="J24" s="62">
        <v>148</v>
      </c>
      <c r="K24" s="62">
        <v>138</v>
      </c>
      <c r="L24" s="23">
        <f>SUM(B24:K24)</f>
        <v>816</v>
      </c>
      <c r="M24" s="12"/>
    </row>
    <row r="25" spans="1:13" s="7" customFormat="1" ht="16.5" x14ac:dyDescent="0.35">
      <c r="A25" s="42" t="s">
        <v>16</v>
      </c>
      <c r="B25" s="68">
        <v>7</v>
      </c>
      <c r="C25" s="68">
        <v>4</v>
      </c>
      <c r="D25" s="68">
        <v>11</v>
      </c>
      <c r="E25" s="68">
        <v>22</v>
      </c>
      <c r="F25" s="68">
        <v>9</v>
      </c>
      <c r="G25" s="68">
        <v>3</v>
      </c>
      <c r="H25" s="68">
        <v>41</v>
      </c>
      <c r="I25" s="68">
        <v>43</v>
      </c>
      <c r="J25" s="68">
        <v>26</v>
      </c>
      <c r="K25" s="68">
        <v>57</v>
      </c>
      <c r="L25" s="23">
        <f>SUM(B25:K25)</f>
        <v>223</v>
      </c>
      <c r="M25" s="12"/>
    </row>
    <row r="26" spans="1:13" s="7" customFormat="1" x14ac:dyDescent="0.35">
      <c r="A26" s="9" t="s">
        <v>18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2"/>
    </row>
    <row r="27" spans="1:13" s="7" customFormat="1" ht="16.5" x14ac:dyDescent="0.35">
      <c r="A27" s="78" t="s">
        <v>20</v>
      </c>
      <c r="B27" s="63">
        <v>10</v>
      </c>
      <c r="C27" s="62">
        <v>25</v>
      </c>
      <c r="D27" s="62">
        <v>39</v>
      </c>
      <c r="E27" s="62">
        <v>152</v>
      </c>
      <c r="F27" s="62">
        <v>32</v>
      </c>
      <c r="G27" s="62">
        <v>23</v>
      </c>
      <c r="H27" s="62">
        <v>92</v>
      </c>
      <c r="I27" s="62">
        <v>113</v>
      </c>
      <c r="J27" s="62">
        <v>123</v>
      </c>
      <c r="K27" s="62">
        <v>116</v>
      </c>
      <c r="L27" s="23">
        <f>SUM(B27:K27)</f>
        <v>725</v>
      </c>
      <c r="M27" s="12"/>
    </row>
    <row r="28" spans="1:13" s="7" customFormat="1" ht="16.5" x14ac:dyDescent="0.35">
      <c r="A28" s="78" t="s">
        <v>19</v>
      </c>
      <c r="B28" s="63">
        <v>7</v>
      </c>
      <c r="C28" s="62">
        <v>5</v>
      </c>
      <c r="D28" s="62">
        <v>12</v>
      </c>
      <c r="E28" s="62">
        <v>30</v>
      </c>
      <c r="F28" s="62">
        <v>17</v>
      </c>
      <c r="G28" s="62">
        <v>2</v>
      </c>
      <c r="H28" s="62">
        <v>47</v>
      </c>
      <c r="I28" s="62">
        <v>50</v>
      </c>
      <c r="J28" s="62">
        <v>45</v>
      </c>
      <c r="K28" s="62">
        <v>73</v>
      </c>
      <c r="L28" s="23">
        <f>SUM(B28:K28)</f>
        <v>288</v>
      </c>
      <c r="M28" s="12"/>
    </row>
    <row r="29" spans="1:13" s="7" customFormat="1" x14ac:dyDescent="0.35">
      <c r="A29" s="9" t="s">
        <v>21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2"/>
    </row>
    <row r="30" spans="1:13" s="7" customFormat="1" ht="16.5" x14ac:dyDescent="0.35">
      <c r="A30" s="42" t="s">
        <v>22</v>
      </c>
      <c r="B30" s="67">
        <v>14</v>
      </c>
      <c r="C30" s="67">
        <v>31</v>
      </c>
      <c r="D30" s="67">
        <v>47</v>
      </c>
      <c r="E30" s="67">
        <v>169</v>
      </c>
      <c r="F30" s="67">
        <v>46</v>
      </c>
      <c r="G30" s="67">
        <v>27</v>
      </c>
      <c r="H30" s="67">
        <v>137</v>
      </c>
      <c r="I30" s="67">
        <v>152</v>
      </c>
      <c r="J30" s="67">
        <v>163</v>
      </c>
      <c r="K30" s="67">
        <v>170</v>
      </c>
      <c r="L30" s="25">
        <f>SUM(B30:K30)</f>
        <v>956</v>
      </c>
      <c r="M30" s="12"/>
    </row>
    <row r="31" spans="1:13" s="7" customFormat="1" ht="18.75" thickBot="1" x14ac:dyDescent="0.4">
      <c r="A31" s="31" t="s">
        <v>23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2"/>
    </row>
    <row r="32" spans="1:13" s="7" customFormat="1" ht="16.5" x14ac:dyDescent="0.35">
      <c r="A32" s="24" t="s">
        <v>24</v>
      </c>
      <c r="B32" s="26">
        <v>13</v>
      </c>
      <c r="C32" s="71">
        <v>31</v>
      </c>
      <c r="D32" s="71">
        <v>45</v>
      </c>
      <c r="E32" s="71">
        <v>166</v>
      </c>
      <c r="F32" s="71">
        <v>43</v>
      </c>
      <c r="G32" s="71">
        <v>23</v>
      </c>
      <c r="H32" s="71">
        <v>126</v>
      </c>
      <c r="I32" s="71">
        <v>153</v>
      </c>
      <c r="J32" s="71">
        <v>162</v>
      </c>
      <c r="K32" s="71">
        <v>166</v>
      </c>
      <c r="L32" s="27">
        <f>SUM(B32:K32)</f>
        <v>928</v>
      </c>
      <c r="M32" s="12"/>
    </row>
    <row r="33" spans="1:13" s="7" customFormat="1" ht="16.5" x14ac:dyDescent="0.35">
      <c r="A33" s="42"/>
      <c r="B33" s="86"/>
      <c r="C33" s="87"/>
      <c r="D33" s="87"/>
      <c r="E33" s="87"/>
      <c r="F33" s="87"/>
      <c r="G33" s="87"/>
      <c r="H33" s="87"/>
      <c r="I33" s="87"/>
      <c r="J33" s="87"/>
      <c r="K33" s="87"/>
      <c r="L33" s="88"/>
      <c r="M33" s="12"/>
    </row>
    <row r="34" spans="1:13" s="7" customFormat="1" ht="16.5" x14ac:dyDescent="0.35">
      <c r="A34" s="79" t="s">
        <v>25</v>
      </c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2"/>
    </row>
    <row r="35" spans="1:13" s="7" customFormat="1" ht="19.899999999999999" customHeight="1" x14ac:dyDescent="0.35">
      <c r="A35" s="43" t="s">
        <v>26</v>
      </c>
      <c r="B35" s="28">
        <v>10</v>
      </c>
      <c r="C35" s="73">
        <v>26</v>
      </c>
      <c r="D35" s="73">
        <v>34</v>
      </c>
      <c r="E35" s="73">
        <v>75</v>
      </c>
      <c r="F35" s="73">
        <v>8</v>
      </c>
      <c r="G35" s="73"/>
      <c r="H35" s="73" t="s">
        <v>1</v>
      </c>
      <c r="I35" s="73" t="s">
        <v>1</v>
      </c>
      <c r="J35" s="29"/>
      <c r="K35" s="29">
        <v>39</v>
      </c>
      <c r="L35" s="30">
        <f>SUM(B35:K35)</f>
        <v>192</v>
      </c>
      <c r="M35" s="12"/>
    </row>
    <row r="36" spans="1:13" s="7" customFormat="1" ht="15" customHeight="1" x14ac:dyDescent="0.35">
      <c r="A36" s="79" t="s">
        <v>33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2"/>
    </row>
    <row r="37" spans="1:13" s="7" customFormat="1" ht="16.5" x14ac:dyDescent="0.35">
      <c r="A37" s="38" t="s">
        <v>34</v>
      </c>
      <c r="B37" s="67">
        <v>10</v>
      </c>
      <c r="C37" s="18">
        <v>17</v>
      </c>
      <c r="D37" s="67">
        <v>18</v>
      </c>
      <c r="E37" s="44">
        <v>68</v>
      </c>
      <c r="F37" s="18">
        <v>23</v>
      </c>
      <c r="G37" s="18">
        <v>15</v>
      </c>
      <c r="H37" s="18">
        <v>53</v>
      </c>
      <c r="I37" s="18">
        <v>89</v>
      </c>
      <c r="J37" s="18">
        <v>85</v>
      </c>
      <c r="K37" s="18">
        <v>101</v>
      </c>
      <c r="L37" s="35">
        <f>SUM(B37:K37)</f>
        <v>479</v>
      </c>
      <c r="M37" s="12"/>
    </row>
    <row r="38" spans="1:13" ht="16.5" x14ac:dyDescent="0.35">
      <c r="A38" s="38" t="s">
        <v>51</v>
      </c>
      <c r="B38" s="62">
        <v>5</v>
      </c>
      <c r="C38" s="62">
        <v>14</v>
      </c>
      <c r="D38" s="62">
        <v>31</v>
      </c>
      <c r="E38" s="64">
        <v>98</v>
      </c>
      <c r="F38" s="62">
        <v>19</v>
      </c>
      <c r="G38" s="62">
        <v>8</v>
      </c>
      <c r="H38" s="62">
        <v>81</v>
      </c>
      <c r="I38" s="62">
        <v>66</v>
      </c>
      <c r="J38" s="62">
        <v>79</v>
      </c>
      <c r="K38" s="62">
        <v>77</v>
      </c>
      <c r="L38" s="35">
        <f t="shared" ref="L38:L63" si="0">SUM(B38:K38)</f>
        <v>478</v>
      </c>
      <c r="M38" s="12"/>
    </row>
    <row r="39" spans="1:13" ht="16.5" x14ac:dyDescent="0.35">
      <c r="A39" s="38" t="s">
        <v>35</v>
      </c>
      <c r="B39" s="69">
        <v>9</v>
      </c>
      <c r="C39" s="20">
        <v>15</v>
      </c>
      <c r="D39" s="20">
        <v>18</v>
      </c>
      <c r="E39" s="45">
        <v>72</v>
      </c>
      <c r="F39" s="69">
        <v>24</v>
      </c>
      <c r="G39" s="20">
        <v>15</v>
      </c>
      <c r="H39" s="20">
        <v>55</v>
      </c>
      <c r="I39" s="20">
        <v>88</v>
      </c>
      <c r="J39" s="20">
        <v>86</v>
      </c>
      <c r="K39" s="20">
        <v>101</v>
      </c>
      <c r="L39" s="35">
        <f t="shared" si="0"/>
        <v>483</v>
      </c>
      <c r="M39" s="12"/>
    </row>
    <row r="40" spans="1:13" ht="16.5" x14ac:dyDescent="0.35">
      <c r="A40" s="78" t="s">
        <v>51</v>
      </c>
      <c r="B40" s="62">
        <v>6</v>
      </c>
      <c r="C40" s="62">
        <v>15</v>
      </c>
      <c r="D40" s="62">
        <v>31</v>
      </c>
      <c r="E40" s="64">
        <v>95</v>
      </c>
      <c r="F40" s="62">
        <v>17</v>
      </c>
      <c r="G40" s="62">
        <v>8</v>
      </c>
      <c r="H40" s="62">
        <v>77</v>
      </c>
      <c r="I40" s="62">
        <v>64</v>
      </c>
      <c r="J40" s="62">
        <v>79</v>
      </c>
      <c r="K40" s="62">
        <v>71</v>
      </c>
      <c r="L40" s="35">
        <f t="shared" si="0"/>
        <v>463</v>
      </c>
      <c r="M40" s="12"/>
    </row>
    <row r="41" spans="1:13" ht="18.75" thickBot="1" x14ac:dyDescent="0.4">
      <c r="A41" s="31" t="s">
        <v>36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46"/>
    </row>
    <row r="42" spans="1:13" ht="16.5" x14ac:dyDescent="0.35">
      <c r="A42" s="80" t="s">
        <v>38</v>
      </c>
      <c r="B42" s="67">
        <v>10</v>
      </c>
      <c r="C42" s="18">
        <v>21</v>
      </c>
      <c r="D42" s="67">
        <v>24</v>
      </c>
      <c r="E42" s="18">
        <v>83</v>
      </c>
      <c r="F42" s="18">
        <v>25</v>
      </c>
      <c r="G42" s="18">
        <v>15</v>
      </c>
      <c r="H42" s="18">
        <v>62</v>
      </c>
      <c r="I42" s="18">
        <v>90</v>
      </c>
      <c r="J42" s="18">
        <v>85</v>
      </c>
      <c r="K42" s="18">
        <v>104</v>
      </c>
      <c r="L42" s="35">
        <f t="shared" si="0"/>
        <v>519</v>
      </c>
      <c r="M42" s="46"/>
    </row>
    <row r="43" spans="1:13" ht="16.5" x14ac:dyDescent="0.35">
      <c r="A43" s="80" t="s">
        <v>49</v>
      </c>
      <c r="B43" s="67">
        <v>4</v>
      </c>
      <c r="C43" s="67">
        <v>9</v>
      </c>
      <c r="D43" s="18">
        <v>25</v>
      </c>
      <c r="E43" s="18">
        <v>76</v>
      </c>
      <c r="F43" s="67">
        <v>15</v>
      </c>
      <c r="G43" s="18">
        <v>8</v>
      </c>
      <c r="H43" s="18">
        <v>67</v>
      </c>
      <c r="I43" s="18">
        <v>57</v>
      </c>
      <c r="J43" s="18">
        <v>74</v>
      </c>
      <c r="K43" s="18">
        <v>71</v>
      </c>
      <c r="L43" s="35">
        <f t="shared" si="0"/>
        <v>406</v>
      </c>
      <c r="M43" s="46"/>
    </row>
    <row r="44" spans="1:13" ht="16.5" x14ac:dyDescent="0.35">
      <c r="A44" s="80" t="s">
        <v>37</v>
      </c>
      <c r="B44" s="67">
        <v>9</v>
      </c>
      <c r="C44" s="67">
        <v>17</v>
      </c>
      <c r="D44" s="18">
        <v>24</v>
      </c>
      <c r="E44" s="18">
        <v>83</v>
      </c>
      <c r="F44" s="67">
        <v>23</v>
      </c>
      <c r="G44" s="18">
        <v>17</v>
      </c>
      <c r="H44" s="18">
        <v>63</v>
      </c>
      <c r="I44" s="18">
        <v>87</v>
      </c>
      <c r="J44" s="18">
        <v>86</v>
      </c>
      <c r="K44" s="18">
        <v>104</v>
      </c>
      <c r="L44" s="35">
        <f t="shared" si="0"/>
        <v>513</v>
      </c>
      <c r="M44" s="46"/>
    </row>
    <row r="45" spans="1:13" ht="16.5" x14ac:dyDescent="0.35">
      <c r="A45" s="80" t="s">
        <v>49</v>
      </c>
      <c r="B45" s="67">
        <v>4</v>
      </c>
      <c r="C45" s="67">
        <v>13</v>
      </c>
      <c r="D45" s="18">
        <v>24</v>
      </c>
      <c r="E45" s="18">
        <v>75</v>
      </c>
      <c r="F45" s="67">
        <v>17</v>
      </c>
      <c r="G45" s="18">
        <v>6</v>
      </c>
      <c r="H45" s="18">
        <v>64</v>
      </c>
      <c r="I45" s="18">
        <v>57</v>
      </c>
      <c r="J45" s="18">
        <v>71</v>
      </c>
      <c r="K45" s="18">
        <v>70</v>
      </c>
      <c r="L45" s="35">
        <f t="shared" si="0"/>
        <v>401</v>
      </c>
      <c r="M45" s="46"/>
    </row>
    <row r="46" spans="1:13" ht="16.5" x14ac:dyDescent="0.35">
      <c r="A46" s="80" t="s">
        <v>39</v>
      </c>
      <c r="B46" s="67">
        <v>10</v>
      </c>
      <c r="C46" s="67">
        <v>19</v>
      </c>
      <c r="D46" s="18">
        <v>21</v>
      </c>
      <c r="E46" s="18">
        <v>84</v>
      </c>
      <c r="F46" s="67">
        <v>22</v>
      </c>
      <c r="G46" s="18">
        <v>17</v>
      </c>
      <c r="H46" s="18">
        <v>64</v>
      </c>
      <c r="I46" s="18">
        <v>84</v>
      </c>
      <c r="J46" s="18">
        <v>92</v>
      </c>
      <c r="K46" s="18">
        <v>110</v>
      </c>
      <c r="L46" s="35">
        <f t="shared" si="0"/>
        <v>523</v>
      </c>
      <c r="M46" s="46"/>
    </row>
    <row r="47" spans="1:13" ht="16.5" x14ac:dyDescent="0.35">
      <c r="A47" s="80" t="s">
        <v>49</v>
      </c>
      <c r="B47" s="67">
        <v>3</v>
      </c>
      <c r="C47" s="67">
        <v>10</v>
      </c>
      <c r="D47" s="18">
        <v>26</v>
      </c>
      <c r="E47" s="18">
        <v>74</v>
      </c>
      <c r="F47" s="67">
        <v>16</v>
      </c>
      <c r="G47" s="18">
        <v>6</v>
      </c>
      <c r="H47" s="18">
        <v>65</v>
      </c>
      <c r="I47" s="18">
        <v>57</v>
      </c>
      <c r="J47" s="18">
        <v>66</v>
      </c>
      <c r="K47" s="18">
        <v>61</v>
      </c>
      <c r="L47" s="35">
        <f t="shared" si="0"/>
        <v>384</v>
      </c>
      <c r="M47" s="46"/>
    </row>
    <row r="48" spans="1:13" ht="16.5" x14ac:dyDescent="0.35">
      <c r="A48" s="80" t="s">
        <v>40</v>
      </c>
      <c r="B48" s="67">
        <v>10</v>
      </c>
      <c r="C48" s="67">
        <v>25</v>
      </c>
      <c r="D48" s="18">
        <v>29</v>
      </c>
      <c r="E48" s="18">
        <v>95</v>
      </c>
      <c r="F48" s="67">
        <v>25</v>
      </c>
      <c r="G48" s="18">
        <v>18</v>
      </c>
      <c r="H48" s="18">
        <v>63</v>
      </c>
      <c r="I48" s="18">
        <v>98</v>
      </c>
      <c r="J48" s="18">
        <v>90</v>
      </c>
      <c r="K48" s="18">
        <v>121</v>
      </c>
      <c r="L48" s="35">
        <f t="shared" si="0"/>
        <v>574</v>
      </c>
      <c r="M48" s="46"/>
    </row>
    <row r="49" spans="1:13" ht="16.5" x14ac:dyDescent="0.35">
      <c r="A49" s="80" t="s">
        <v>49</v>
      </c>
      <c r="B49" s="67">
        <v>4</v>
      </c>
      <c r="C49" s="67">
        <v>5</v>
      </c>
      <c r="D49" s="67">
        <v>19</v>
      </c>
      <c r="E49" s="67">
        <v>63</v>
      </c>
      <c r="F49" s="67">
        <v>16</v>
      </c>
      <c r="G49" s="67">
        <v>5</v>
      </c>
      <c r="H49" s="67">
        <v>65</v>
      </c>
      <c r="I49" s="67">
        <v>45</v>
      </c>
      <c r="J49" s="37">
        <v>67</v>
      </c>
      <c r="K49" s="37">
        <v>53</v>
      </c>
      <c r="L49" s="35">
        <f t="shared" si="0"/>
        <v>342</v>
      </c>
      <c r="M49" s="46"/>
    </row>
    <row r="50" spans="1:13" ht="16.5" x14ac:dyDescent="0.35">
      <c r="A50" s="81" t="s">
        <v>41</v>
      </c>
      <c r="B50" s="67">
        <v>10</v>
      </c>
      <c r="C50" s="67">
        <v>23</v>
      </c>
      <c r="D50" s="37">
        <v>31</v>
      </c>
      <c r="E50" s="37">
        <v>93</v>
      </c>
      <c r="F50" s="37">
        <v>25</v>
      </c>
      <c r="G50" s="37">
        <v>17</v>
      </c>
      <c r="H50" s="37">
        <v>64</v>
      </c>
      <c r="I50" s="37">
        <v>99</v>
      </c>
      <c r="J50" s="37">
        <v>91</v>
      </c>
      <c r="K50" s="37">
        <v>119</v>
      </c>
      <c r="L50" s="35">
        <f t="shared" si="0"/>
        <v>572</v>
      </c>
      <c r="M50" s="46"/>
    </row>
    <row r="51" spans="1:13" ht="16.5" x14ac:dyDescent="0.35">
      <c r="A51" s="42" t="s">
        <v>49</v>
      </c>
      <c r="B51" s="47">
        <v>4</v>
      </c>
      <c r="C51" s="18">
        <v>7</v>
      </c>
      <c r="D51" s="18">
        <v>17</v>
      </c>
      <c r="E51" s="18">
        <v>65</v>
      </c>
      <c r="F51" s="19">
        <v>16</v>
      </c>
      <c r="G51" s="19">
        <v>6</v>
      </c>
      <c r="H51" s="68">
        <v>65</v>
      </c>
      <c r="I51" s="19">
        <v>44</v>
      </c>
      <c r="J51" s="19">
        <v>66</v>
      </c>
      <c r="K51" s="19">
        <v>55</v>
      </c>
      <c r="L51" s="35">
        <f t="shared" si="0"/>
        <v>345</v>
      </c>
      <c r="M51" s="46"/>
    </row>
    <row r="52" spans="1:13" ht="16.5" x14ac:dyDescent="0.35">
      <c r="A52" s="38" t="s">
        <v>42</v>
      </c>
      <c r="B52" s="47">
        <v>10</v>
      </c>
      <c r="C52" s="18">
        <v>21</v>
      </c>
      <c r="D52" s="18">
        <v>28</v>
      </c>
      <c r="E52" s="18">
        <v>91</v>
      </c>
      <c r="F52" s="18">
        <v>24</v>
      </c>
      <c r="G52" s="18">
        <v>18</v>
      </c>
      <c r="H52" s="67">
        <v>65</v>
      </c>
      <c r="I52" s="18">
        <v>101</v>
      </c>
      <c r="J52" s="18">
        <v>97</v>
      </c>
      <c r="K52" s="18">
        <v>113</v>
      </c>
      <c r="L52" s="35">
        <f t="shared" si="0"/>
        <v>568</v>
      </c>
      <c r="M52" s="46"/>
    </row>
    <row r="53" spans="1:13" ht="16.5" x14ac:dyDescent="0.35">
      <c r="A53" s="38" t="s">
        <v>49</v>
      </c>
      <c r="B53" s="47">
        <v>4</v>
      </c>
      <c r="C53" s="18">
        <v>8</v>
      </c>
      <c r="D53" s="18">
        <v>19</v>
      </c>
      <c r="E53" s="18">
        <v>65</v>
      </c>
      <c r="F53" s="18">
        <v>16</v>
      </c>
      <c r="G53" s="18">
        <v>5</v>
      </c>
      <c r="H53" s="67">
        <v>62</v>
      </c>
      <c r="I53" s="18">
        <v>43</v>
      </c>
      <c r="J53" s="18">
        <v>60</v>
      </c>
      <c r="K53" s="18">
        <v>59</v>
      </c>
      <c r="L53" s="35">
        <f t="shared" si="0"/>
        <v>341</v>
      </c>
      <c r="M53" s="46"/>
    </row>
    <row r="54" spans="1:13" ht="16.5" x14ac:dyDescent="0.35">
      <c r="A54" s="38" t="s">
        <v>43</v>
      </c>
      <c r="B54" s="47">
        <v>9</v>
      </c>
      <c r="C54" s="18">
        <v>19</v>
      </c>
      <c r="D54" s="18">
        <v>21</v>
      </c>
      <c r="E54" s="18">
        <v>75</v>
      </c>
      <c r="F54" s="18">
        <v>21</v>
      </c>
      <c r="G54" s="18">
        <v>16</v>
      </c>
      <c r="H54" s="67">
        <v>62</v>
      </c>
      <c r="I54" s="18">
        <v>89</v>
      </c>
      <c r="J54" s="18">
        <v>86</v>
      </c>
      <c r="K54" s="18">
        <v>103</v>
      </c>
      <c r="L54" s="35">
        <f t="shared" si="0"/>
        <v>501</v>
      </c>
      <c r="M54" s="46"/>
    </row>
    <row r="55" spans="1:13" ht="16.5" x14ac:dyDescent="0.35">
      <c r="A55" s="38" t="s">
        <v>49</v>
      </c>
      <c r="B55" s="18">
        <v>4</v>
      </c>
      <c r="C55" s="18">
        <v>9</v>
      </c>
      <c r="D55" s="18">
        <v>27</v>
      </c>
      <c r="E55" s="18">
        <v>80</v>
      </c>
      <c r="F55" s="18">
        <v>17</v>
      </c>
      <c r="G55" s="18">
        <v>7</v>
      </c>
      <c r="H55" s="18">
        <v>65</v>
      </c>
      <c r="I55" s="18">
        <v>52</v>
      </c>
      <c r="J55" s="18">
        <v>71</v>
      </c>
      <c r="K55" s="18">
        <v>69</v>
      </c>
      <c r="L55" s="35">
        <f t="shared" si="0"/>
        <v>401</v>
      </c>
      <c r="M55" s="46"/>
    </row>
    <row r="56" spans="1:13" ht="16.5" x14ac:dyDescent="0.35">
      <c r="A56" s="38" t="s">
        <v>44</v>
      </c>
      <c r="B56" s="18">
        <v>9</v>
      </c>
      <c r="C56" s="18">
        <v>18</v>
      </c>
      <c r="D56" s="18">
        <v>19</v>
      </c>
      <c r="E56" s="18">
        <v>83</v>
      </c>
      <c r="F56" s="18">
        <v>23</v>
      </c>
      <c r="G56" s="18">
        <v>17</v>
      </c>
      <c r="H56" s="18">
        <v>62</v>
      </c>
      <c r="I56" s="18">
        <v>89</v>
      </c>
      <c r="J56" s="18">
        <v>90</v>
      </c>
      <c r="K56" s="18">
        <v>105</v>
      </c>
      <c r="L56" s="35">
        <f t="shared" si="0"/>
        <v>515</v>
      </c>
      <c r="M56" s="46"/>
    </row>
    <row r="57" spans="1:13" ht="16.5" x14ac:dyDescent="0.35">
      <c r="A57" s="38" t="s">
        <v>52</v>
      </c>
      <c r="B57" s="18">
        <v>4</v>
      </c>
      <c r="C57" s="18">
        <v>11</v>
      </c>
      <c r="D57" s="18">
        <v>29</v>
      </c>
      <c r="E57" s="18">
        <v>75</v>
      </c>
      <c r="F57" s="18">
        <v>14</v>
      </c>
      <c r="G57" s="18">
        <v>6</v>
      </c>
      <c r="H57" s="18">
        <v>65</v>
      </c>
      <c r="I57" s="18">
        <v>51</v>
      </c>
      <c r="J57" s="18">
        <v>65</v>
      </c>
      <c r="K57" s="18">
        <v>68</v>
      </c>
      <c r="L57" s="17">
        <f t="shared" si="0"/>
        <v>388</v>
      </c>
      <c r="M57" s="46"/>
    </row>
    <row r="58" spans="1:13" ht="18.75" thickBot="1" x14ac:dyDescent="0.4">
      <c r="A58" s="31" t="s">
        <v>46</v>
      </c>
      <c r="B58" s="6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46"/>
    </row>
    <row r="59" spans="1:13" ht="16.5" x14ac:dyDescent="0.35">
      <c r="A59" s="38" t="s">
        <v>45</v>
      </c>
      <c r="B59" s="18">
        <v>10</v>
      </c>
      <c r="C59" s="18">
        <v>21</v>
      </c>
      <c r="D59" s="18">
        <v>30</v>
      </c>
      <c r="E59" s="18">
        <v>120</v>
      </c>
      <c r="F59" s="18">
        <v>31</v>
      </c>
      <c r="G59" s="18">
        <v>21</v>
      </c>
      <c r="H59" s="18">
        <v>80</v>
      </c>
      <c r="I59" s="18">
        <v>112</v>
      </c>
      <c r="J59" s="18">
        <v>122</v>
      </c>
      <c r="K59" s="18">
        <v>139</v>
      </c>
      <c r="L59" s="17">
        <f t="shared" si="0"/>
        <v>686</v>
      </c>
      <c r="M59" s="46"/>
    </row>
    <row r="60" spans="1:13" ht="16.5" x14ac:dyDescent="0.35">
      <c r="A60" s="38" t="s">
        <v>52</v>
      </c>
      <c r="B60" s="18">
        <v>4</v>
      </c>
      <c r="C60" s="18">
        <v>9</v>
      </c>
      <c r="D60" s="18">
        <v>18</v>
      </c>
      <c r="E60" s="18">
        <v>44</v>
      </c>
      <c r="F60" s="18">
        <v>10</v>
      </c>
      <c r="G60" s="18">
        <v>3</v>
      </c>
      <c r="H60" s="18">
        <v>49</v>
      </c>
      <c r="I60" s="18">
        <v>32</v>
      </c>
      <c r="J60" s="18">
        <v>47</v>
      </c>
      <c r="K60" s="18">
        <v>39</v>
      </c>
      <c r="L60" s="17">
        <f t="shared" si="0"/>
        <v>255</v>
      </c>
      <c r="M60" s="75"/>
    </row>
    <row r="61" spans="1:13" ht="18.75" thickBot="1" x14ac:dyDescent="0.4">
      <c r="A61" s="31" t="s">
        <v>47</v>
      </c>
      <c r="B61" s="66"/>
      <c r="C61" s="16"/>
      <c r="D61" s="16"/>
      <c r="E61" s="16"/>
      <c r="F61" s="16"/>
      <c r="G61" s="16"/>
      <c r="H61" s="16"/>
      <c r="I61" s="16"/>
      <c r="J61" s="16"/>
      <c r="K61" s="16"/>
      <c r="L61" s="74" t="s">
        <v>1</v>
      </c>
      <c r="M61" s="75"/>
    </row>
    <row r="62" spans="1:13" ht="16.5" x14ac:dyDescent="0.35">
      <c r="A62" s="38" t="s">
        <v>48</v>
      </c>
      <c r="B62" s="18">
        <v>10</v>
      </c>
      <c r="C62" s="18">
        <v>21</v>
      </c>
      <c r="D62" s="18">
        <v>39</v>
      </c>
      <c r="E62" s="18">
        <v>127</v>
      </c>
      <c r="F62" s="18">
        <v>35</v>
      </c>
      <c r="G62" s="18">
        <v>19</v>
      </c>
      <c r="H62" s="18">
        <v>102</v>
      </c>
      <c r="I62" s="18">
        <v>113</v>
      </c>
      <c r="J62" s="18">
        <v>127</v>
      </c>
      <c r="K62" s="18">
        <v>135</v>
      </c>
      <c r="L62" s="17">
        <f t="shared" si="0"/>
        <v>728</v>
      </c>
      <c r="M62" s="75"/>
    </row>
    <row r="63" spans="1:13" ht="16.5" x14ac:dyDescent="0.35">
      <c r="A63" s="38" t="s">
        <v>52</v>
      </c>
      <c r="B63" s="18">
        <v>5</v>
      </c>
      <c r="C63" s="18">
        <v>8</v>
      </c>
      <c r="D63" s="18">
        <v>11</v>
      </c>
      <c r="E63" s="18">
        <v>45</v>
      </c>
      <c r="F63" s="18">
        <v>12</v>
      </c>
      <c r="G63" s="18">
        <v>6</v>
      </c>
      <c r="H63" s="18">
        <v>36</v>
      </c>
      <c r="I63" s="18">
        <v>40</v>
      </c>
      <c r="J63" s="18">
        <v>41</v>
      </c>
      <c r="K63" s="18">
        <v>52</v>
      </c>
      <c r="L63" s="17">
        <f t="shared" si="0"/>
        <v>256</v>
      </c>
      <c r="M63" s="75"/>
    </row>
    <row r="64" spans="1:13" ht="15" x14ac:dyDescent="0.3">
      <c r="A64" s="96" t="s">
        <v>53</v>
      </c>
      <c r="B64" s="97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52"/>
    </row>
    <row r="65" spans="1:13" ht="16.5" x14ac:dyDescent="0.35">
      <c r="A65" s="98" t="s">
        <v>54</v>
      </c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52"/>
    </row>
    <row r="66" spans="1:13" x14ac:dyDescent="0.35">
      <c r="A66" s="55"/>
      <c r="B66" s="61"/>
      <c r="C66" s="61"/>
      <c r="D66" s="61"/>
      <c r="E66" s="61"/>
      <c r="F66" s="61"/>
      <c r="G66" s="51"/>
      <c r="H66" s="57"/>
      <c r="I66" s="49"/>
      <c r="J66" s="10"/>
      <c r="K66" s="10"/>
      <c r="L66" s="11"/>
      <c r="M66" s="58"/>
    </row>
    <row r="67" spans="1:13" x14ac:dyDescent="0.35">
      <c r="A67" s="55"/>
      <c r="B67" s="51"/>
      <c r="C67" s="51"/>
      <c r="D67" s="51"/>
      <c r="E67" s="51"/>
      <c r="F67" s="51"/>
      <c r="G67" s="51"/>
      <c r="H67" s="51"/>
      <c r="I67" s="49"/>
      <c r="J67" s="10"/>
      <c r="K67" s="10"/>
      <c r="L67" s="11"/>
      <c r="M67" s="58"/>
    </row>
    <row r="68" spans="1:13" x14ac:dyDescent="0.35">
      <c r="A68" s="54"/>
      <c r="B68" s="51"/>
      <c r="C68" s="51"/>
      <c r="D68" s="51"/>
      <c r="E68" s="51"/>
      <c r="F68" s="51"/>
      <c r="G68" s="51"/>
      <c r="H68" s="53"/>
      <c r="I68" s="49"/>
      <c r="J68" s="10"/>
      <c r="K68" s="10"/>
      <c r="L68" s="11"/>
      <c r="M68" s="58"/>
    </row>
    <row r="69" spans="1:13" x14ac:dyDescent="0.35">
      <c r="A69" s="55"/>
      <c r="B69" s="51"/>
      <c r="C69" s="51"/>
      <c r="D69" s="51"/>
      <c r="E69" s="51"/>
      <c r="F69" s="51"/>
      <c r="G69" s="51"/>
      <c r="H69" s="53"/>
      <c r="I69" s="49"/>
      <c r="J69" s="10"/>
      <c r="K69" s="10"/>
      <c r="L69" s="11"/>
      <c r="M69" s="59"/>
    </row>
    <row r="70" spans="1:13" x14ac:dyDescent="0.35">
      <c r="A70" s="50"/>
      <c r="B70" s="51"/>
      <c r="C70" s="51"/>
      <c r="D70" s="51"/>
      <c r="E70" s="51"/>
      <c r="F70" s="51"/>
      <c r="G70" s="51"/>
      <c r="H70" s="51"/>
      <c r="I70" s="49"/>
      <c r="J70" s="10"/>
      <c r="K70" s="10"/>
      <c r="L70" s="11"/>
      <c r="M70" s="58"/>
    </row>
    <row r="71" spans="1:13" x14ac:dyDescent="0.35">
      <c r="A71" s="54"/>
      <c r="B71" s="51"/>
      <c r="C71" s="51"/>
      <c r="D71" s="51"/>
      <c r="E71" s="51"/>
      <c r="F71" s="51"/>
      <c r="G71" s="51"/>
      <c r="H71" s="53"/>
      <c r="I71" s="49"/>
      <c r="J71" s="10"/>
      <c r="K71" s="10"/>
      <c r="L71" s="11"/>
      <c r="M71" s="58"/>
    </row>
    <row r="72" spans="1:13" x14ac:dyDescent="0.35">
      <c r="A72" s="55"/>
      <c r="B72" s="51"/>
      <c r="C72" s="51"/>
      <c r="D72" s="51"/>
      <c r="E72" s="51"/>
      <c r="F72" s="51"/>
      <c r="G72" s="51"/>
      <c r="H72" s="51"/>
      <c r="I72" s="49"/>
      <c r="J72" s="10"/>
      <c r="K72" s="10"/>
      <c r="L72" s="11"/>
      <c r="M72" s="58"/>
    </row>
    <row r="73" spans="1:13" x14ac:dyDescent="0.35">
      <c r="A73" s="55"/>
      <c r="B73" s="51"/>
      <c r="C73" s="51"/>
      <c r="D73" s="51"/>
      <c r="E73" s="51"/>
      <c r="F73" s="51"/>
      <c r="G73" s="51"/>
      <c r="H73" s="51"/>
      <c r="I73" s="49"/>
      <c r="J73" s="10"/>
      <c r="K73" s="10"/>
      <c r="L73" s="11"/>
      <c r="M73" s="58"/>
    </row>
    <row r="74" spans="1:13" x14ac:dyDescent="0.35">
      <c r="A74" s="54"/>
      <c r="B74" s="51"/>
      <c r="C74" s="51"/>
      <c r="D74" s="51"/>
      <c r="E74" s="51"/>
      <c r="F74" s="51"/>
      <c r="G74" s="51"/>
      <c r="H74" s="53"/>
      <c r="I74" s="49"/>
      <c r="J74" s="10"/>
      <c r="K74" s="10"/>
      <c r="L74" s="11"/>
      <c r="M74" s="58"/>
    </row>
    <row r="75" spans="1:13" x14ac:dyDescent="0.35">
      <c r="A75" s="55"/>
      <c r="B75" s="51"/>
      <c r="C75" s="51"/>
      <c r="D75" s="51"/>
      <c r="E75" s="51"/>
      <c r="F75" s="51"/>
      <c r="G75" s="51"/>
      <c r="H75" s="53"/>
      <c r="I75" s="49"/>
      <c r="J75" s="10"/>
      <c r="K75" s="10"/>
      <c r="L75" s="11"/>
      <c r="M75" s="58"/>
    </row>
    <row r="76" spans="1:13" x14ac:dyDescent="0.35">
      <c r="A76" s="54"/>
      <c r="B76" s="51"/>
      <c r="C76" s="51"/>
      <c r="D76" s="51"/>
      <c r="E76" s="51"/>
      <c r="F76" s="51"/>
      <c r="G76" s="51"/>
      <c r="H76" s="51"/>
      <c r="I76" s="49"/>
      <c r="J76" s="10"/>
      <c r="K76" s="10"/>
      <c r="L76" s="11"/>
      <c r="M76" s="58"/>
    </row>
    <row r="77" spans="1:13" x14ac:dyDescent="0.35">
      <c r="A77" s="55"/>
      <c r="B77" s="56"/>
      <c r="C77" s="51"/>
      <c r="D77" s="51"/>
      <c r="E77" s="51"/>
      <c r="F77" s="51"/>
      <c r="G77" s="51"/>
      <c r="H77" s="57"/>
      <c r="I77" s="49"/>
      <c r="J77" s="10"/>
      <c r="K77" s="10"/>
      <c r="L77" s="11"/>
      <c r="M77" s="58"/>
    </row>
    <row r="78" spans="1:13" x14ac:dyDescent="0.35">
      <c r="A78" s="54"/>
      <c r="B78" s="51"/>
      <c r="C78" s="51"/>
      <c r="D78" s="51"/>
      <c r="E78" s="51"/>
      <c r="F78" s="51"/>
      <c r="G78" s="51"/>
      <c r="H78" s="51"/>
      <c r="I78" s="49"/>
      <c r="J78" s="10"/>
      <c r="K78" s="10"/>
      <c r="L78" s="11"/>
      <c r="M78" s="58"/>
    </row>
    <row r="79" spans="1:13" x14ac:dyDescent="0.35">
      <c r="A79" s="55"/>
      <c r="B79" s="51"/>
      <c r="C79" s="51"/>
      <c r="D79" s="51"/>
      <c r="E79" s="51"/>
      <c r="F79" s="51"/>
      <c r="G79" s="51"/>
      <c r="H79" s="53"/>
      <c r="I79" s="49"/>
      <c r="J79" s="10"/>
      <c r="K79" s="10"/>
      <c r="L79" s="11"/>
      <c r="M79" s="58"/>
    </row>
    <row r="80" spans="1:13" x14ac:dyDescent="0.35">
      <c r="A80" s="55"/>
      <c r="B80" s="51"/>
      <c r="C80" s="51"/>
      <c r="D80" s="51"/>
      <c r="E80" s="51"/>
      <c r="F80" s="51"/>
      <c r="G80" s="51"/>
      <c r="H80" s="51"/>
      <c r="I80" s="49"/>
      <c r="J80" s="10"/>
      <c r="K80" s="10"/>
      <c r="L80" s="11"/>
      <c r="M80" s="58"/>
    </row>
    <row r="81" spans="1:13" x14ac:dyDescent="0.35">
      <c r="A81" s="48"/>
      <c r="B81" s="51"/>
      <c r="C81" s="51"/>
      <c r="D81" s="51"/>
      <c r="E81" s="51"/>
      <c r="F81" s="51"/>
      <c r="G81" s="51"/>
      <c r="H81" s="53"/>
      <c r="I81" s="49"/>
      <c r="J81" s="10"/>
      <c r="K81" s="10"/>
      <c r="L81" s="11"/>
      <c r="M81" s="58"/>
    </row>
    <row r="82" spans="1:13" x14ac:dyDescent="0.35">
      <c r="B82" s="51"/>
      <c r="C82" s="51"/>
      <c r="D82" s="51"/>
      <c r="E82" s="51"/>
      <c r="F82" s="51"/>
      <c r="G82" s="51"/>
      <c r="H82" s="53"/>
      <c r="I82" s="49"/>
      <c r="J82" s="10"/>
      <c r="K82" s="10"/>
      <c r="L82" s="11"/>
      <c r="M82" s="58"/>
    </row>
    <row r="83" spans="1:13" x14ac:dyDescent="0.35">
      <c r="B83" s="49"/>
      <c r="C83" s="49"/>
      <c r="D83" s="49"/>
      <c r="E83" s="49"/>
      <c r="F83" s="49"/>
      <c r="G83" s="49"/>
      <c r="H83" s="49"/>
      <c r="I83" s="49"/>
      <c r="J83" s="10"/>
      <c r="K83" s="10"/>
      <c r="L83" s="11"/>
      <c r="M83" s="58"/>
    </row>
    <row r="84" spans="1:13" x14ac:dyDescent="0.35">
      <c r="I84" s="60"/>
      <c r="J84" s="10"/>
      <c r="K84" s="10"/>
      <c r="L84" s="11"/>
      <c r="M84" s="58"/>
    </row>
    <row r="85" spans="1:13" x14ac:dyDescent="0.35">
      <c r="I85" s="60"/>
      <c r="J85" s="10"/>
      <c r="K85" s="10"/>
      <c r="L85" s="11"/>
      <c r="M85" s="58"/>
    </row>
    <row r="86" spans="1:13" x14ac:dyDescent="0.35">
      <c r="I86" s="3"/>
      <c r="J86" s="10"/>
      <c r="K86" s="10"/>
      <c r="L86" s="11"/>
      <c r="M86" s="58"/>
    </row>
    <row r="87" spans="1:13" x14ac:dyDescent="0.35">
      <c r="I87" s="3"/>
      <c r="J87" s="10"/>
      <c r="K87" s="10"/>
      <c r="L87" s="11"/>
      <c r="M87" s="58"/>
    </row>
    <row r="88" spans="1:13" x14ac:dyDescent="0.35">
      <c r="I88" s="3"/>
      <c r="J88" s="10"/>
      <c r="K88" s="10"/>
      <c r="L88" s="11"/>
      <c r="M88" s="58"/>
    </row>
    <row r="89" spans="1:13" x14ac:dyDescent="0.35">
      <c r="I89" s="3"/>
      <c r="J89" s="10"/>
      <c r="K89" s="10"/>
      <c r="L89" s="11"/>
      <c r="M89" s="58"/>
    </row>
    <row r="90" spans="1:13" x14ac:dyDescent="0.35">
      <c r="I90" s="3"/>
      <c r="J90" s="10"/>
      <c r="K90" s="10"/>
      <c r="L90" s="11"/>
      <c r="M90" s="58"/>
    </row>
    <row r="91" spans="1:13" x14ac:dyDescent="0.35">
      <c r="I91" s="3"/>
      <c r="J91" s="10"/>
      <c r="K91" s="10"/>
      <c r="L91" s="11"/>
      <c r="M91" s="58"/>
    </row>
    <row r="92" spans="1:13" x14ac:dyDescent="0.35">
      <c r="I92" s="3"/>
      <c r="J92" s="10"/>
      <c r="K92" s="10"/>
      <c r="L92" s="11"/>
      <c r="M92" s="58"/>
    </row>
    <row r="93" spans="1:13" x14ac:dyDescent="0.35">
      <c r="I93" s="3"/>
      <c r="J93" s="10"/>
      <c r="K93" s="10"/>
      <c r="L93" s="11"/>
      <c r="M93" s="58"/>
    </row>
    <row r="94" spans="1:13" x14ac:dyDescent="0.35">
      <c r="I94" s="3"/>
      <c r="J94" s="10"/>
      <c r="K94" s="10"/>
      <c r="L94" s="11"/>
      <c r="M94" s="58"/>
    </row>
    <row r="95" spans="1:13" x14ac:dyDescent="0.35">
      <c r="I95" s="3"/>
      <c r="J95" s="3"/>
      <c r="K95" s="3"/>
      <c r="L95" s="5"/>
    </row>
    <row r="96" spans="1:13" x14ac:dyDescent="0.35">
      <c r="I96" s="3"/>
      <c r="J96" s="3"/>
      <c r="K96" s="3"/>
      <c r="L96" s="5"/>
    </row>
    <row r="97" spans="1:12" x14ac:dyDescent="0.35">
      <c r="I97" s="3"/>
      <c r="J97" s="3"/>
      <c r="K97" s="3"/>
      <c r="L97" s="5"/>
    </row>
    <row r="98" spans="1:12" x14ac:dyDescent="0.35">
      <c r="I98" s="3"/>
      <c r="J98" s="3"/>
      <c r="K98" s="3"/>
      <c r="L98" s="5"/>
    </row>
    <row r="99" spans="1:12" x14ac:dyDescent="0.35">
      <c r="I99" s="3"/>
      <c r="J99" s="3"/>
      <c r="K99" s="3"/>
      <c r="L99" s="5"/>
    </row>
    <row r="100" spans="1:12" x14ac:dyDescent="0.35">
      <c r="I100" s="3"/>
      <c r="J100" s="3"/>
      <c r="K100" s="3"/>
      <c r="L100" s="5"/>
    </row>
    <row r="101" spans="1:12" x14ac:dyDescent="0.35">
      <c r="I101" s="3"/>
      <c r="J101" s="3"/>
      <c r="K101" s="3"/>
      <c r="L101" s="5"/>
    </row>
    <row r="102" spans="1:12" x14ac:dyDescent="0.35">
      <c r="I102" s="3"/>
      <c r="J102" s="3"/>
      <c r="K102" s="3"/>
      <c r="L102" s="5"/>
    </row>
    <row r="103" spans="1:12" x14ac:dyDescent="0.35">
      <c r="A103" s="32"/>
      <c r="I103" s="3"/>
      <c r="J103" s="3"/>
      <c r="K103" s="3"/>
      <c r="L103" s="5"/>
    </row>
    <row r="104" spans="1:12" x14ac:dyDescent="0.35">
      <c r="I104" s="3"/>
      <c r="J104" s="3"/>
      <c r="K104" s="3"/>
      <c r="L104" s="5"/>
    </row>
    <row r="105" spans="1:12" x14ac:dyDescent="0.35">
      <c r="B105" s="33"/>
      <c r="C105" s="33"/>
      <c r="D105" s="33"/>
      <c r="E105" s="33"/>
      <c r="F105" s="33"/>
      <c r="G105" s="33"/>
      <c r="H105" s="33"/>
      <c r="I105" s="34"/>
    </row>
  </sheetData>
  <mergeCells count="2">
    <mergeCell ref="A65:L65"/>
    <mergeCell ref="A64:L64"/>
  </mergeCells>
  <phoneticPr fontId="0" type="noConversion"/>
  <pageMargins left="0.25" right="0.25" top="0.5" bottom="0.5" header="0.5" footer="0.5"/>
  <pageSetup orientation="landscape" r:id="rId1"/>
  <headerFooter alignWithMargins="0">
    <oddFooter>&amp;L&amp;T&amp;D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69"/>
  <sheetViews>
    <sheetView tabSelected="1" topLeftCell="A10" workbookViewId="0">
      <selection activeCell="A4" sqref="A4"/>
    </sheetView>
  </sheetViews>
  <sheetFormatPr defaultRowHeight="12.75" x14ac:dyDescent="0.2"/>
  <cols>
    <col min="1" max="1" width="31" customWidth="1"/>
    <col min="2" max="2" width="8.28515625" customWidth="1"/>
    <col min="3" max="3" width="7.5703125" customWidth="1"/>
    <col min="4" max="4" width="7.42578125" customWidth="1"/>
    <col min="5" max="5" width="7.140625" customWidth="1"/>
    <col min="6" max="6" width="6.85546875" customWidth="1"/>
    <col min="7" max="7" width="7.7109375" customWidth="1"/>
    <col min="8" max="8" width="8" customWidth="1"/>
    <col min="9" max="9" width="7.28515625" customWidth="1"/>
    <col min="10" max="10" width="7.85546875" customWidth="1"/>
  </cols>
  <sheetData>
    <row r="2" spans="1:12" ht="45.75" x14ac:dyDescent="0.2">
      <c r="A2" s="82" t="s">
        <v>50</v>
      </c>
      <c r="B2" s="83" t="s">
        <v>65</v>
      </c>
      <c r="C2" s="84" t="s">
        <v>66</v>
      </c>
      <c r="D2" s="84" t="s">
        <v>67</v>
      </c>
      <c r="E2" s="84" t="s">
        <v>58</v>
      </c>
      <c r="F2" s="84" t="s">
        <v>59</v>
      </c>
      <c r="G2" s="84" t="s">
        <v>60</v>
      </c>
      <c r="H2" s="84" t="s">
        <v>68</v>
      </c>
      <c r="I2" s="84" t="s">
        <v>69</v>
      </c>
      <c r="J2" s="84" t="s">
        <v>70</v>
      </c>
      <c r="K2" s="85" t="s">
        <v>2</v>
      </c>
    </row>
    <row r="3" spans="1:12" ht="16.5" x14ac:dyDescent="0.35">
      <c r="A3" s="95"/>
      <c r="B3" s="76" t="s">
        <v>0</v>
      </c>
      <c r="C3" s="15"/>
      <c r="D3" s="15"/>
      <c r="E3" s="15"/>
      <c r="F3" s="15"/>
      <c r="G3" s="15"/>
      <c r="H3" s="15"/>
      <c r="I3" s="15"/>
      <c r="J3" s="15"/>
      <c r="K3" s="15"/>
    </row>
    <row r="4" spans="1:12" ht="18" x14ac:dyDescent="0.35">
      <c r="A4" s="9" t="s">
        <v>72</v>
      </c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2" ht="18" x14ac:dyDescent="0.35">
      <c r="A5" s="36" t="s">
        <v>4</v>
      </c>
      <c r="B5" s="67">
        <v>13</v>
      </c>
      <c r="C5" s="67">
        <v>27</v>
      </c>
      <c r="D5" s="68">
        <v>51</v>
      </c>
      <c r="E5" s="67">
        <v>158</v>
      </c>
      <c r="F5" s="67">
        <v>42</v>
      </c>
      <c r="G5" s="67">
        <v>29</v>
      </c>
      <c r="H5" s="67">
        <v>99</v>
      </c>
      <c r="I5" s="67">
        <v>125</v>
      </c>
      <c r="J5" s="67">
        <v>132</v>
      </c>
      <c r="K5" s="35">
        <f>SUM(B5:J5)</f>
        <v>676</v>
      </c>
      <c r="L5" s="94" t="s">
        <v>71</v>
      </c>
    </row>
    <row r="6" spans="1:12" ht="18" x14ac:dyDescent="0.35">
      <c r="A6" s="36" t="s">
        <v>27</v>
      </c>
      <c r="B6" s="67">
        <v>0</v>
      </c>
      <c r="C6" s="67">
        <v>4</v>
      </c>
      <c r="D6" s="68">
        <v>4</v>
      </c>
      <c r="E6" s="67">
        <v>13</v>
      </c>
      <c r="F6" s="67">
        <v>5</v>
      </c>
      <c r="G6" s="67">
        <v>1</v>
      </c>
      <c r="H6" s="67">
        <v>21</v>
      </c>
      <c r="I6" s="67">
        <v>20</v>
      </c>
      <c r="J6" s="67">
        <v>17</v>
      </c>
      <c r="K6" s="35">
        <f>SUM(B6:J6)</f>
        <v>85</v>
      </c>
    </row>
    <row r="7" spans="1:12" ht="18" x14ac:dyDescent="0.35">
      <c r="A7" s="36" t="s">
        <v>28</v>
      </c>
      <c r="B7" s="67">
        <v>15</v>
      </c>
      <c r="C7" s="67">
        <v>10</v>
      </c>
      <c r="D7" s="68">
        <v>18</v>
      </c>
      <c r="E7" s="67">
        <v>45</v>
      </c>
      <c r="F7" s="67">
        <v>21</v>
      </c>
      <c r="G7" s="67">
        <v>5</v>
      </c>
      <c r="H7" s="67">
        <v>57</v>
      </c>
      <c r="I7" s="67">
        <v>72</v>
      </c>
      <c r="J7" s="67">
        <v>62</v>
      </c>
      <c r="K7" s="35">
        <f>SUM(B7:J7)</f>
        <v>305</v>
      </c>
    </row>
    <row r="8" spans="1:12" ht="18" x14ac:dyDescent="0.35">
      <c r="A8" s="9" t="s">
        <v>5</v>
      </c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12" ht="16.5" x14ac:dyDescent="0.35">
      <c r="A9" s="38" t="s">
        <v>6</v>
      </c>
      <c r="B9" s="67">
        <v>16</v>
      </c>
      <c r="C9" s="68">
        <v>12</v>
      </c>
      <c r="D9" s="67">
        <v>15</v>
      </c>
      <c r="E9" s="67">
        <v>38</v>
      </c>
      <c r="F9" s="67">
        <v>17</v>
      </c>
      <c r="G9" s="67">
        <v>2</v>
      </c>
      <c r="H9" s="67">
        <v>41</v>
      </c>
      <c r="I9" s="67">
        <v>55</v>
      </c>
      <c r="J9" s="67">
        <v>57</v>
      </c>
      <c r="K9" s="17">
        <f>SUM(B9:J9)</f>
        <v>253</v>
      </c>
    </row>
    <row r="10" spans="1:12" ht="16.5" x14ac:dyDescent="0.35">
      <c r="A10" s="38" t="s">
        <v>29</v>
      </c>
      <c r="B10" s="69">
        <v>1</v>
      </c>
      <c r="C10" s="70">
        <v>1</v>
      </c>
      <c r="D10" s="69">
        <v>2</v>
      </c>
      <c r="E10" s="69">
        <v>6</v>
      </c>
      <c r="F10" s="69">
        <v>9</v>
      </c>
      <c r="G10" s="69">
        <v>0</v>
      </c>
      <c r="H10" s="69">
        <v>17</v>
      </c>
      <c r="I10" s="69">
        <v>17</v>
      </c>
      <c r="J10" s="69">
        <v>8</v>
      </c>
      <c r="K10" s="17">
        <f>SUM(B10:J10)</f>
        <v>61</v>
      </c>
    </row>
    <row r="11" spans="1:12" ht="16.5" x14ac:dyDescent="0.35">
      <c r="A11" s="38" t="s">
        <v>7</v>
      </c>
      <c r="B11" s="69">
        <v>11</v>
      </c>
      <c r="C11" s="70">
        <v>27</v>
      </c>
      <c r="D11" s="69">
        <v>55</v>
      </c>
      <c r="E11" s="69">
        <v>173</v>
      </c>
      <c r="F11" s="69">
        <v>41</v>
      </c>
      <c r="G11" s="69">
        <v>33</v>
      </c>
      <c r="H11" s="69">
        <v>119</v>
      </c>
      <c r="I11" s="69">
        <v>144</v>
      </c>
      <c r="J11" s="69">
        <v>149</v>
      </c>
      <c r="K11" s="17">
        <f>SUM(B11:J11)</f>
        <v>752</v>
      </c>
      <c r="L11" s="93" t="s">
        <v>71</v>
      </c>
    </row>
    <row r="12" spans="1:12" ht="18" x14ac:dyDescent="0.35">
      <c r="A12" s="9" t="s">
        <v>8</v>
      </c>
      <c r="B12" s="16"/>
      <c r="C12" s="16"/>
      <c r="D12" s="16"/>
      <c r="E12" s="16"/>
      <c r="F12" s="16"/>
      <c r="G12" s="16"/>
      <c r="H12" s="65"/>
      <c r="I12" s="16"/>
      <c r="J12" s="16"/>
      <c r="K12" s="16"/>
    </row>
    <row r="13" spans="1:12" ht="16.5" x14ac:dyDescent="0.35">
      <c r="A13" s="38" t="s">
        <v>30</v>
      </c>
      <c r="B13" s="71">
        <v>0</v>
      </c>
      <c r="C13" s="71">
        <v>1</v>
      </c>
      <c r="D13" s="71">
        <v>3</v>
      </c>
      <c r="E13" s="71">
        <v>4</v>
      </c>
      <c r="F13" s="71">
        <v>5</v>
      </c>
      <c r="G13" s="71">
        <v>1</v>
      </c>
      <c r="H13" s="71">
        <v>12</v>
      </c>
      <c r="I13" s="71">
        <v>12</v>
      </c>
      <c r="J13" s="71">
        <v>9</v>
      </c>
      <c r="K13" s="22">
        <f>SUM(B13:J13)</f>
        <v>47</v>
      </c>
    </row>
    <row r="14" spans="1:12" ht="16.5" x14ac:dyDescent="0.35">
      <c r="A14" s="38" t="s">
        <v>31</v>
      </c>
      <c r="B14" s="71">
        <v>14</v>
      </c>
      <c r="C14" s="71">
        <v>25</v>
      </c>
      <c r="D14" s="71">
        <v>46</v>
      </c>
      <c r="E14" s="71">
        <v>153</v>
      </c>
      <c r="F14" s="71">
        <v>33</v>
      </c>
      <c r="G14" s="71">
        <v>25</v>
      </c>
      <c r="H14" s="71">
        <v>95</v>
      </c>
      <c r="I14" s="71">
        <v>109</v>
      </c>
      <c r="J14" s="71">
        <v>113</v>
      </c>
      <c r="K14" s="22">
        <f>SUM(B14:J14)</f>
        <v>613</v>
      </c>
      <c r="L14" t="s">
        <v>71</v>
      </c>
    </row>
    <row r="15" spans="1:12" ht="16.5" x14ac:dyDescent="0.35">
      <c r="A15" s="38" t="s">
        <v>32</v>
      </c>
      <c r="B15" s="71">
        <v>15</v>
      </c>
      <c r="C15" s="71">
        <v>15</v>
      </c>
      <c r="D15" s="71">
        <v>23</v>
      </c>
      <c r="E15" s="71">
        <v>62</v>
      </c>
      <c r="F15" s="71">
        <v>31</v>
      </c>
      <c r="G15" s="71">
        <v>9</v>
      </c>
      <c r="H15" s="71">
        <v>71</v>
      </c>
      <c r="I15" s="71">
        <v>97</v>
      </c>
      <c r="J15" s="71">
        <v>95</v>
      </c>
      <c r="K15" s="22">
        <f>SUM(B15:J15)</f>
        <v>418</v>
      </c>
    </row>
    <row r="16" spans="1:12" ht="18" x14ac:dyDescent="0.35">
      <c r="A16" s="9" t="s">
        <v>9</v>
      </c>
      <c r="B16" s="16"/>
      <c r="C16" s="16"/>
      <c r="D16" s="16"/>
      <c r="E16" s="16"/>
      <c r="F16" s="16"/>
      <c r="G16" s="16"/>
      <c r="H16" s="16"/>
      <c r="I16" s="16"/>
      <c r="J16" s="66"/>
      <c r="K16" s="16"/>
    </row>
    <row r="17" spans="1:12" x14ac:dyDescent="0.2">
      <c r="A17" s="77" t="s">
        <v>10</v>
      </c>
      <c r="B17" s="62">
        <v>15</v>
      </c>
      <c r="C17" s="62">
        <v>12</v>
      </c>
      <c r="D17" s="62">
        <v>20</v>
      </c>
      <c r="E17" s="62">
        <v>42</v>
      </c>
      <c r="F17" s="62">
        <v>18</v>
      </c>
      <c r="G17" s="62">
        <v>7</v>
      </c>
      <c r="H17" s="62">
        <v>57</v>
      </c>
      <c r="I17" s="62">
        <v>70</v>
      </c>
      <c r="J17" s="62">
        <v>62</v>
      </c>
      <c r="K17" s="21">
        <f>SUM(B17:J17)</f>
        <v>303</v>
      </c>
    </row>
    <row r="18" spans="1:12" x14ac:dyDescent="0.2">
      <c r="A18" s="77" t="s">
        <v>11</v>
      </c>
      <c r="B18" s="62">
        <v>13</v>
      </c>
      <c r="C18" s="62">
        <v>29</v>
      </c>
      <c r="D18" s="62">
        <v>52</v>
      </c>
      <c r="E18" s="62">
        <v>173</v>
      </c>
      <c r="F18" s="62">
        <v>48</v>
      </c>
      <c r="G18" s="62">
        <v>26</v>
      </c>
      <c r="H18" s="62">
        <v>118</v>
      </c>
      <c r="I18" s="62">
        <v>147</v>
      </c>
      <c r="J18" s="62">
        <v>149</v>
      </c>
      <c r="K18" s="21">
        <f>SUM(B18:J18)</f>
        <v>755</v>
      </c>
      <c r="L18" t="s">
        <v>71</v>
      </c>
    </row>
    <row r="19" spans="1:12" ht="18" x14ac:dyDescent="0.35">
      <c r="A19" s="9" t="s">
        <v>12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</row>
    <row r="20" spans="1:12" ht="15" x14ac:dyDescent="0.3">
      <c r="A20" s="77" t="s">
        <v>14</v>
      </c>
      <c r="B20" s="62">
        <v>15</v>
      </c>
      <c r="C20" s="62">
        <v>35</v>
      </c>
      <c r="D20" s="62">
        <v>60</v>
      </c>
      <c r="E20" s="62">
        <v>189</v>
      </c>
      <c r="F20" s="62">
        <v>53</v>
      </c>
      <c r="G20" s="62">
        <v>33</v>
      </c>
      <c r="H20" s="62">
        <v>141</v>
      </c>
      <c r="I20" s="62">
        <v>167</v>
      </c>
      <c r="J20" s="62">
        <v>181</v>
      </c>
      <c r="K20" s="39">
        <f>SUM(B20:J20)</f>
        <v>874</v>
      </c>
      <c r="L20" t="s">
        <v>71</v>
      </c>
    </row>
    <row r="21" spans="1:12" ht="16.5" x14ac:dyDescent="0.35">
      <c r="A21" s="40" t="s">
        <v>13</v>
      </c>
      <c r="B21" s="41">
        <v>13</v>
      </c>
      <c r="C21" s="72">
        <v>7</v>
      </c>
      <c r="D21" s="72">
        <v>12</v>
      </c>
      <c r="E21" s="72">
        <v>27</v>
      </c>
      <c r="F21" s="72">
        <v>14</v>
      </c>
      <c r="G21" s="72">
        <v>1</v>
      </c>
      <c r="H21" s="72">
        <v>35</v>
      </c>
      <c r="I21" s="72">
        <v>47</v>
      </c>
      <c r="J21" s="72">
        <v>35</v>
      </c>
      <c r="K21" s="39">
        <f>SUM(B21:J21)</f>
        <v>191</v>
      </c>
    </row>
    <row r="22" spans="1:12" ht="18" x14ac:dyDescent="0.35">
      <c r="A22" s="9" t="s">
        <v>15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</row>
    <row r="23" spans="1:12" ht="15" x14ac:dyDescent="0.3">
      <c r="A23" s="77" t="s">
        <v>17</v>
      </c>
      <c r="B23" s="62">
        <v>14</v>
      </c>
      <c r="C23" s="62">
        <v>33</v>
      </c>
      <c r="D23" s="62">
        <v>53</v>
      </c>
      <c r="E23" s="62">
        <v>182</v>
      </c>
      <c r="F23" s="62">
        <v>53</v>
      </c>
      <c r="G23" s="62">
        <v>30</v>
      </c>
      <c r="H23" s="62">
        <v>126</v>
      </c>
      <c r="I23" s="62">
        <v>157</v>
      </c>
      <c r="J23" s="62">
        <v>174</v>
      </c>
      <c r="K23" s="23">
        <f>SUM(B23:J23)</f>
        <v>822</v>
      </c>
      <c r="L23" t="s">
        <v>71</v>
      </c>
    </row>
    <row r="24" spans="1:12" ht="16.5" x14ac:dyDescent="0.35">
      <c r="A24" s="42" t="s">
        <v>16</v>
      </c>
      <c r="B24" s="68">
        <v>14</v>
      </c>
      <c r="C24" s="68">
        <v>8</v>
      </c>
      <c r="D24" s="68">
        <v>19</v>
      </c>
      <c r="E24" s="68">
        <v>29</v>
      </c>
      <c r="F24" s="68">
        <v>13</v>
      </c>
      <c r="G24" s="68">
        <v>3</v>
      </c>
      <c r="H24" s="68">
        <v>48</v>
      </c>
      <c r="I24" s="68">
        <v>55</v>
      </c>
      <c r="J24" s="68">
        <v>36</v>
      </c>
      <c r="K24" s="23">
        <f>SUM(B24:J24)</f>
        <v>225</v>
      </c>
    </row>
    <row r="25" spans="1:12" ht="18" x14ac:dyDescent="0.35">
      <c r="A25" s="9" t="s">
        <v>18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</row>
    <row r="26" spans="1:12" ht="16.5" x14ac:dyDescent="0.35">
      <c r="A26" s="78" t="s">
        <v>20</v>
      </c>
      <c r="B26" s="63">
        <v>14</v>
      </c>
      <c r="C26" s="62">
        <v>32</v>
      </c>
      <c r="D26" s="62">
        <v>49</v>
      </c>
      <c r="E26" s="62">
        <v>169</v>
      </c>
      <c r="F26" s="62">
        <v>41</v>
      </c>
      <c r="G26" s="62">
        <v>29</v>
      </c>
      <c r="H26" s="62">
        <v>116</v>
      </c>
      <c r="I26" s="62">
        <v>138</v>
      </c>
      <c r="J26" s="62">
        <v>143</v>
      </c>
      <c r="K26" s="23">
        <f>SUM(B26:J26)</f>
        <v>731</v>
      </c>
      <c r="L26" t="s">
        <v>71</v>
      </c>
    </row>
    <row r="27" spans="1:12" ht="16.5" x14ac:dyDescent="0.35">
      <c r="A27" s="78" t="s">
        <v>19</v>
      </c>
      <c r="B27" s="63">
        <v>14</v>
      </c>
      <c r="C27" s="62">
        <v>9</v>
      </c>
      <c r="D27" s="62">
        <v>20</v>
      </c>
      <c r="E27" s="62">
        <v>38</v>
      </c>
      <c r="F27" s="62">
        <v>24</v>
      </c>
      <c r="G27" s="62">
        <v>2</v>
      </c>
      <c r="H27" s="62">
        <v>53</v>
      </c>
      <c r="I27" s="62">
        <v>69</v>
      </c>
      <c r="J27" s="62">
        <v>61</v>
      </c>
      <c r="K27" s="23">
        <f>SUM(B27:J27)</f>
        <v>290</v>
      </c>
    </row>
    <row r="28" spans="1:12" ht="18" x14ac:dyDescent="0.35">
      <c r="A28" s="9" t="s">
        <v>21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</row>
    <row r="29" spans="1:12" ht="16.5" x14ac:dyDescent="0.35">
      <c r="A29" s="42" t="s">
        <v>22</v>
      </c>
      <c r="B29" s="67">
        <v>21</v>
      </c>
      <c r="C29" s="67">
        <v>39</v>
      </c>
      <c r="D29" s="67">
        <v>61</v>
      </c>
      <c r="E29" s="67">
        <v>194</v>
      </c>
      <c r="F29" s="67">
        <v>63</v>
      </c>
      <c r="G29" s="67">
        <v>33</v>
      </c>
      <c r="H29" s="67">
        <v>165</v>
      </c>
      <c r="I29" s="67">
        <v>194</v>
      </c>
      <c r="J29" s="67">
        <v>192</v>
      </c>
      <c r="K29" s="25">
        <f>SUM(B29:J29)</f>
        <v>962</v>
      </c>
      <c r="L29" t="s">
        <v>71</v>
      </c>
    </row>
    <row r="30" spans="1:12" ht="39.75" x14ac:dyDescent="0.2">
      <c r="A30" s="82" t="s">
        <v>50</v>
      </c>
      <c r="B30" s="83" t="s">
        <v>65</v>
      </c>
      <c r="C30" s="84" t="s">
        <v>66</v>
      </c>
      <c r="D30" s="84" t="s">
        <v>67</v>
      </c>
      <c r="E30" s="84" t="s">
        <v>58</v>
      </c>
      <c r="F30" s="84" t="s">
        <v>59</v>
      </c>
      <c r="G30" s="84" t="s">
        <v>60</v>
      </c>
      <c r="H30" s="84" t="s">
        <v>68</v>
      </c>
      <c r="I30" s="84" t="s">
        <v>69</v>
      </c>
      <c r="J30" s="84" t="s">
        <v>70</v>
      </c>
      <c r="K30" s="85" t="s">
        <v>2</v>
      </c>
    </row>
    <row r="31" spans="1:12" ht="18.75" thickBot="1" x14ac:dyDescent="0.4">
      <c r="A31" s="31" t="s">
        <v>23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</row>
    <row r="32" spans="1:12" ht="16.5" x14ac:dyDescent="0.35">
      <c r="A32" s="24" t="s">
        <v>24</v>
      </c>
      <c r="B32" s="26">
        <v>19</v>
      </c>
      <c r="C32" s="71">
        <v>40</v>
      </c>
      <c r="D32" s="71">
        <v>57</v>
      </c>
      <c r="E32" s="71">
        <v>188</v>
      </c>
      <c r="F32" s="71">
        <v>58</v>
      </c>
      <c r="G32" s="71">
        <v>29</v>
      </c>
      <c r="H32" s="71">
        <v>156</v>
      </c>
      <c r="I32" s="71">
        <v>195</v>
      </c>
      <c r="J32" s="71">
        <v>193</v>
      </c>
      <c r="K32" s="27">
        <f>SUM(B32:J32)</f>
        <v>935</v>
      </c>
      <c r="L32" t="s">
        <v>71</v>
      </c>
    </row>
    <row r="33" spans="1:12" ht="16.5" x14ac:dyDescent="0.35">
      <c r="A33" s="79" t="s">
        <v>25</v>
      </c>
      <c r="B33" s="16"/>
      <c r="C33" s="16"/>
      <c r="D33" s="16"/>
      <c r="E33" s="16"/>
      <c r="F33" s="16"/>
      <c r="G33" s="16"/>
      <c r="H33" s="16"/>
      <c r="I33" s="16"/>
      <c r="J33" s="16"/>
      <c r="K33" s="16"/>
    </row>
    <row r="34" spans="1:12" ht="16.5" x14ac:dyDescent="0.35">
      <c r="A34" s="43" t="s">
        <v>26</v>
      </c>
      <c r="B34" s="28">
        <v>17</v>
      </c>
      <c r="C34" s="73">
        <v>35</v>
      </c>
      <c r="D34" s="73">
        <v>42</v>
      </c>
      <c r="E34" s="73">
        <v>83</v>
      </c>
      <c r="F34" s="73">
        <v>15</v>
      </c>
      <c r="G34" s="73">
        <v>0</v>
      </c>
      <c r="H34" s="73">
        <v>0</v>
      </c>
      <c r="I34" s="73">
        <v>0</v>
      </c>
      <c r="J34" s="29">
        <v>0</v>
      </c>
      <c r="K34" s="30">
        <f>SUM(B34:J34)</f>
        <v>192</v>
      </c>
      <c r="L34" t="s">
        <v>71</v>
      </c>
    </row>
    <row r="35" spans="1:12" ht="16.5" x14ac:dyDescent="0.35">
      <c r="A35" s="79" t="s">
        <v>33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</row>
    <row r="36" spans="1:12" ht="16.5" x14ac:dyDescent="0.35">
      <c r="A36" s="38" t="s">
        <v>34</v>
      </c>
      <c r="B36" s="67">
        <v>17</v>
      </c>
      <c r="C36" s="18">
        <v>22</v>
      </c>
      <c r="D36" s="67">
        <v>27</v>
      </c>
      <c r="E36" s="44">
        <v>82</v>
      </c>
      <c r="F36" s="18">
        <v>30</v>
      </c>
      <c r="G36" s="18">
        <v>19</v>
      </c>
      <c r="H36" s="18">
        <v>67</v>
      </c>
      <c r="I36" s="18">
        <v>112</v>
      </c>
      <c r="J36" s="18">
        <v>105</v>
      </c>
      <c r="K36" s="35">
        <f>SUM(B36:J36)</f>
        <v>481</v>
      </c>
    </row>
    <row r="37" spans="1:12" ht="16.5" x14ac:dyDescent="0.35">
      <c r="A37" s="38" t="s">
        <v>51</v>
      </c>
      <c r="B37" s="62">
        <v>8</v>
      </c>
      <c r="C37" s="62">
        <v>19</v>
      </c>
      <c r="D37" s="62">
        <v>39</v>
      </c>
      <c r="E37" s="64">
        <v>110</v>
      </c>
      <c r="F37" s="62">
        <v>29</v>
      </c>
      <c r="G37" s="62">
        <v>10</v>
      </c>
      <c r="H37" s="62">
        <v>95</v>
      </c>
      <c r="I37" s="62">
        <v>82</v>
      </c>
      <c r="J37" s="62">
        <v>91</v>
      </c>
      <c r="K37" s="35">
        <f>SUM(B37:J37)</f>
        <v>483</v>
      </c>
      <c r="L37" t="s">
        <v>71</v>
      </c>
    </row>
    <row r="38" spans="1:12" ht="16.5" x14ac:dyDescent="0.35">
      <c r="A38" s="38" t="s">
        <v>35</v>
      </c>
      <c r="B38" s="69">
        <v>14</v>
      </c>
      <c r="C38" s="20">
        <v>22</v>
      </c>
      <c r="D38" s="20">
        <v>25</v>
      </c>
      <c r="E38" s="45">
        <v>85</v>
      </c>
      <c r="F38" s="69">
        <v>33</v>
      </c>
      <c r="G38" s="20">
        <v>19</v>
      </c>
      <c r="H38" s="20">
        <v>70</v>
      </c>
      <c r="I38" s="20">
        <v>112</v>
      </c>
      <c r="J38" s="20">
        <v>105</v>
      </c>
      <c r="K38" s="35">
        <f>SUM(B38:J38)</f>
        <v>485</v>
      </c>
      <c r="L38" t="s">
        <v>71</v>
      </c>
    </row>
    <row r="39" spans="1:12" ht="16.5" x14ac:dyDescent="0.35">
      <c r="A39" s="78" t="s">
        <v>51</v>
      </c>
      <c r="B39" s="62">
        <v>9</v>
      </c>
      <c r="C39" s="62">
        <v>19</v>
      </c>
      <c r="D39" s="62">
        <v>39</v>
      </c>
      <c r="E39" s="64">
        <v>106</v>
      </c>
      <c r="F39" s="62">
        <v>25</v>
      </c>
      <c r="G39" s="62">
        <v>10</v>
      </c>
      <c r="H39" s="62">
        <v>89</v>
      </c>
      <c r="I39" s="62">
        <v>79</v>
      </c>
      <c r="J39" s="62">
        <v>92</v>
      </c>
      <c r="K39" s="35">
        <f>SUM(B39:J39)</f>
        <v>468</v>
      </c>
    </row>
    <row r="40" spans="1:12" ht="18.75" thickBot="1" x14ac:dyDescent="0.4">
      <c r="A40" s="31" t="s">
        <v>36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</row>
    <row r="41" spans="1:12" ht="16.5" x14ac:dyDescent="0.35">
      <c r="A41" s="80" t="s">
        <v>38</v>
      </c>
      <c r="B41" s="67">
        <v>15</v>
      </c>
      <c r="C41" s="18">
        <v>27</v>
      </c>
      <c r="D41" s="67">
        <v>31</v>
      </c>
      <c r="E41" s="18">
        <v>98</v>
      </c>
      <c r="F41" s="18">
        <v>32</v>
      </c>
      <c r="G41" s="18">
        <v>19</v>
      </c>
      <c r="H41" s="18">
        <v>79</v>
      </c>
      <c r="I41" s="18">
        <v>116</v>
      </c>
      <c r="J41" s="18">
        <v>105</v>
      </c>
      <c r="K41" s="35">
        <f t="shared" ref="K41:K56" si="0">SUM(B41:J41)</f>
        <v>522</v>
      </c>
      <c r="L41" t="s">
        <v>71</v>
      </c>
    </row>
    <row r="42" spans="1:12" ht="16.5" x14ac:dyDescent="0.35">
      <c r="A42" s="80" t="s">
        <v>49</v>
      </c>
      <c r="B42" s="67">
        <v>7</v>
      </c>
      <c r="C42" s="67">
        <v>14</v>
      </c>
      <c r="D42" s="18">
        <v>35</v>
      </c>
      <c r="E42" s="18">
        <v>86</v>
      </c>
      <c r="F42" s="67">
        <v>25</v>
      </c>
      <c r="G42" s="18">
        <v>9</v>
      </c>
      <c r="H42" s="18">
        <v>78</v>
      </c>
      <c r="I42" s="18">
        <v>70</v>
      </c>
      <c r="J42" s="18">
        <v>85</v>
      </c>
      <c r="K42" s="35">
        <f t="shared" si="0"/>
        <v>409</v>
      </c>
    </row>
    <row r="43" spans="1:12" ht="16.5" x14ac:dyDescent="0.35">
      <c r="A43" s="80" t="s">
        <v>37</v>
      </c>
      <c r="B43" s="67">
        <v>14</v>
      </c>
      <c r="C43" s="67">
        <v>22</v>
      </c>
      <c r="D43" s="18">
        <v>33</v>
      </c>
      <c r="E43" s="18">
        <v>97</v>
      </c>
      <c r="F43" s="67">
        <v>31</v>
      </c>
      <c r="G43" s="18">
        <v>20</v>
      </c>
      <c r="H43" s="18">
        <v>80</v>
      </c>
      <c r="I43" s="18">
        <v>114</v>
      </c>
      <c r="J43" s="18">
        <v>105</v>
      </c>
      <c r="K43" s="35">
        <f t="shared" si="0"/>
        <v>516</v>
      </c>
      <c r="L43" t="s">
        <v>71</v>
      </c>
    </row>
    <row r="44" spans="1:12" ht="16.5" x14ac:dyDescent="0.35">
      <c r="A44" s="80" t="s">
        <v>49</v>
      </c>
      <c r="B44" s="67">
        <v>7</v>
      </c>
      <c r="C44" s="67">
        <v>19</v>
      </c>
      <c r="D44" s="18">
        <v>32</v>
      </c>
      <c r="E44" s="18">
        <v>85</v>
      </c>
      <c r="F44" s="67">
        <v>26</v>
      </c>
      <c r="G44" s="18">
        <v>8</v>
      </c>
      <c r="H44" s="18">
        <v>75</v>
      </c>
      <c r="I44" s="18">
        <v>69</v>
      </c>
      <c r="J44" s="18">
        <v>83</v>
      </c>
      <c r="K44" s="35">
        <f t="shared" si="0"/>
        <v>404</v>
      </c>
    </row>
    <row r="45" spans="1:12" ht="16.5" x14ac:dyDescent="0.35">
      <c r="A45" s="80" t="s">
        <v>39</v>
      </c>
      <c r="B45" s="67">
        <v>17</v>
      </c>
      <c r="C45" s="67">
        <v>25</v>
      </c>
      <c r="D45" s="18">
        <v>30</v>
      </c>
      <c r="E45" s="18">
        <v>98</v>
      </c>
      <c r="F45" s="67">
        <v>30</v>
      </c>
      <c r="G45" s="18">
        <v>21</v>
      </c>
      <c r="H45" s="18">
        <v>82</v>
      </c>
      <c r="I45" s="18">
        <v>112</v>
      </c>
      <c r="J45" s="18">
        <v>111</v>
      </c>
      <c r="K45" s="35">
        <f t="shared" si="0"/>
        <v>526</v>
      </c>
      <c r="L45" t="s">
        <v>71</v>
      </c>
    </row>
    <row r="46" spans="1:12" ht="16.5" x14ac:dyDescent="0.35">
      <c r="A46" s="80" t="s">
        <v>49</v>
      </c>
      <c r="B46" s="67">
        <v>4</v>
      </c>
      <c r="C46" s="67">
        <v>14</v>
      </c>
      <c r="D46" s="18">
        <v>34</v>
      </c>
      <c r="E46" s="18">
        <v>84</v>
      </c>
      <c r="F46" s="67">
        <v>25</v>
      </c>
      <c r="G46" s="18">
        <v>7</v>
      </c>
      <c r="H46" s="18">
        <v>75</v>
      </c>
      <c r="I46" s="18">
        <v>67</v>
      </c>
      <c r="J46" s="18">
        <v>77</v>
      </c>
      <c r="K46" s="35">
        <f t="shared" si="0"/>
        <v>387</v>
      </c>
    </row>
    <row r="47" spans="1:12" ht="16.5" x14ac:dyDescent="0.35">
      <c r="A47" s="80" t="s">
        <v>40</v>
      </c>
      <c r="B47" s="67">
        <v>17</v>
      </c>
      <c r="C47" s="67">
        <v>32</v>
      </c>
      <c r="D47" s="18">
        <v>39</v>
      </c>
      <c r="E47" s="18">
        <v>112</v>
      </c>
      <c r="F47" s="67">
        <v>33</v>
      </c>
      <c r="G47" s="18">
        <v>21</v>
      </c>
      <c r="H47" s="18">
        <v>84</v>
      </c>
      <c r="I47" s="18">
        <v>127</v>
      </c>
      <c r="J47" s="18">
        <v>112</v>
      </c>
      <c r="K47" s="35">
        <f t="shared" si="0"/>
        <v>577</v>
      </c>
      <c r="L47" t="s">
        <v>71</v>
      </c>
    </row>
    <row r="48" spans="1:12" ht="16.5" x14ac:dyDescent="0.35">
      <c r="A48" s="80" t="s">
        <v>49</v>
      </c>
      <c r="B48" s="67">
        <v>5</v>
      </c>
      <c r="C48" s="67">
        <v>8</v>
      </c>
      <c r="D48" s="67">
        <v>26</v>
      </c>
      <c r="E48" s="67">
        <v>70</v>
      </c>
      <c r="F48" s="67">
        <v>25</v>
      </c>
      <c r="G48" s="67">
        <v>7</v>
      </c>
      <c r="H48" s="67">
        <v>72</v>
      </c>
      <c r="I48" s="67">
        <v>55</v>
      </c>
      <c r="J48" s="37">
        <v>77</v>
      </c>
      <c r="K48" s="35">
        <f t="shared" si="0"/>
        <v>345</v>
      </c>
    </row>
    <row r="49" spans="1:12" ht="16.5" x14ac:dyDescent="0.35">
      <c r="A49" s="81" t="s">
        <v>41</v>
      </c>
      <c r="B49" s="67">
        <v>17</v>
      </c>
      <c r="C49" s="67">
        <v>28</v>
      </c>
      <c r="D49" s="37">
        <v>44</v>
      </c>
      <c r="E49" s="37">
        <v>110</v>
      </c>
      <c r="F49" s="37">
        <v>33</v>
      </c>
      <c r="G49" s="37">
        <v>21</v>
      </c>
      <c r="H49" s="37">
        <v>85</v>
      </c>
      <c r="I49" s="37">
        <v>125</v>
      </c>
      <c r="J49" s="37">
        <v>112</v>
      </c>
      <c r="K49" s="35">
        <f t="shared" si="0"/>
        <v>575</v>
      </c>
      <c r="L49" t="s">
        <v>71</v>
      </c>
    </row>
    <row r="50" spans="1:12" ht="16.5" x14ac:dyDescent="0.35">
      <c r="A50" s="42" t="s">
        <v>49</v>
      </c>
      <c r="B50" s="47">
        <v>5</v>
      </c>
      <c r="C50" s="18">
        <v>13</v>
      </c>
      <c r="D50" s="18">
        <v>21</v>
      </c>
      <c r="E50" s="18">
        <v>72</v>
      </c>
      <c r="F50" s="19">
        <v>25</v>
      </c>
      <c r="G50" s="19">
        <v>7</v>
      </c>
      <c r="H50" s="68">
        <v>72</v>
      </c>
      <c r="I50" s="19">
        <v>56</v>
      </c>
      <c r="J50" s="19">
        <v>77</v>
      </c>
      <c r="K50" s="35">
        <f t="shared" si="0"/>
        <v>348</v>
      </c>
    </row>
    <row r="51" spans="1:12" ht="16.5" x14ac:dyDescent="0.35">
      <c r="A51" s="38" t="s">
        <v>42</v>
      </c>
      <c r="B51" s="47">
        <v>17</v>
      </c>
      <c r="C51" s="18">
        <v>26</v>
      </c>
      <c r="D51" s="18">
        <v>38</v>
      </c>
      <c r="E51" s="18">
        <v>109</v>
      </c>
      <c r="F51" s="18">
        <v>32</v>
      </c>
      <c r="G51" s="18">
        <v>21</v>
      </c>
      <c r="H51" s="67">
        <v>86</v>
      </c>
      <c r="I51" s="18">
        <v>125</v>
      </c>
      <c r="J51" s="18">
        <v>116</v>
      </c>
      <c r="K51" s="35">
        <f t="shared" si="0"/>
        <v>570</v>
      </c>
      <c r="L51" t="s">
        <v>71</v>
      </c>
    </row>
    <row r="52" spans="1:12" ht="16.5" x14ac:dyDescent="0.35">
      <c r="A52" s="38" t="s">
        <v>49</v>
      </c>
      <c r="B52" s="47">
        <v>5</v>
      </c>
      <c r="C52" s="18">
        <v>13</v>
      </c>
      <c r="D52" s="18">
        <v>26</v>
      </c>
      <c r="E52" s="18">
        <v>71</v>
      </c>
      <c r="F52" s="18">
        <v>25</v>
      </c>
      <c r="G52" s="18">
        <v>7</v>
      </c>
      <c r="H52" s="67">
        <v>69</v>
      </c>
      <c r="I52" s="18">
        <v>56</v>
      </c>
      <c r="J52" s="18">
        <v>73</v>
      </c>
      <c r="K52" s="35">
        <f t="shared" si="0"/>
        <v>345</v>
      </c>
    </row>
    <row r="53" spans="1:12" ht="16.5" x14ac:dyDescent="0.35">
      <c r="A53" s="38" t="s">
        <v>43</v>
      </c>
      <c r="B53" s="47">
        <v>14</v>
      </c>
      <c r="C53" s="18">
        <v>25</v>
      </c>
      <c r="D53" s="18">
        <v>29</v>
      </c>
      <c r="E53" s="18">
        <v>89</v>
      </c>
      <c r="F53" s="18">
        <v>29</v>
      </c>
      <c r="G53" s="18">
        <v>19</v>
      </c>
      <c r="H53" s="67">
        <v>78</v>
      </c>
      <c r="I53" s="18">
        <v>115</v>
      </c>
      <c r="J53" s="18">
        <v>105</v>
      </c>
      <c r="K53" s="35">
        <f t="shared" si="0"/>
        <v>503</v>
      </c>
      <c r="L53" t="s">
        <v>71</v>
      </c>
    </row>
    <row r="54" spans="1:12" ht="16.5" x14ac:dyDescent="0.35">
      <c r="A54" s="38" t="s">
        <v>49</v>
      </c>
      <c r="B54" s="18">
        <v>7</v>
      </c>
      <c r="C54" s="18">
        <v>14</v>
      </c>
      <c r="D54" s="18">
        <v>36</v>
      </c>
      <c r="E54" s="18">
        <v>90</v>
      </c>
      <c r="F54" s="18">
        <v>26</v>
      </c>
      <c r="G54" s="18">
        <v>9</v>
      </c>
      <c r="H54" s="18">
        <v>76</v>
      </c>
      <c r="I54" s="18">
        <v>64</v>
      </c>
      <c r="J54" s="18">
        <v>82</v>
      </c>
      <c r="K54" s="35">
        <f t="shared" si="0"/>
        <v>404</v>
      </c>
    </row>
    <row r="55" spans="1:12" ht="16.5" x14ac:dyDescent="0.35">
      <c r="A55" s="38" t="s">
        <v>44</v>
      </c>
      <c r="B55" s="18">
        <v>14</v>
      </c>
      <c r="C55" s="18">
        <v>23</v>
      </c>
      <c r="D55" s="18">
        <v>26</v>
      </c>
      <c r="E55" s="18">
        <v>97</v>
      </c>
      <c r="F55" s="18">
        <v>31</v>
      </c>
      <c r="G55" s="18">
        <v>21</v>
      </c>
      <c r="H55" s="18">
        <v>80</v>
      </c>
      <c r="I55" s="18">
        <v>115</v>
      </c>
      <c r="J55" s="18">
        <v>110</v>
      </c>
      <c r="K55" s="35">
        <f t="shared" si="0"/>
        <v>517</v>
      </c>
      <c r="L55" t="s">
        <v>71</v>
      </c>
    </row>
    <row r="56" spans="1:12" ht="16.5" x14ac:dyDescent="0.35">
      <c r="A56" s="38" t="s">
        <v>52</v>
      </c>
      <c r="B56" s="18">
        <v>7</v>
      </c>
      <c r="C56" s="18">
        <v>17</v>
      </c>
      <c r="D56" s="18">
        <v>38</v>
      </c>
      <c r="E56" s="18">
        <v>85</v>
      </c>
      <c r="F56" s="18">
        <v>23</v>
      </c>
      <c r="G56" s="18">
        <v>7</v>
      </c>
      <c r="H56" s="18">
        <v>74</v>
      </c>
      <c r="I56" s="18">
        <v>64</v>
      </c>
      <c r="J56" s="18">
        <v>76</v>
      </c>
      <c r="K56" s="17">
        <f t="shared" si="0"/>
        <v>391</v>
      </c>
    </row>
    <row r="57" spans="1:12" ht="16.5" x14ac:dyDescent="0.35">
      <c r="A57" s="38" t="s">
        <v>45</v>
      </c>
      <c r="B57" s="18">
        <v>16</v>
      </c>
      <c r="C57" s="18">
        <v>26</v>
      </c>
      <c r="D57" s="18">
        <v>43</v>
      </c>
      <c r="E57" s="18">
        <v>141</v>
      </c>
      <c r="F57" s="18">
        <v>43</v>
      </c>
      <c r="G57" s="18">
        <v>27</v>
      </c>
      <c r="H57" s="18">
        <v>107</v>
      </c>
      <c r="I57" s="18">
        <v>144</v>
      </c>
      <c r="J57" s="18">
        <v>143</v>
      </c>
      <c r="K57" s="17">
        <f>SUM(B57:J57)</f>
        <v>690</v>
      </c>
      <c r="L57" t="s">
        <v>71</v>
      </c>
    </row>
    <row r="58" spans="1:12" ht="16.5" x14ac:dyDescent="0.35">
      <c r="A58" s="38" t="s">
        <v>52</v>
      </c>
      <c r="B58" s="18">
        <v>6</v>
      </c>
      <c r="C58" s="18">
        <v>14</v>
      </c>
      <c r="D58" s="18">
        <v>20</v>
      </c>
      <c r="E58" s="18">
        <v>47</v>
      </c>
      <c r="F58" s="18">
        <v>15</v>
      </c>
      <c r="G58" s="18">
        <v>4</v>
      </c>
      <c r="H58" s="18">
        <v>54</v>
      </c>
      <c r="I58" s="18">
        <v>40</v>
      </c>
      <c r="J58" s="18">
        <v>58</v>
      </c>
      <c r="K58" s="17">
        <f>SUM(B58:J58)</f>
        <v>258</v>
      </c>
    </row>
    <row r="59" spans="1:12" ht="40.5" x14ac:dyDescent="0.2">
      <c r="A59" s="82" t="s">
        <v>50</v>
      </c>
      <c r="B59" s="83" t="s">
        <v>65</v>
      </c>
      <c r="C59" s="84" t="s">
        <v>66</v>
      </c>
      <c r="D59" s="84" t="s">
        <v>67</v>
      </c>
      <c r="E59" s="84" t="s">
        <v>58</v>
      </c>
      <c r="F59" s="84" t="s">
        <v>59</v>
      </c>
      <c r="G59" s="84" t="s">
        <v>60</v>
      </c>
      <c r="H59" s="84" t="s">
        <v>68</v>
      </c>
      <c r="I59" s="84" t="s">
        <v>69</v>
      </c>
      <c r="J59" s="84" t="s">
        <v>70</v>
      </c>
      <c r="K59" s="85" t="s">
        <v>2</v>
      </c>
    </row>
    <row r="60" spans="1:12" ht="18.75" thickBot="1" x14ac:dyDescent="0.4">
      <c r="A60" s="31" t="s">
        <v>47</v>
      </c>
      <c r="B60" s="66"/>
      <c r="C60" s="16"/>
      <c r="D60" s="16"/>
      <c r="E60" s="16"/>
      <c r="F60" s="16"/>
      <c r="G60" s="16"/>
      <c r="H60" s="16"/>
      <c r="I60" s="16"/>
      <c r="J60" s="16"/>
      <c r="K60" s="74" t="s">
        <v>1</v>
      </c>
    </row>
    <row r="61" spans="1:12" ht="16.5" x14ac:dyDescent="0.35">
      <c r="A61" s="38" t="s">
        <v>48</v>
      </c>
      <c r="B61" s="18">
        <v>18</v>
      </c>
      <c r="C61" s="18">
        <v>28</v>
      </c>
      <c r="D61" s="18">
        <v>51</v>
      </c>
      <c r="E61" s="18">
        <v>147</v>
      </c>
      <c r="F61" s="18">
        <v>48</v>
      </c>
      <c r="G61" s="18">
        <v>19</v>
      </c>
      <c r="H61" s="18">
        <v>125</v>
      </c>
      <c r="I61" s="18">
        <v>141</v>
      </c>
      <c r="J61" s="18">
        <v>156</v>
      </c>
      <c r="K61" s="17">
        <f>SUM(B61:J61)</f>
        <v>733</v>
      </c>
      <c r="L61" t="s">
        <v>71</v>
      </c>
    </row>
    <row r="62" spans="1:12" ht="16.5" x14ac:dyDescent="0.35">
      <c r="A62" s="38" t="s">
        <v>52</v>
      </c>
      <c r="B62" s="18">
        <v>7</v>
      </c>
      <c r="C62" s="18">
        <v>12</v>
      </c>
      <c r="D62" s="18">
        <v>18</v>
      </c>
      <c r="E62" s="18">
        <v>51</v>
      </c>
      <c r="F62" s="18">
        <v>16</v>
      </c>
      <c r="G62" s="18">
        <v>12</v>
      </c>
      <c r="H62" s="18">
        <v>44</v>
      </c>
      <c r="I62" s="18">
        <v>56</v>
      </c>
      <c r="J62" s="18">
        <v>43</v>
      </c>
      <c r="K62" s="17">
        <f>SUM(B62:J62)</f>
        <v>259</v>
      </c>
    </row>
    <row r="63" spans="1:12" ht="13.5" x14ac:dyDescent="0.25">
      <c r="A63" s="96" t="s">
        <v>53</v>
      </c>
      <c r="B63" s="97"/>
      <c r="C63" s="97"/>
      <c r="D63" s="97"/>
      <c r="E63" s="97"/>
      <c r="F63" s="97"/>
      <c r="G63" s="97"/>
      <c r="H63" s="97"/>
      <c r="I63" s="97"/>
      <c r="J63" s="97"/>
      <c r="K63" s="97"/>
    </row>
    <row r="64" spans="1:12" ht="16.5" x14ac:dyDescent="0.35">
      <c r="A64" s="98" t="s">
        <v>54</v>
      </c>
      <c r="B64" s="99"/>
      <c r="C64" s="99"/>
      <c r="D64" s="99"/>
      <c r="E64" s="99"/>
      <c r="F64" s="99"/>
      <c r="G64" s="99"/>
      <c r="H64" s="99"/>
      <c r="I64" s="99"/>
      <c r="J64" s="99"/>
      <c r="K64" s="99"/>
    </row>
    <row r="65" spans="1:11" ht="18" x14ac:dyDescent="0.35">
      <c r="A65" s="55"/>
      <c r="B65" s="61"/>
      <c r="C65" s="61"/>
      <c r="D65" s="61"/>
      <c r="E65" s="61"/>
      <c r="F65" s="61"/>
      <c r="G65" s="51"/>
      <c r="H65" s="57"/>
      <c r="I65" s="49"/>
      <c r="J65" s="10"/>
      <c r="K65" s="11"/>
    </row>
    <row r="66" spans="1:11" ht="18" x14ac:dyDescent="0.35">
      <c r="A66" s="55"/>
      <c r="B66" s="51"/>
      <c r="C66" s="51"/>
      <c r="D66" s="51"/>
      <c r="E66" s="51"/>
      <c r="F66" s="51"/>
      <c r="G66" s="51"/>
      <c r="H66" s="51"/>
      <c r="I66" s="49"/>
      <c r="J66" s="10"/>
      <c r="K66" s="11"/>
    </row>
    <row r="67" spans="1:11" ht="18" x14ac:dyDescent="0.35">
      <c r="A67" s="54"/>
      <c r="B67" s="51"/>
      <c r="C67" s="51"/>
      <c r="D67" s="51"/>
      <c r="E67" s="51"/>
      <c r="F67" s="51"/>
      <c r="G67" s="51"/>
      <c r="H67" s="53"/>
      <c r="I67" s="49"/>
      <c r="J67" s="10"/>
      <c r="K67" s="11"/>
    </row>
    <row r="68" spans="1:11" ht="18" x14ac:dyDescent="0.35">
      <c r="A68" s="55"/>
      <c r="B68" s="51"/>
      <c r="C68" s="51"/>
      <c r="D68" s="51"/>
      <c r="E68" s="51"/>
      <c r="F68" s="51"/>
      <c r="G68" s="51"/>
      <c r="H68" s="53"/>
      <c r="I68" s="49"/>
      <c r="J68" s="10"/>
      <c r="K68" s="11"/>
    </row>
    <row r="69" spans="1:11" ht="18" x14ac:dyDescent="0.35">
      <c r="A69" s="50"/>
      <c r="B69" s="51"/>
      <c r="C69" s="51"/>
      <c r="D69" s="51"/>
      <c r="E69" s="51"/>
      <c r="F69" s="51"/>
      <c r="G69" s="51"/>
      <c r="H69" s="51"/>
      <c r="I69" s="49"/>
      <c r="J69" s="10"/>
      <c r="K69" s="11"/>
    </row>
  </sheetData>
  <mergeCells count="2">
    <mergeCell ref="A63:K63"/>
    <mergeCell ref="A64:K64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Advanced</vt:lpstr>
      <vt:lpstr>results</vt:lpstr>
      <vt:lpstr>Nov.2014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Woodson County</dc:creator>
  <cp:lastModifiedBy>CLERK1</cp:lastModifiedBy>
  <cp:lastPrinted>2014-11-13T20:26:57Z</cp:lastPrinted>
  <dcterms:created xsi:type="dcterms:W3CDTF">2003-02-07T17:54:55Z</dcterms:created>
  <dcterms:modified xsi:type="dcterms:W3CDTF">2015-08-31T15:35:47Z</dcterms:modified>
</cp:coreProperties>
</file>