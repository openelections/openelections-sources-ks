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/>
  <workbookPr defaultThemeVersion="124226"/>
  <mc:AlternateContent xmlns:mc="http://schemas.openxmlformats.org/markup-compatibility/2006">
    <mc:Choice Requires="x15">
      <x15ac:absPath xmlns:x15ac="http://schemas.microsoft.com/office/spreadsheetml/2010/11/ac" url="X:\ELECTION\2016 Election\"/>
    </mc:Choice>
  </mc:AlternateContent>
  <bookViews>
    <workbookView xWindow="360" yWindow="75" windowWidth="11295" windowHeight="6435"/>
  </bookViews>
  <sheets>
    <sheet name="results" sheetId="12" r:id="rId1"/>
    <sheet name="Sheet1" sheetId="13" r:id="rId2"/>
  </sheets>
  <definedNames>
    <definedName name="address" hidden="1">{"'results'!$B$3:$M$52"}</definedName>
    <definedName name="HTML_CodePage" hidden="1">1252</definedName>
    <definedName name="HTML_Control" localSheetId="0" hidden="1">{"'results'!$B$3:$M$52"}</definedName>
    <definedName name="HTML_Control" hidden="1">{"'results'!$B$3:$M$52"}</definedName>
    <definedName name="HTML_Description" hidden="1">""</definedName>
    <definedName name="HTML_Email" hidden="1">""</definedName>
    <definedName name="HTML_Header" hidden="1">"Election Results"</definedName>
    <definedName name="HTML_LastUpdate" hidden="1">"4/1/03"</definedName>
    <definedName name="HTML_LineAfter" hidden="1">FALSE</definedName>
    <definedName name="HTML_LineBefore" hidden="1">FALSE</definedName>
    <definedName name="HTML_Name" hidden="1">"Shelley A. Stuber"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"C:\Clerk\SHELLEY\files\Election\Election.htm"</definedName>
    <definedName name="HTML_PathTemplate" hidden="1">"C:\Clerk\SHELLEY\files\Election\Election.htm"</definedName>
    <definedName name="HTML_Title" hidden="1">"Election"</definedName>
    <definedName name="_xlnm.Print_Area" localSheetId="0">results!$A$1:$M$53</definedName>
    <definedName name="TABLE" localSheetId="0">results!$A$44:$J$44</definedName>
  </definedNames>
  <calcPr calcId="171027"/>
</workbook>
</file>

<file path=xl/calcChain.xml><?xml version="1.0" encoding="utf-8"?>
<calcChain xmlns="http://schemas.openxmlformats.org/spreadsheetml/2006/main">
  <c r="L6" i="12" l="1"/>
  <c r="L49" i="12" l="1"/>
  <c r="L42" i="12"/>
  <c r="L7" i="12"/>
  <c r="L8" i="12"/>
  <c r="L9" i="12"/>
  <c r="L11" i="12"/>
  <c r="L12" i="12"/>
  <c r="L14" i="12"/>
  <c r="L15" i="12"/>
  <c r="L16" i="12"/>
  <c r="L17" i="12"/>
  <c r="L19" i="12"/>
  <c r="L20" i="12"/>
  <c r="L22" i="12"/>
  <c r="L23" i="12"/>
  <c r="L25" i="12"/>
  <c r="L26" i="12"/>
  <c r="L28" i="12"/>
  <c r="L30" i="12"/>
  <c r="L31" i="12"/>
  <c r="L33" i="12"/>
  <c r="L36" i="12"/>
  <c r="L38" i="12"/>
  <c r="L40" i="12"/>
  <c r="L41" i="12"/>
  <c r="L43" i="12"/>
  <c r="L44" i="12"/>
  <c r="L46" i="12"/>
  <c r="L47" i="12"/>
  <c r="L48" i="12"/>
  <c r="A49" i="13" l="1"/>
  <c r="A8" i="13"/>
  <c r="I50" i="12"/>
  <c r="B46" i="13" l="1"/>
  <c r="B45" i="13"/>
  <c r="B44" i="13"/>
  <c r="B43" i="13"/>
  <c r="B41" i="13"/>
  <c r="B40" i="13"/>
  <c r="B39" i="13"/>
  <c r="B38" i="13"/>
  <c r="B37" i="13"/>
  <c r="B35" i="13"/>
  <c r="B33" i="13"/>
  <c r="B31" i="13"/>
  <c r="B29" i="13"/>
  <c r="B28" i="13"/>
  <c r="B26" i="13"/>
  <c r="B24" i="13"/>
  <c r="B23" i="13"/>
  <c r="B21" i="13"/>
  <c r="B20" i="13"/>
  <c r="B18" i="13"/>
  <c r="B17" i="13"/>
  <c r="B15" i="13"/>
  <c r="B14" i="13"/>
  <c r="B13" i="13"/>
  <c r="B12" i="13"/>
  <c r="B10" i="13"/>
  <c r="B9" i="13"/>
  <c r="B7" i="13"/>
  <c r="B6" i="13"/>
  <c r="B5" i="13"/>
  <c r="B4" i="13"/>
  <c r="A48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7" i="13"/>
  <c r="A6" i="13"/>
  <c r="A5" i="13"/>
  <c r="A4" i="13"/>
  <c r="A3" i="13"/>
  <c r="A2" i="13"/>
</calcChain>
</file>

<file path=xl/sharedStrings.xml><?xml version="1.0" encoding="utf-8"?>
<sst xmlns="http://schemas.openxmlformats.org/spreadsheetml/2006/main" count="88" uniqueCount="65">
  <si>
    <t>Candidates</t>
  </si>
  <si>
    <t>Totals</t>
  </si>
  <si>
    <t>Patrick Wiesner-D</t>
  </si>
  <si>
    <t>D.J. Smith-R</t>
  </si>
  <si>
    <t>Lynn Jenkins-R</t>
  </si>
  <si>
    <t>Larry P. Hibbard-R</t>
  </si>
  <si>
    <t>Primary Election Woodson County      Denice A. Julian, Clerk</t>
  </si>
  <si>
    <t>County Commissioner District #2</t>
  </si>
  <si>
    <t>County Commissioner District #3</t>
  </si>
  <si>
    <t>County Treasurer</t>
  </si>
  <si>
    <t>Register of Deeds</t>
  </si>
  <si>
    <t>County Attorney</t>
  </si>
  <si>
    <t>Sheriff</t>
  </si>
  <si>
    <t>*  Unofficial winners until declared after the official canvass on 8/8/2016</t>
  </si>
  <si>
    <t>** Tie for position until winner declared after official canvass on 8/8/2016</t>
  </si>
  <si>
    <t>Precinct Committeeman</t>
  </si>
  <si>
    <t>United States Senator</t>
  </si>
  <si>
    <t>Scott A. Wendland-R (Center)</t>
  </si>
  <si>
    <t>Calvin Shepard-R (Liberty)</t>
  </si>
  <si>
    <t>Henry Eggers-R (Perry)</t>
  </si>
  <si>
    <t>Sheila Lampe-R (Neosho Falls/Piqua)</t>
  </si>
  <si>
    <t>Nancy L. Fife-Eagle-R (Toronto)</t>
  </si>
  <si>
    <t>Sandra Eggers-R (Perry)</t>
  </si>
  <si>
    <t>Clerk Home</t>
  </si>
  <si>
    <t>CLERK HOME</t>
  </si>
  <si>
    <t>TOTALS SUMMARY</t>
  </si>
  <si>
    <t>Monique Singh-D</t>
  </si>
  <si>
    <t>Jerry Moran-R</t>
  </si>
  <si>
    <t>Britani Potter-D</t>
  </si>
  <si>
    <t>Mark Pringle-D</t>
  </si>
  <si>
    <t>Carl M. Shay, Jr-D</t>
  </si>
  <si>
    <t>Jason Shepard-R</t>
  </si>
  <si>
    <t>Galen W. Yoho-R</t>
  </si>
  <si>
    <t>Trent Forsyth-R</t>
  </si>
  <si>
    <t>C.W. (Bud) Moore-R</t>
  </si>
  <si>
    <t>Denice A. Julian-R</t>
  </si>
  <si>
    <t>Karen J.A. Hartwig-R</t>
  </si>
  <si>
    <t>Michelle L. Zimmerman-R</t>
  </si>
  <si>
    <t>Jamie Lee Nitsch-R</t>
  </si>
  <si>
    <t>Zelda Schlotterbeck-R</t>
  </si>
  <si>
    <t>Wayne Allen Faulkner-R</t>
  </si>
  <si>
    <t>Lyle D. Kee-R (Yates Center-1)</t>
  </si>
  <si>
    <t>Donald Lampe-R (Neosho Falls/Piqua)</t>
  </si>
  <si>
    <t>Judith Laws-R (Center)</t>
  </si>
  <si>
    <t>United States House Of Representatives District #2</t>
  </si>
  <si>
    <t>Kansas State Senate District #14</t>
  </si>
  <si>
    <t>Kansas House Of Representatives District #13</t>
  </si>
  <si>
    <r>
      <t xml:space="preserve">Primary Election Woodson County      Denice A. Julian, Clerk            </t>
    </r>
    <r>
      <rPr>
        <b/>
        <sz val="10"/>
        <rFont val="Comic Sans MS"/>
        <family val="4"/>
      </rPr>
      <t>08/02/2016</t>
    </r>
  </si>
  <si>
    <t>Michael T. Countryman-R</t>
  </si>
  <si>
    <t>ADVANCED</t>
  </si>
  <si>
    <t>NF/NF</t>
  </si>
  <si>
    <t>PERRY</t>
  </si>
  <si>
    <t>CENTER</t>
  </si>
  <si>
    <t>NORTH</t>
  </si>
  <si>
    <t>NF/PIQ</t>
  </si>
  <si>
    <t>LIBERTY</t>
  </si>
  <si>
    <t>County Clerk</t>
  </si>
  <si>
    <t>Toronto</t>
  </si>
  <si>
    <t>Precinct Committeewoman</t>
  </si>
  <si>
    <t>YC1</t>
  </si>
  <si>
    <t>YC2</t>
  </si>
  <si>
    <t>*</t>
  </si>
  <si>
    <t>Forrest J. Knox-R</t>
  </si>
  <si>
    <t>Official count as of 8/8/2016 canvass.</t>
  </si>
  <si>
    <t>Givens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</si>
</sst>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\ h:mm\ AM/PM"/>
  </numFmts>
  <fonts count="21" x14ac:knownFonts="1">
    <font>
      <sz val="10"/>
      <name val="Arial"/>
    </font>
    <font>
      <b/>
      <sz val="10"/>
      <name val="Comic Sans MS"/>
      <family val="4"/>
    </font>
    <font>
      <sz val="10"/>
      <name val="Comic Sans MS"/>
      <family val="4"/>
    </font>
    <font>
      <b/>
      <sz val="11"/>
      <name val="Comic Sans MS"/>
      <family val="4"/>
    </font>
    <font>
      <sz val="11"/>
      <name val="Arial"/>
      <family val="2"/>
    </font>
    <font>
      <b/>
      <sz val="9"/>
      <name val="Comic Sans MS"/>
      <family val="4"/>
    </font>
    <font>
      <sz val="9"/>
      <name val="Comic Sans MS"/>
      <family val="4"/>
    </font>
    <font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color rgb="FFFF0000"/>
      <name val="Comic Sans MS"/>
      <family val="4"/>
    </font>
    <font>
      <b/>
      <sz val="12"/>
      <name val="Arial"/>
      <family val="2"/>
    </font>
    <font>
      <b/>
      <sz val="11"/>
      <name val="Arial"/>
      <family val="2"/>
    </font>
    <font>
      <u/>
      <sz val="10"/>
      <color rgb="FFFF0000"/>
      <name val="Arial"/>
      <family val="2"/>
    </font>
    <font>
      <sz val="11"/>
      <color rgb="FF002060"/>
      <name val="Arial"/>
      <family val="2"/>
    </font>
    <font>
      <b/>
      <sz val="11"/>
      <color rgb="FF002060"/>
      <name val="Comic Sans MS"/>
      <family val="4"/>
    </font>
    <font>
      <b/>
      <u/>
      <sz val="12"/>
      <name val="Comic Sans MS"/>
      <family val="4"/>
    </font>
    <font>
      <u/>
      <sz val="11"/>
      <name val="Arial"/>
      <family val="2"/>
    </font>
    <font>
      <b/>
      <sz val="8"/>
      <name val="Comic Sans MS"/>
      <family val="4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6" fillId="0" borderId="0" xfId="0" applyFont="1" applyProtection="1"/>
    <xf numFmtId="0" fontId="9" fillId="3" borderId="2" xfId="0" applyFont="1" applyFill="1" applyBorder="1" applyAlignment="1" applyProtection="1">
      <alignment horizontal="center"/>
    </xf>
    <xf numFmtId="0" fontId="2" fillId="0" borderId="2" xfId="0" applyFont="1" applyBorder="1" applyAlignment="1" applyProtection="1">
      <alignment horizontal="center" vertical="center"/>
      <protection locked="0"/>
    </xf>
    <xf numFmtId="0" fontId="9" fillId="5" borderId="2" xfId="0" applyFont="1" applyFill="1" applyBorder="1" applyAlignment="1" applyProtection="1">
      <alignment horizontal="center"/>
    </xf>
    <xf numFmtId="0" fontId="1" fillId="5" borderId="0" xfId="0" applyFont="1" applyFill="1" applyBorder="1" applyAlignment="1" applyProtection="1"/>
    <xf numFmtId="0" fontId="2" fillId="5" borderId="0" xfId="0" applyFont="1" applyFill="1" applyBorder="1" applyAlignment="1" applyProtection="1">
      <alignment horizontal="center"/>
    </xf>
    <xf numFmtId="0" fontId="9" fillId="5" borderId="0" xfId="0" applyFont="1" applyFill="1" applyBorder="1" applyAlignment="1" applyProtection="1">
      <alignment horizontal="center"/>
    </xf>
    <xf numFmtId="0" fontId="7" fillId="5" borderId="0" xfId="0" applyFont="1" applyFill="1" applyBorder="1" applyAlignment="1" applyProtection="1">
      <alignment horizontal="center"/>
    </xf>
    <xf numFmtId="0" fontId="8" fillId="3" borderId="0" xfId="0" applyFont="1" applyFill="1" applyBorder="1" applyAlignment="1" applyProtection="1">
      <alignment horizontal="center"/>
    </xf>
    <xf numFmtId="0" fontId="6" fillId="3" borderId="0" xfId="0" applyFont="1" applyFill="1" applyBorder="1" applyProtection="1"/>
    <xf numFmtId="0" fontId="10" fillId="5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0" fontId="7" fillId="0" borderId="0" xfId="0" applyFont="1" applyAlignment="1" applyProtection="1"/>
    <xf numFmtId="0" fontId="1" fillId="0" borderId="0" xfId="0" applyFont="1" applyProtection="1"/>
    <xf numFmtId="0" fontId="6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2" fillId="0" borderId="0" xfId="0" applyFont="1" applyFill="1" applyProtection="1"/>
    <xf numFmtId="0" fontId="0" fillId="0" borderId="2" xfId="0" applyBorder="1" applyAlignment="1" applyProtection="1">
      <alignment horizontal="center" vertical="center"/>
      <protection locked="0"/>
    </xf>
    <xf numFmtId="0" fontId="6" fillId="0" borderId="0" xfId="0" applyFont="1" applyBorder="1" applyProtection="1"/>
    <xf numFmtId="0" fontId="2" fillId="0" borderId="0" xfId="0" applyFont="1" applyBorder="1" applyProtection="1"/>
    <xf numFmtId="0" fontId="12" fillId="0" borderId="0" xfId="0" applyFont="1" applyAlignment="1" applyProtection="1">
      <alignment horizontal="center"/>
    </xf>
    <xf numFmtId="0" fontId="10" fillId="0" borderId="8" xfId="0" applyFont="1" applyBorder="1" applyAlignment="1" applyProtection="1">
      <alignment horizontal="center"/>
    </xf>
    <xf numFmtId="0" fontId="0" fillId="0" borderId="0" xfId="0" applyAlignment="1">
      <alignment wrapText="1"/>
    </xf>
    <xf numFmtId="0" fontId="1" fillId="0" borderId="9" xfId="0" applyFont="1" applyBorder="1" applyAlignment="1" applyProtection="1">
      <alignment horizontal="center"/>
    </xf>
    <xf numFmtId="0" fontId="1" fillId="0" borderId="10" xfId="0" applyFont="1" applyBorder="1" applyAlignment="1" applyProtection="1">
      <alignment horizontal="center"/>
    </xf>
    <xf numFmtId="0" fontId="3" fillId="0" borderId="10" xfId="0" applyFont="1" applyBorder="1" applyAlignment="1" applyProtection="1">
      <alignment horizontal="center"/>
    </xf>
    <xf numFmtId="0" fontId="2" fillId="0" borderId="10" xfId="0" applyFont="1" applyBorder="1" applyProtection="1"/>
    <xf numFmtId="0" fontId="2" fillId="0" borderId="11" xfId="0" applyFont="1" applyBorder="1" applyProtection="1"/>
    <xf numFmtId="0" fontId="0" fillId="0" borderId="2" xfId="0" applyBorder="1" applyAlignment="1" applyProtection="1">
      <alignment horizontal="center"/>
    </xf>
    <xf numFmtId="0" fontId="1" fillId="5" borderId="5" xfId="0" applyFont="1" applyFill="1" applyBorder="1" applyAlignment="1" applyProtection="1">
      <alignment horizontal="left"/>
    </xf>
    <xf numFmtId="0" fontId="0" fillId="3" borderId="2" xfId="0" applyFill="1" applyBorder="1" applyAlignment="1" applyProtection="1"/>
    <xf numFmtId="0" fontId="0" fillId="3" borderId="2" xfId="0" applyFill="1" applyBorder="1" applyAlignment="1" applyProtection="1">
      <alignment horizontal="center"/>
    </xf>
    <xf numFmtId="0" fontId="11" fillId="3" borderId="2" xfId="0" applyFont="1" applyFill="1" applyBorder="1" applyAlignment="1" applyProtection="1">
      <alignment horizontal="center"/>
    </xf>
    <xf numFmtId="0" fontId="1" fillId="0" borderId="5" xfId="0" applyFont="1" applyBorder="1"/>
    <xf numFmtId="0" fontId="0" fillId="0" borderId="2" xfId="0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0" fillId="3" borderId="2" xfId="0" applyFont="1" applyFill="1" applyBorder="1" applyAlignment="1" applyProtection="1">
      <alignment horizontal="center"/>
    </xf>
    <xf numFmtId="0" fontId="1" fillId="0" borderId="6" xfId="0" applyFont="1" applyBorder="1" applyAlignment="1" applyProtection="1"/>
    <xf numFmtId="0" fontId="2" fillId="0" borderId="3" xfId="0" applyFont="1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4" fillId="0" borderId="3" xfId="0" applyFont="1" applyBorder="1" applyAlignment="1" applyProtection="1">
      <alignment horizontal="center"/>
    </xf>
    <xf numFmtId="0" fontId="2" fillId="0" borderId="3" xfId="0" applyFont="1" applyBorder="1" applyProtection="1"/>
    <xf numFmtId="0" fontId="2" fillId="0" borderId="12" xfId="0" applyFont="1" applyBorder="1" applyProtection="1"/>
    <xf numFmtId="0" fontId="1" fillId="4" borderId="10" xfId="0" applyFont="1" applyFill="1" applyBorder="1" applyAlignment="1" applyProtection="1">
      <alignment horizontal="center" wrapText="1"/>
      <protection locked="0"/>
    </xf>
    <xf numFmtId="0" fontId="13" fillId="6" borderId="0" xfId="0" applyFont="1" applyFill="1"/>
    <xf numFmtId="0" fontId="14" fillId="0" borderId="0" xfId="0" applyFont="1" applyAlignment="1">
      <alignment wrapText="1"/>
    </xf>
    <xf numFmtId="0" fontId="11" fillId="0" borderId="0" xfId="0" applyFont="1" applyFill="1" applyAlignment="1">
      <alignment horizontal="right"/>
    </xf>
    <xf numFmtId="0" fontId="3" fillId="4" borderId="9" xfId="0" applyFont="1" applyFill="1" applyBorder="1" applyAlignment="1" applyProtection="1">
      <alignment horizontal="center" vertical="top" wrapText="1"/>
    </xf>
    <xf numFmtId="0" fontId="0" fillId="6" borderId="0" xfId="0" applyFill="1"/>
    <xf numFmtId="0" fontId="15" fillId="0" borderId="0" xfId="0" applyFont="1"/>
    <xf numFmtId="0" fontId="16" fillId="5" borderId="0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center"/>
    </xf>
    <xf numFmtId="0" fontId="19" fillId="7" borderId="0" xfId="0" applyFont="1" applyFill="1"/>
    <xf numFmtId="0" fontId="1" fillId="5" borderId="14" xfId="0" applyFont="1" applyFill="1" applyBorder="1" applyAlignment="1" applyProtection="1">
      <alignment horizontal="left"/>
    </xf>
    <xf numFmtId="0" fontId="9" fillId="3" borderId="13" xfId="0" applyFont="1" applyFill="1" applyBorder="1" applyAlignment="1" applyProtection="1">
      <alignment horizontal="center"/>
    </xf>
    <xf numFmtId="0" fontId="20" fillId="4" borderId="10" xfId="0" applyFont="1" applyFill="1" applyBorder="1" applyAlignment="1" applyProtection="1">
      <alignment horizontal="center" wrapText="1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 applyProtection="1">
      <alignment horizontal="center" vertical="center"/>
      <protection locked="0"/>
    </xf>
    <xf numFmtId="0" fontId="1" fillId="5" borderId="4" xfId="0" applyFont="1" applyFill="1" applyBorder="1" applyAlignment="1" applyProtection="1">
      <alignment horizontal="left"/>
    </xf>
    <xf numFmtId="0" fontId="0" fillId="0" borderId="1" xfId="0" applyBorder="1" applyAlignment="1" applyProtection="1">
      <alignment horizontal="center"/>
    </xf>
    <xf numFmtId="0" fontId="10" fillId="0" borderId="7" xfId="0" applyFont="1" applyBorder="1" applyAlignment="1" applyProtection="1">
      <alignment horizontal="center"/>
    </xf>
    <xf numFmtId="164" fontId="5" fillId="0" borderId="0" xfId="0" applyNumberFormat="1" applyFont="1" applyBorder="1" applyAlignment="1" applyProtection="1"/>
    <xf numFmtId="0" fontId="18" fillId="2" borderId="4" xfId="0" applyFont="1" applyFill="1" applyBorder="1" applyAlignment="1" applyProtection="1">
      <alignment horizontal="left"/>
    </xf>
    <xf numFmtId="0" fontId="18" fillId="2" borderId="1" xfId="0" applyFont="1" applyFill="1" applyBorder="1" applyAlignment="1" applyProtection="1">
      <alignment horizontal="left"/>
    </xf>
    <xf numFmtId="0" fontId="18" fillId="2" borderId="7" xfId="0" applyFont="1" applyFill="1" applyBorder="1" applyAlignment="1" applyProtection="1">
      <alignment horizontal="left"/>
    </xf>
    <xf numFmtId="0" fontId="3" fillId="2" borderId="4" xfId="0" applyFont="1" applyFill="1" applyBorder="1" applyAlignment="1" applyProtection="1"/>
    <xf numFmtId="0" fontId="3" fillId="2" borderId="1" xfId="0" applyFont="1" applyFill="1" applyBorder="1" applyAlignment="1" applyProtection="1"/>
    <xf numFmtId="0" fontId="3" fillId="2" borderId="7" xfId="0" applyFont="1" applyFill="1" applyBorder="1" applyAlignment="1" applyProtection="1"/>
    <xf numFmtId="0" fontId="3" fillId="2" borderId="4" xfId="0" applyFont="1" applyFill="1" applyBorder="1" applyAlignment="1" applyProtection="1">
      <alignment horizontal="left"/>
    </xf>
    <xf numFmtId="0" fontId="3" fillId="2" borderId="1" xfId="0" applyFont="1" applyFill="1" applyBorder="1" applyAlignment="1" applyProtection="1">
      <alignment horizontal="left"/>
    </xf>
    <xf numFmtId="0" fontId="3" fillId="2" borderId="7" xfId="0" applyFont="1" applyFill="1" applyBorder="1" applyAlignment="1" applyProtection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53"/>
  <sheetViews>
    <sheetView showGridLines="0" tabSelected="1" topLeftCell="A3" zoomScaleNormal="100" workbookViewId="0">
      <selection activeCell="O8" sqref="O8"/>
    </sheetView>
  </sheetViews>
  <sheetFormatPr defaultColWidth="9.140625" defaultRowHeight="18" outlineLevelCol="1" x14ac:dyDescent="0.35"/>
  <cols>
    <col min="1" max="1" width="42.85546875" style="3" customWidth="1"/>
    <col min="2" max="2" width="9.42578125" style="2" customWidth="1" outlineLevel="1"/>
    <col min="3" max="8" width="8.7109375" style="2" customWidth="1" outlineLevel="1"/>
    <col min="9" max="9" width="8.7109375" style="4" customWidth="1" outlineLevel="1"/>
    <col min="10" max="11" width="8.7109375" style="1" customWidth="1" outlineLevel="1"/>
    <col min="12" max="12" width="8.7109375" style="1" customWidth="1"/>
    <col min="13" max="16384" width="9.140625" style="1"/>
  </cols>
  <sheetData>
    <row r="1" spans="1:13" ht="18" hidden="1" customHeight="1" x14ac:dyDescent="0.35">
      <c r="A1" s="28"/>
      <c r="B1" s="29"/>
      <c r="C1" s="29"/>
      <c r="D1" s="29"/>
      <c r="E1" s="29"/>
      <c r="F1" s="29"/>
      <c r="G1" s="29"/>
      <c r="H1" s="29"/>
      <c r="I1" s="30"/>
      <c r="J1" s="31"/>
      <c r="K1" s="31"/>
      <c r="L1" s="32"/>
    </row>
    <row r="2" spans="1:13" ht="16.5" hidden="1" customHeight="1" x14ac:dyDescent="0.35">
      <c r="A2" s="42"/>
      <c r="B2" s="43"/>
      <c r="C2" s="43"/>
      <c r="D2" s="44"/>
      <c r="E2" s="44"/>
      <c r="F2" s="44"/>
      <c r="G2" s="44"/>
      <c r="H2" s="44"/>
      <c r="I2" s="45"/>
      <c r="J2" s="46"/>
      <c r="K2" s="46"/>
      <c r="L2" s="47"/>
    </row>
    <row r="3" spans="1:13" ht="50.25" customHeight="1" thickTop="1" x14ac:dyDescent="0.35">
      <c r="A3" s="52" t="s">
        <v>47</v>
      </c>
      <c r="B3" s="60" t="s">
        <v>49</v>
      </c>
      <c r="C3" s="60" t="s">
        <v>50</v>
      </c>
      <c r="D3" s="60" t="s">
        <v>51</v>
      </c>
      <c r="E3" s="60" t="s">
        <v>52</v>
      </c>
      <c r="F3" s="60" t="s">
        <v>55</v>
      </c>
      <c r="G3" s="60" t="s">
        <v>53</v>
      </c>
      <c r="H3" s="60" t="s">
        <v>54</v>
      </c>
      <c r="I3" s="60" t="s">
        <v>57</v>
      </c>
      <c r="J3" s="60" t="s">
        <v>59</v>
      </c>
      <c r="K3" s="60" t="s">
        <v>60</v>
      </c>
      <c r="L3" s="48" t="s">
        <v>1</v>
      </c>
    </row>
    <row r="4" spans="1:13" s="5" customFormat="1" ht="19.5" x14ac:dyDescent="0.4">
      <c r="A4" s="67" t="s">
        <v>0</v>
      </c>
      <c r="B4" s="68"/>
      <c r="C4" s="68"/>
      <c r="D4" s="68"/>
      <c r="E4" s="68"/>
      <c r="F4" s="68"/>
      <c r="G4" s="68"/>
      <c r="H4" s="68"/>
      <c r="I4" s="68"/>
      <c r="J4" s="68"/>
      <c r="K4" s="68"/>
      <c r="L4" s="69"/>
      <c r="M4" s="23"/>
    </row>
    <row r="5" spans="1:13" s="5" customFormat="1" x14ac:dyDescent="0.35">
      <c r="A5" s="70" t="s">
        <v>16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2"/>
      <c r="M5" s="23"/>
    </row>
    <row r="6" spans="1:13" s="5" customFormat="1" ht="16.5" x14ac:dyDescent="0.35">
      <c r="A6" s="34" t="s">
        <v>26</v>
      </c>
      <c r="B6" s="8">
        <v>0</v>
      </c>
      <c r="C6" s="8">
        <v>3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8</v>
      </c>
      <c r="J6" s="8">
        <v>3</v>
      </c>
      <c r="K6" s="8">
        <v>6</v>
      </c>
      <c r="L6" s="26">
        <f t="shared" ref="L6:L17" si="0">SUM(B6:K6)</f>
        <v>20</v>
      </c>
      <c r="M6" s="23"/>
    </row>
    <row r="7" spans="1:13" s="5" customFormat="1" ht="16.5" x14ac:dyDescent="0.35">
      <c r="A7" s="34" t="s">
        <v>2</v>
      </c>
      <c r="B7" s="8">
        <v>0</v>
      </c>
      <c r="C7" s="8">
        <v>2</v>
      </c>
      <c r="D7" s="8">
        <v>2</v>
      </c>
      <c r="E7" s="8">
        <v>15</v>
      </c>
      <c r="F7" s="8">
        <v>2</v>
      </c>
      <c r="G7" s="8">
        <v>0</v>
      </c>
      <c r="H7" s="8">
        <v>2</v>
      </c>
      <c r="I7" s="8">
        <v>17</v>
      </c>
      <c r="J7" s="8">
        <v>8</v>
      </c>
      <c r="K7" s="8">
        <v>12</v>
      </c>
      <c r="L7" s="26">
        <f t="shared" si="0"/>
        <v>60</v>
      </c>
      <c r="M7" s="23" t="s">
        <v>61</v>
      </c>
    </row>
    <row r="8" spans="1:13" s="5" customFormat="1" ht="16.5" x14ac:dyDescent="0.35">
      <c r="A8" s="34" t="s">
        <v>27</v>
      </c>
      <c r="B8" s="8">
        <v>0</v>
      </c>
      <c r="C8" s="8">
        <v>7</v>
      </c>
      <c r="D8" s="8">
        <v>17</v>
      </c>
      <c r="E8" s="8">
        <v>140</v>
      </c>
      <c r="F8" s="8">
        <v>33</v>
      </c>
      <c r="G8" s="8">
        <v>21</v>
      </c>
      <c r="H8" s="8">
        <v>23</v>
      </c>
      <c r="I8" s="8">
        <v>64</v>
      </c>
      <c r="J8" s="8">
        <v>104</v>
      </c>
      <c r="K8" s="8">
        <v>98</v>
      </c>
      <c r="L8" s="26">
        <f t="shared" si="0"/>
        <v>507</v>
      </c>
      <c r="M8" s="23" t="s">
        <v>61</v>
      </c>
    </row>
    <row r="9" spans="1:13" s="5" customFormat="1" ht="16.5" x14ac:dyDescent="0.35">
      <c r="A9" s="34" t="s">
        <v>3</v>
      </c>
      <c r="B9" s="8">
        <v>0</v>
      </c>
      <c r="C9" s="8">
        <v>3</v>
      </c>
      <c r="D9" s="8">
        <v>7</v>
      </c>
      <c r="E9" s="8">
        <v>34</v>
      </c>
      <c r="F9" s="8">
        <v>8</v>
      </c>
      <c r="G9" s="8">
        <v>2</v>
      </c>
      <c r="H9" s="8">
        <v>11</v>
      </c>
      <c r="I9" s="8">
        <v>31</v>
      </c>
      <c r="J9" s="8">
        <v>44</v>
      </c>
      <c r="K9" s="8">
        <v>47</v>
      </c>
      <c r="L9" s="26">
        <f t="shared" si="0"/>
        <v>187</v>
      </c>
      <c r="M9" s="23"/>
    </row>
    <row r="10" spans="1:13" s="5" customFormat="1" x14ac:dyDescent="0.35">
      <c r="A10" s="73" t="s">
        <v>44</v>
      </c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5"/>
      <c r="M10" s="23"/>
    </row>
    <row r="11" spans="1:13" s="5" customFormat="1" ht="16.5" x14ac:dyDescent="0.35">
      <c r="A11" s="34" t="s">
        <v>28</v>
      </c>
      <c r="B11" s="6">
        <v>0</v>
      </c>
      <c r="C11" s="6">
        <v>5</v>
      </c>
      <c r="D11" s="6">
        <v>2</v>
      </c>
      <c r="E11" s="6">
        <v>12</v>
      </c>
      <c r="F11" s="6">
        <v>2</v>
      </c>
      <c r="G11" s="6">
        <v>0</v>
      </c>
      <c r="H11" s="6">
        <v>2</v>
      </c>
      <c r="I11" s="6">
        <v>20</v>
      </c>
      <c r="J11" s="6">
        <v>11</v>
      </c>
      <c r="K11" s="6">
        <v>15</v>
      </c>
      <c r="L11" s="26">
        <f t="shared" si="0"/>
        <v>69</v>
      </c>
      <c r="M11" s="23" t="s">
        <v>61</v>
      </c>
    </row>
    <row r="12" spans="1:13" s="5" customFormat="1" ht="16.5" x14ac:dyDescent="0.35">
      <c r="A12" s="34" t="s">
        <v>4</v>
      </c>
      <c r="B12" s="6">
        <v>0</v>
      </c>
      <c r="C12" s="6">
        <v>10</v>
      </c>
      <c r="D12" s="6">
        <v>21</v>
      </c>
      <c r="E12" s="6">
        <v>158</v>
      </c>
      <c r="F12" s="6">
        <v>31</v>
      </c>
      <c r="G12" s="6">
        <v>24</v>
      </c>
      <c r="H12" s="6">
        <v>33</v>
      </c>
      <c r="I12" s="6">
        <v>77</v>
      </c>
      <c r="J12" s="6">
        <v>127</v>
      </c>
      <c r="K12" s="6">
        <v>133</v>
      </c>
      <c r="L12" s="26">
        <f t="shared" si="0"/>
        <v>614</v>
      </c>
      <c r="M12" s="23" t="s">
        <v>61</v>
      </c>
    </row>
    <row r="13" spans="1:13" s="5" customFormat="1" x14ac:dyDescent="0.35">
      <c r="A13" s="73" t="s">
        <v>45</v>
      </c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5"/>
      <c r="M13" s="23"/>
    </row>
    <row r="14" spans="1:13" s="5" customFormat="1" ht="16.5" x14ac:dyDescent="0.35">
      <c r="A14" s="34" t="s">
        <v>29</v>
      </c>
      <c r="B14" s="6">
        <v>0</v>
      </c>
      <c r="C14" s="6">
        <v>4</v>
      </c>
      <c r="D14" s="6">
        <v>0</v>
      </c>
      <c r="E14" s="6">
        <v>15</v>
      </c>
      <c r="F14" s="6">
        <v>3</v>
      </c>
      <c r="G14" s="6">
        <v>1</v>
      </c>
      <c r="H14" s="6">
        <v>2</v>
      </c>
      <c r="I14" s="6">
        <v>21</v>
      </c>
      <c r="J14" s="6">
        <v>17</v>
      </c>
      <c r="K14" s="6">
        <v>16</v>
      </c>
      <c r="L14" s="26">
        <f t="shared" si="0"/>
        <v>79</v>
      </c>
      <c r="M14" s="23" t="s">
        <v>61</v>
      </c>
    </row>
    <row r="15" spans="1:13" s="5" customFormat="1" ht="16.5" x14ac:dyDescent="0.35">
      <c r="A15" s="34" t="s">
        <v>30</v>
      </c>
      <c r="B15" s="6">
        <v>0</v>
      </c>
      <c r="C15" s="6">
        <v>3</v>
      </c>
      <c r="D15" s="6">
        <v>2</v>
      </c>
      <c r="E15" s="6">
        <v>2</v>
      </c>
      <c r="F15" s="6">
        <v>0</v>
      </c>
      <c r="G15" s="6">
        <v>0</v>
      </c>
      <c r="H15" s="6">
        <v>0</v>
      </c>
      <c r="I15" s="6">
        <v>5</v>
      </c>
      <c r="J15" s="6">
        <v>1</v>
      </c>
      <c r="K15" s="6">
        <v>3</v>
      </c>
      <c r="L15" s="26">
        <f t="shared" si="0"/>
        <v>16</v>
      </c>
      <c r="M15" s="23"/>
    </row>
    <row r="16" spans="1:13" s="5" customFormat="1" ht="16.5" x14ac:dyDescent="0.35">
      <c r="A16" s="34" t="s">
        <v>64</v>
      </c>
      <c r="B16" s="6">
        <v>0</v>
      </c>
      <c r="C16" s="6">
        <v>6</v>
      </c>
      <c r="D16" s="6">
        <v>13</v>
      </c>
      <c r="E16" s="6">
        <v>103</v>
      </c>
      <c r="F16" s="6">
        <v>22</v>
      </c>
      <c r="G16" s="6">
        <v>14</v>
      </c>
      <c r="H16" s="6">
        <v>16</v>
      </c>
      <c r="I16" s="6">
        <v>58</v>
      </c>
      <c r="J16" s="6">
        <v>104</v>
      </c>
      <c r="K16" s="6">
        <v>106</v>
      </c>
      <c r="L16" s="26">
        <f t="shared" si="0"/>
        <v>442</v>
      </c>
      <c r="M16" s="23" t="s">
        <v>61</v>
      </c>
    </row>
    <row r="17" spans="1:13" s="5" customFormat="1" ht="16.5" x14ac:dyDescent="0.35">
      <c r="A17" s="34" t="s">
        <v>62</v>
      </c>
      <c r="B17" s="6">
        <v>0</v>
      </c>
      <c r="C17" s="6">
        <v>4</v>
      </c>
      <c r="D17" s="6">
        <v>11</v>
      </c>
      <c r="E17" s="6">
        <v>82</v>
      </c>
      <c r="F17" s="6">
        <v>18</v>
      </c>
      <c r="G17" s="6">
        <v>11</v>
      </c>
      <c r="H17" s="6">
        <v>19</v>
      </c>
      <c r="I17" s="6">
        <v>38</v>
      </c>
      <c r="J17" s="6">
        <v>54</v>
      </c>
      <c r="K17" s="6">
        <v>47</v>
      </c>
      <c r="L17" s="26">
        <f t="shared" si="0"/>
        <v>284</v>
      </c>
      <c r="M17" s="23"/>
    </row>
    <row r="18" spans="1:13" s="5" customFormat="1" x14ac:dyDescent="0.35">
      <c r="A18" s="73" t="s">
        <v>46</v>
      </c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5"/>
      <c r="M18" s="23"/>
    </row>
    <row r="19" spans="1:13" s="5" customFormat="1" ht="16.5" x14ac:dyDescent="0.35">
      <c r="A19" s="34" t="s">
        <v>48</v>
      </c>
      <c r="B19" s="6">
        <v>0</v>
      </c>
      <c r="C19" s="6">
        <v>2</v>
      </c>
      <c r="D19" s="6">
        <v>3</v>
      </c>
      <c r="E19" s="6">
        <v>14</v>
      </c>
      <c r="F19" s="6">
        <v>6</v>
      </c>
      <c r="G19" s="6">
        <v>2</v>
      </c>
      <c r="H19" s="6">
        <v>4</v>
      </c>
      <c r="I19" s="6">
        <v>10</v>
      </c>
      <c r="J19" s="6">
        <v>16</v>
      </c>
      <c r="K19" s="6">
        <v>16</v>
      </c>
      <c r="L19" s="26">
        <f>SUM(B19:K19)</f>
        <v>73</v>
      </c>
      <c r="M19" s="23"/>
    </row>
    <row r="20" spans="1:13" s="5" customFormat="1" ht="16.5" x14ac:dyDescent="0.35">
      <c r="A20" s="34" t="s">
        <v>5</v>
      </c>
      <c r="B20" s="6">
        <v>0</v>
      </c>
      <c r="C20" s="6">
        <v>8</v>
      </c>
      <c r="D20" s="6">
        <v>21</v>
      </c>
      <c r="E20" s="6">
        <v>167</v>
      </c>
      <c r="F20" s="6">
        <v>35</v>
      </c>
      <c r="G20" s="6">
        <v>23</v>
      </c>
      <c r="H20" s="6">
        <v>32</v>
      </c>
      <c r="I20" s="6">
        <v>88</v>
      </c>
      <c r="J20" s="6">
        <v>142</v>
      </c>
      <c r="K20" s="6">
        <v>141</v>
      </c>
      <c r="L20" s="26">
        <f>SUM(B20:K20)</f>
        <v>657</v>
      </c>
      <c r="M20" s="23" t="s">
        <v>61</v>
      </c>
    </row>
    <row r="21" spans="1:13" customFormat="1" ht="17.45" customHeight="1" x14ac:dyDescent="0.35">
      <c r="A21" s="73" t="s">
        <v>7</v>
      </c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5"/>
      <c r="M21" s="1"/>
    </row>
    <row r="22" spans="1:13" customFormat="1" ht="16.5" x14ac:dyDescent="0.35">
      <c r="A22" s="34" t="s">
        <v>31</v>
      </c>
      <c r="B22" s="61">
        <v>29</v>
      </c>
      <c r="C22" s="7"/>
      <c r="D22" s="7"/>
      <c r="E22" s="7"/>
      <c r="F22" s="7"/>
      <c r="G22" s="7"/>
      <c r="H22" s="7"/>
      <c r="I22" s="7"/>
      <c r="J22" s="62">
        <v>59</v>
      </c>
      <c r="K22" s="62">
        <v>47</v>
      </c>
      <c r="L22" s="26">
        <f>SUM(B22:K22)</f>
        <v>135</v>
      </c>
      <c r="M22" s="1"/>
    </row>
    <row r="23" spans="1:13" customFormat="1" ht="16.5" x14ac:dyDescent="0.35">
      <c r="A23" s="34" t="s">
        <v>32</v>
      </c>
      <c r="B23" s="6">
        <v>37</v>
      </c>
      <c r="C23" s="6"/>
      <c r="D23" s="6"/>
      <c r="E23" s="6"/>
      <c r="F23" s="6"/>
      <c r="G23" s="6"/>
      <c r="H23" s="6"/>
      <c r="I23" s="6"/>
      <c r="J23" s="6">
        <v>67</v>
      </c>
      <c r="K23" s="6">
        <v>82</v>
      </c>
      <c r="L23" s="26">
        <f>SUM(B23:K23)</f>
        <v>186</v>
      </c>
      <c r="M23" s="1" t="s">
        <v>61</v>
      </c>
    </row>
    <row r="24" spans="1:13" customFormat="1" ht="17.45" customHeight="1" x14ac:dyDescent="0.35">
      <c r="A24" s="73" t="s">
        <v>8</v>
      </c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5"/>
      <c r="M24" s="1"/>
    </row>
    <row r="25" spans="1:13" customFormat="1" ht="16.5" x14ac:dyDescent="0.35">
      <c r="A25" s="34" t="s">
        <v>33</v>
      </c>
      <c r="B25" s="36">
        <v>20</v>
      </c>
      <c r="C25" s="36"/>
      <c r="D25" s="36"/>
      <c r="E25" s="36">
        <v>69</v>
      </c>
      <c r="F25" s="36">
        <v>21</v>
      </c>
      <c r="G25" s="36">
        <v>15</v>
      </c>
      <c r="H25" s="35"/>
      <c r="I25" s="36">
        <v>34</v>
      </c>
      <c r="J25" s="35"/>
      <c r="K25" s="35"/>
      <c r="L25" s="26">
        <f>SUM(B25:K25)</f>
        <v>159</v>
      </c>
      <c r="M25" s="24" t="s">
        <v>61</v>
      </c>
    </row>
    <row r="26" spans="1:13" customFormat="1" ht="16.5" x14ac:dyDescent="0.35">
      <c r="A26" s="34" t="s">
        <v>34</v>
      </c>
      <c r="B26" s="61">
        <v>15</v>
      </c>
      <c r="C26" s="22"/>
      <c r="D26" s="22"/>
      <c r="E26" s="22">
        <v>13</v>
      </c>
      <c r="F26" s="22">
        <v>4</v>
      </c>
      <c r="G26" s="22">
        <v>3</v>
      </c>
      <c r="H26" s="22"/>
      <c r="I26" s="22">
        <v>50</v>
      </c>
      <c r="J26" s="22"/>
      <c r="K26" s="22"/>
      <c r="L26" s="26">
        <f>SUM(B26:K26)</f>
        <v>85</v>
      </c>
      <c r="M26" s="1"/>
    </row>
    <row r="27" spans="1:13" customFormat="1" x14ac:dyDescent="0.35">
      <c r="A27" s="73" t="s">
        <v>56</v>
      </c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5"/>
      <c r="M27" s="1"/>
    </row>
    <row r="28" spans="1:13" customFormat="1" ht="16.5" x14ac:dyDescent="0.35">
      <c r="A28" s="34" t="s">
        <v>35</v>
      </c>
      <c r="B28" s="61">
        <v>132</v>
      </c>
      <c r="C28" s="22">
        <v>5</v>
      </c>
      <c r="D28" s="22">
        <v>10</v>
      </c>
      <c r="E28" s="22">
        <v>143</v>
      </c>
      <c r="F28" s="22">
        <v>30</v>
      </c>
      <c r="G28" s="22">
        <v>17</v>
      </c>
      <c r="H28" s="22">
        <v>21</v>
      </c>
      <c r="I28" s="22">
        <v>66</v>
      </c>
      <c r="J28" s="22">
        <v>107</v>
      </c>
      <c r="K28" s="22">
        <v>117</v>
      </c>
      <c r="L28" s="26">
        <f>SUM(B28:K28)</f>
        <v>648</v>
      </c>
      <c r="M28" s="1" t="s">
        <v>61</v>
      </c>
    </row>
    <row r="29" spans="1:13" customFormat="1" x14ac:dyDescent="0.35">
      <c r="A29" s="73" t="s">
        <v>9</v>
      </c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5"/>
      <c r="M29" s="1"/>
    </row>
    <row r="30" spans="1:13" customFormat="1" ht="16.5" x14ac:dyDescent="0.35">
      <c r="A30" s="34" t="s">
        <v>36</v>
      </c>
      <c r="B30" s="61">
        <v>37</v>
      </c>
      <c r="C30" s="22">
        <v>3</v>
      </c>
      <c r="D30" s="22">
        <v>4</v>
      </c>
      <c r="E30" s="22">
        <v>32</v>
      </c>
      <c r="F30" s="22">
        <v>14</v>
      </c>
      <c r="G30" s="22">
        <v>8</v>
      </c>
      <c r="H30" s="22">
        <v>5</v>
      </c>
      <c r="I30" s="22">
        <v>22</v>
      </c>
      <c r="J30" s="22">
        <v>46</v>
      </c>
      <c r="K30" s="22">
        <v>45</v>
      </c>
      <c r="L30" s="26">
        <f>SUM(B30:K30)</f>
        <v>216</v>
      </c>
      <c r="M30" s="21"/>
    </row>
    <row r="31" spans="1:13" customFormat="1" ht="16.5" x14ac:dyDescent="0.35">
      <c r="A31" s="34" t="s">
        <v>37</v>
      </c>
      <c r="B31" s="61">
        <v>103</v>
      </c>
      <c r="C31" s="22">
        <v>3</v>
      </c>
      <c r="D31" s="22">
        <v>10</v>
      </c>
      <c r="E31" s="22">
        <v>126</v>
      </c>
      <c r="F31" s="22">
        <v>20</v>
      </c>
      <c r="G31" s="22">
        <v>11</v>
      </c>
      <c r="H31" s="22">
        <v>19</v>
      </c>
      <c r="I31" s="22">
        <v>65</v>
      </c>
      <c r="J31" s="22">
        <v>79</v>
      </c>
      <c r="K31" s="22">
        <v>86</v>
      </c>
      <c r="L31" s="26">
        <f>SUM(B31:K31)</f>
        <v>522</v>
      </c>
      <c r="M31" s="21" t="s">
        <v>61</v>
      </c>
    </row>
    <row r="32" spans="1:13" customFormat="1" x14ac:dyDescent="0.35">
      <c r="A32" s="73" t="s">
        <v>10</v>
      </c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5"/>
      <c r="M32" s="1"/>
    </row>
    <row r="33" spans="1:13" customFormat="1" ht="16.5" x14ac:dyDescent="0.35">
      <c r="A33" s="34" t="s">
        <v>38</v>
      </c>
      <c r="B33" s="33">
        <v>137</v>
      </c>
      <c r="C33" s="33">
        <v>5</v>
      </c>
      <c r="D33" s="33">
        <v>11</v>
      </c>
      <c r="E33" s="33">
        <v>151</v>
      </c>
      <c r="F33" s="33">
        <v>30</v>
      </c>
      <c r="G33" s="33">
        <v>17</v>
      </c>
      <c r="H33" s="33">
        <v>22</v>
      </c>
      <c r="I33" s="33">
        <v>73</v>
      </c>
      <c r="J33" s="33">
        <v>116</v>
      </c>
      <c r="K33" s="33">
        <v>121</v>
      </c>
      <c r="L33" s="26">
        <f>SUM(B33:K33)</f>
        <v>683</v>
      </c>
      <c r="M33" s="1" t="s">
        <v>61</v>
      </c>
    </row>
    <row r="34" spans="1:13" customFormat="1" ht="16.5" x14ac:dyDescent="0.35">
      <c r="A34" s="63"/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5"/>
      <c r="M34" s="1"/>
    </row>
    <row r="35" spans="1:13" customFormat="1" x14ac:dyDescent="0.35">
      <c r="A35" s="73" t="s">
        <v>11</v>
      </c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5"/>
      <c r="M35" s="1"/>
    </row>
    <row r="36" spans="1:13" customFormat="1" ht="16.5" x14ac:dyDescent="0.35">
      <c r="A36" s="34" t="s">
        <v>39</v>
      </c>
      <c r="B36" s="61">
        <v>100</v>
      </c>
      <c r="C36" s="22">
        <v>2</v>
      </c>
      <c r="D36" s="22">
        <v>9</v>
      </c>
      <c r="E36" s="22">
        <v>110</v>
      </c>
      <c r="F36" s="22">
        <v>19</v>
      </c>
      <c r="G36" s="22">
        <v>13</v>
      </c>
      <c r="H36" s="22">
        <v>16</v>
      </c>
      <c r="I36" s="22">
        <v>61</v>
      </c>
      <c r="J36" s="22">
        <v>91</v>
      </c>
      <c r="K36" s="22">
        <v>89</v>
      </c>
      <c r="L36" s="26">
        <f>SUM(B36:K36)</f>
        <v>510</v>
      </c>
      <c r="M36" s="1" t="s">
        <v>61</v>
      </c>
    </row>
    <row r="37" spans="1:13" customFormat="1" x14ac:dyDescent="0.35">
      <c r="A37" s="73" t="s">
        <v>12</v>
      </c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5"/>
      <c r="M37" s="1"/>
    </row>
    <row r="38" spans="1:13" customFormat="1" ht="16.5" x14ac:dyDescent="0.35">
      <c r="A38" s="34" t="s">
        <v>40</v>
      </c>
      <c r="B38" s="33">
        <v>116</v>
      </c>
      <c r="C38" s="33">
        <v>3</v>
      </c>
      <c r="D38" s="33">
        <v>12</v>
      </c>
      <c r="E38" s="33">
        <v>140</v>
      </c>
      <c r="F38" s="33">
        <v>28</v>
      </c>
      <c r="G38" s="33">
        <v>14</v>
      </c>
      <c r="H38" s="33">
        <v>21</v>
      </c>
      <c r="I38" s="33">
        <v>62</v>
      </c>
      <c r="J38" s="33">
        <v>98</v>
      </c>
      <c r="K38" s="33">
        <v>113</v>
      </c>
      <c r="L38" s="26">
        <f>SUM(B38:K38)</f>
        <v>607</v>
      </c>
      <c r="M38" s="1" t="s">
        <v>61</v>
      </c>
    </row>
    <row r="39" spans="1:13" s="5" customFormat="1" ht="18" customHeight="1" x14ac:dyDescent="0.35">
      <c r="A39" s="73" t="s">
        <v>15</v>
      </c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5"/>
      <c r="M39" s="23"/>
    </row>
    <row r="40" spans="1:13" s="5" customFormat="1" ht="19.5" customHeight="1" x14ac:dyDescent="0.35">
      <c r="A40" s="34" t="s">
        <v>17</v>
      </c>
      <c r="B40" s="6">
        <v>22</v>
      </c>
      <c r="C40" s="6"/>
      <c r="D40" s="6"/>
      <c r="E40" s="41">
        <v>132</v>
      </c>
      <c r="F40" s="6"/>
      <c r="G40" s="6"/>
      <c r="H40" s="6"/>
      <c r="I40" s="6"/>
      <c r="J40" s="6"/>
      <c r="K40" s="6"/>
      <c r="L40" s="26">
        <f>SUM(B40:K40)</f>
        <v>154</v>
      </c>
      <c r="M40" s="23" t="s">
        <v>61</v>
      </c>
    </row>
    <row r="41" spans="1:13" ht="18.75" customHeight="1" x14ac:dyDescent="0.35">
      <c r="A41" s="38" t="s">
        <v>18</v>
      </c>
      <c r="B41" s="39">
        <v>8</v>
      </c>
      <c r="C41" s="39"/>
      <c r="D41" s="39"/>
      <c r="E41" s="40"/>
      <c r="F41" s="39">
        <v>25</v>
      </c>
      <c r="G41" s="39"/>
      <c r="H41" s="39"/>
      <c r="I41" s="39"/>
      <c r="J41" s="39"/>
      <c r="K41" s="39"/>
      <c r="L41" s="26">
        <f t="shared" ref="L41:L47" si="1">SUM(B41:K41)</f>
        <v>33</v>
      </c>
      <c r="M41" s="23" t="s">
        <v>61</v>
      </c>
    </row>
    <row r="42" spans="1:13" ht="18.75" customHeight="1" x14ac:dyDescent="0.35">
      <c r="A42" s="34" t="s">
        <v>41</v>
      </c>
      <c r="B42" s="6">
        <v>27</v>
      </c>
      <c r="C42" s="6"/>
      <c r="D42" s="6"/>
      <c r="E42" s="37"/>
      <c r="F42" s="6"/>
      <c r="G42" s="6"/>
      <c r="H42" s="6"/>
      <c r="I42" s="6"/>
      <c r="J42" s="6">
        <v>94</v>
      </c>
      <c r="K42" s="6"/>
      <c r="L42" s="26">
        <f t="shared" si="1"/>
        <v>121</v>
      </c>
      <c r="M42" s="23" t="s">
        <v>61</v>
      </c>
    </row>
    <row r="43" spans="1:13" ht="19.5" customHeight="1" x14ac:dyDescent="0.35">
      <c r="A43" s="38" t="s">
        <v>42</v>
      </c>
      <c r="B43" s="39">
        <v>10</v>
      </c>
      <c r="C43" s="39"/>
      <c r="D43" s="39"/>
      <c r="E43" s="40"/>
      <c r="F43" s="39"/>
      <c r="G43" s="39"/>
      <c r="H43" s="39">
        <v>22</v>
      </c>
      <c r="I43" s="39"/>
      <c r="J43" s="39"/>
      <c r="K43" s="39"/>
      <c r="L43" s="26">
        <f t="shared" si="1"/>
        <v>32</v>
      </c>
      <c r="M43" s="23" t="s">
        <v>61</v>
      </c>
    </row>
    <row r="44" spans="1:13" ht="20.25" customHeight="1" x14ac:dyDescent="0.35">
      <c r="A44" s="38" t="s">
        <v>19</v>
      </c>
      <c r="B44" s="39">
        <v>8</v>
      </c>
      <c r="C44" s="39"/>
      <c r="D44" s="39">
        <v>15</v>
      </c>
      <c r="E44" s="40"/>
      <c r="F44" s="39"/>
      <c r="G44" s="39"/>
      <c r="H44" s="39"/>
      <c r="I44" s="39"/>
      <c r="J44" s="39"/>
      <c r="K44" s="39"/>
      <c r="L44" s="26">
        <f t="shared" si="1"/>
        <v>23</v>
      </c>
      <c r="M44" s="23" t="s">
        <v>61</v>
      </c>
    </row>
    <row r="45" spans="1:13" x14ac:dyDescent="0.35">
      <c r="A45" s="73" t="s">
        <v>58</v>
      </c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5"/>
      <c r="M45" s="24"/>
    </row>
    <row r="46" spans="1:13" ht="16.5" x14ac:dyDescent="0.35">
      <c r="A46" s="34" t="s">
        <v>20</v>
      </c>
      <c r="B46" s="8">
        <v>10</v>
      </c>
      <c r="C46" s="8"/>
      <c r="D46" s="8"/>
      <c r="E46" s="8"/>
      <c r="F46" s="8"/>
      <c r="G46" s="8"/>
      <c r="H46" s="8">
        <v>21</v>
      </c>
      <c r="I46" s="8"/>
      <c r="J46" s="8"/>
      <c r="K46" s="8"/>
      <c r="L46" s="26">
        <f t="shared" si="1"/>
        <v>31</v>
      </c>
      <c r="M46" s="24" t="s">
        <v>61</v>
      </c>
    </row>
    <row r="47" spans="1:13" ht="16.5" x14ac:dyDescent="0.35">
      <c r="A47" s="34" t="s">
        <v>21</v>
      </c>
      <c r="B47" s="8">
        <v>10</v>
      </c>
      <c r="C47" s="8"/>
      <c r="D47" s="8"/>
      <c r="E47" s="8"/>
      <c r="F47" s="8"/>
      <c r="G47" s="8"/>
      <c r="H47" s="8"/>
      <c r="I47" s="8">
        <v>70</v>
      </c>
      <c r="J47" s="8"/>
      <c r="K47" s="8"/>
      <c r="L47" s="26">
        <f t="shared" si="1"/>
        <v>80</v>
      </c>
      <c r="M47" s="24" t="s">
        <v>61</v>
      </c>
    </row>
    <row r="48" spans="1:13" ht="16.5" x14ac:dyDescent="0.35">
      <c r="A48" s="34" t="s">
        <v>22</v>
      </c>
      <c r="B48" s="41">
        <v>7</v>
      </c>
      <c r="C48" s="6"/>
      <c r="D48" s="6">
        <v>14</v>
      </c>
      <c r="E48" s="6"/>
      <c r="F48" s="6"/>
      <c r="G48" s="6"/>
      <c r="H48" s="6"/>
      <c r="I48" s="6"/>
      <c r="J48" s="6"/>
      <c r="K48" s="6"/>
      <c r="L48" s="26">
        <f>SUM(B48:K48)</f>
        <v>21</v>
      </c>
      <c r="M48" s="24" t="s">
        <v>61</v>
      </c>
    </row>
    <row r="49" spans="1:13" ht="17.25" thickBot="1" x14ac:dyDescent="0.4">
      <c r="A49" s="58" t="s">
        <v>43</v>
      </c>
      <c r="B49" s="59">
        <v>18</v>
      </c>
      <c r="C49" s="59"/>
      <c r="D49" s="59"/>
      <c r="E49" s="59">
        <v>128</v>
      </c>
      <c r="F49" s="59"/>
      <c r="G49" s="59"/>
      <c r="H49" s="59"/>
      <c r="I49" s="59"/>
      <c r="J49" s="59"/>
      <c r="K49" s="59"/>
      <c r="L49" s="26">
        <f>SUM(B49:K49)</f>
        <v>146</v>
      </c>
      <c r="M49" s="24" t="s">
        <v>61</v>
      </c>
    </row>
    <row r="50" spans="1:13" ht="15.75" thickTop="1" x14ac:dyDescent="0.3">
      <c r="A50" s="16" t="s">
        <v>13</v>
      </c>
      <c r="B50" s="17"/>
      <c r="C50" s="17"/>
      <c r="D50" s="17"/>
      <c r="E50" s="17"/>
      <c r="F50" s="17"/>
      <c r="G50" s="17"/>
      <c r="I50" s="66">
        <f ca="1">NOW()</f>
        <v>42880.347661111111</v>
      </c>
      <c r="J50" s="66"/>
      <c r="K50" s="2"/>
      <c r="L50" s="2"/>
    </row>
    <row r="51" spans="1:13" ht="19.5" x14ac:dyDescent="0.4">
      <c r="A51" s="18" t="s">
        <v>14</v>
      </c>
      <c r="B51" s="19"/>
      <c r="C51" s="20"/>
      <c r="D51" s="19"/>
      <c r="E51" s="19"/>
      <c r="F51" s="19"/>
      <c r="G51" s="19"/>
      <c r="H51" s="10"/>
      <c r="I51" s="10"/>
      <c r="J51" s="25" t="s">
        <v>24</v>
      </c>
      <c r="K51" s="2"/>
      <c r="L51" s="4"/>
    </row>
    <row r="52" spans="1:13" x14ac:dyDescent="0.35">
      <c r="A52" s="3" t="s">
        <v>63</v>
      </c>
      <c r="B52" s="19"/>
      <c r="C52" s="19"/>
      <c r="D52" s="19"/>
      <c r="E52" s="19"/>
      <c r="F52" s="19"/>
      <c r="G52" s="19"/>
      <c r="H52" s="11"/>
      <c r="I52" s="55"/>
      <c r="J52" s="56" t="s">
        <v>25</v>
      </c>
      <c r="K52" s="55"/>
      <c r="L52" s="13"/>
      <c r="M52" s="14"/>
    </row>
    <row r="53" spans="1:13" ht="16.5" x14ac:dyDescent="0.35">
      <c r="A53" s="9"/>
      <c r="B53" s="11"/>
      <c r="C53" s="11"/>
      <c r="D53" s="11"/>
      <c r="E53" s="11"/>
      <c r="F53" s="11"/>
      <c r="G53" s="11"/>
      <c r="H53" s="15"/>
      <c r="I53" s="12"/>
      <c r="J53" s="12"/>
      <c r="K53" s="12"/>
      <c r="L53" s="13"/>
      <c r="M53" s="14"/>
    </row>
  </sheetData>
  <mergeCells count="15">
    <mergeCell ref="I50:J50"/>
    <mergeCell ref="A4:L4"/>
    <mergeCell ref="A5:L5"/>
    <mergeCell ref="A10:L10"/>
    <mergeCell ref="A13:L13"/>
    <mergeCell ref="A18:L18"/>
    <mergeCell ref="A21:L21"/>
    <mergeCell ref="A24:L24"/>
    <mergeCell ref="A27:L27"/>
    <mergeCell ref="A29:L29"/>
    <mergeCell ref="A32:L32"/>
    <mergeCell ref="A35:L35"/>
    <mergeCell ref="A37:L37"/>
    <mergeCell ref="A39:L39"/>
    <mergeCell ref="A45:L45"/>
  </mergeCells>
  <phoneticPr fontId="0" type="noConversion"/>
  <pageMargins left="0.25" right="0.25" top="0.75" bottom="0.75" header="0.3" footer="0.3"/>
  <pageSetup scale="90" fitToHeight="0" orientation="landscape" r:id="rId1"/>
  <headerFooter alignWithMargins="0">
    <oddFooter>&amp;L&amp;T&amp;D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"/>
  <sheetViews>
    <sheetView topLeftCell="A46" zoomScale="145" zoomScaleNormal="145" workbookViewId="0">
      <selection activeCell="D51" sqref="A1:D51"/>
    </sheetView>
  </sheetViews>
  <sheetFormatPr defaultRowHeight="12.75" x14ac:dyDescent="0.2"/>
  <cols>
    <col min="1" max="1" width="37.85546875" customWidth="1"/>
  </cols>
  <sheetData>
    <row r="1" spans="1:3" ht="30" x14ac:dyDescent="0.25">
      <c r="A1" s="50" t="s">
        <v>6</v>
      </c>
      <c r="B1" s="27"/>
    </row>
    <row r="2" spans="1:3" ht="14.25" x14ac:dyDescent="0.2">
      <c r="A2" s="57" t="str">
        <f>results!A4</f>
        <v>Candidates</v>
      </c>
      <c r="B2" s="51" t="s">
        <v>1</v>
      </c>
    </row>
    <row r="3" spans="1:3" ht="15.75" x14ac:dyDescent="0.25">
      <c r="A3" s="49" t="str">
        <f>results!A5</f>
        <v>United States Senator</v>
      </c>
      <c r="B3" s="53"/>
      <c r="C3" s="53"/>
    </row>
    <row r="4" spans="1:3" x14ac:dyDescent="0.2">
      <c r="A4" t="str">
        <f>results!A6</f>
        <v>Monique Singh-D</v>
      </c>
      <c r="B4">
        <f>results!L6</f>
        <v>20</v>
      </c>
    </row>
    <row r="5" spans="1:3" x14ac:dyDescent="0.2">
      <c r="A5" t="str">
        <f>results!A7</f>
        <v>Patrick Wiesner-D</v>
      </c>
      <c r="B5">
        <f>results!L7</f>
        <v>60</v>
      </c>
    </row>
    <row r="6" spans="1:3" x14ac:dyDescent="0.2">
      <c r="A6" t="str">
        <f>results!A8</f>
        <v>Jerry Moran-R</v>
      </c>
      <c r="B6">
        <f>results!L8</f>
        <v>507</v>
      </c>
    </row>
    <row r="7" spans="1:3" x14ac:dyDescent="0.2">
      <c r="A7" t="str">
        <f>results!A9</f>
        <v>D.J. Smith-R</v>
      </c>
      <c r="B7">
        <f>results!L9</f>
        <v>187</v>
      </c>
    </row>
    <row r="8" spans="1:3" ht="15.75" x14ac:dyDescent="0.25">
      <c r="A8" s="49" t="str">
        <f>results!A10</f>
        <v>United States House Of Representatives District #2</v>
      </c>
      <c r="B8" s="53"/>
      <c r="C8" s="53"/>
    </row>
    <row r="9" spans="1:3" x14ac:dyDescent="0.2">
      <c r="A9" t="str">
        <f>results!A11</f>
        <v>Britani Potter-D</v>
      </c>
      <c r="B9">
        <f>results!L11</f>
        <v>69</v>
      </c>
    </row>
    <row r="10" spans="1:3" x14ac:dyDescent="0.2">
      <c r="A10" t="str">
        <f>results!A12</f>
        <v>Lynn Jenkins-R</v>
      </c>
      <c r="B10">
        <f>results!L12</f>
        <v>614</v>
      </c>
    </row>
    <row r="11" spans="1:3" ht="15.75" x14ac:dyDescent="0.25">
      <c r="A11" s="49" t="str">
        <f>results!A13</f>
        <v>Kansas State Senate District #14</v>
      </c>
      <c r="B11" s="53"/>
      <c r="C11" s="53"/>
    </row>
    <row r="12" spans="1:3" x14ac:dyDescent="0.2">
      <c r="A12" t="str">
        <f>results!A14</f>
        <v>Mark Pringle-D</v>
      </c>
      <c r="B12">
        <f>results!L14</f>
        <v>79</v>
      </c>
    </row>
    <row r="13" spans="1:3" x14ac:dyDescent="0.2">
      <c r="A13" t="str">
        <f>results!A15</f>
        <v>Carl M. Shay, Jr-D</v>
      </c>
      <c r="B13">
        <f>results!L15</f>
        <v>16</v>
      </c>
    </row>
    <row r="14" spans="1:3" x14ac:dyDescent="0.2">
      <c r="A14" t="str">
        <f>results!A16</f>
        <v>Givens</v>
      </c>
      <c r="B14">
        <f>results!L16</f>
        <v>442</v>
      </c>
    </row>
    <row r="15" spans="1:3" x14ac:dyDescent="0.2">
      <c r="A15" t="str">
        <f>results!A17</f>
        <v>Forrest J. Knox-R</v>
      </c>
      <c r="B15">
        <f>results!L17</f>
        <v>284</v>
      </c>
    </row>
    <row r="16" spans="1:3" ht="15.75" x14ac:dyDescent="0.25">
      <c r="A16" s="49" t="str">
        <f>results!A18</f>
        <v>Kansas House Of Representatives District #13</v>
      </c>
      <c r="B16" s="53"/>
      <c r="C16" s="53"/>
    </row>
    <row r="17" spans="1:3" x14ac:dyDescent="0.2">
      <c r="A17" t="str">
        <f>results!A19</f>
        <v>Michael T. Countryman-R</v>
      </c>
      <c r="B17">
        <f>results!L19</f>
        <v>73</v>
      </c>
    </row>
    <row r="18" spans="1:3" x14ac:dyDescent="0.2">
      <c r="A18" t="str">
        <f>results!A20</f>
        <v>Larry P. Hibbard-R</v>
      </c>
      <c r="B18">
        <f>results!L20</f>
        <v>657</v>
      </c>
    </row>
    <row r="19" spans="1:3" ht="15.75" x14ac:dyDescent="0.25">
      <c r="A19" s="49" t="str">
        <f>results!A21</f>
        <v>County Commissioner District #2</v>
      </c>
      <c r="B19" s="53"/>
      <c r="C19" s="53"/>
    </row>
    <row r="20" spans="1:3" x14ac:dyDescent="0.2">
      <c r="A20" t="str">
        <f>results!A22</f>
        <v>Jason Shepard-R</v>
      </c>
      <c r="B20">
        <f>results!L22</f>
        <v>135</v>
      </c>
    </row>
    <row r="21" spans="1:3" x14ac:dyDescent="0.2">
      <c r="A21" t="str">
        <f>results!A23</f>
        <v>Galen W. Yoho-R</v>
      </c>
      <c r="B21">
        <f>results!L23</f>
        <v>186</v>
      </c>
    </row>
    <row r="22" spans="1:3" ht="15.75" x14ac:dyDescent="0.25">
      <c r="A22" s="49" t="str">
        <f>results!A24</f>
        <v>County Commissioner District #3</v>
      </c>
      <c r="B22" s="53"/>
      <c r="C22" s="53"/>
    </row>
    <row r="23" spans="1:3" x14ac:dyDescent="0.2">
      <c r="A23" t="str">
        <f>results!A25</f>
        <v>Trent Forsyth-R</v>
      </c>
      <c r="B23">
        <f>results!L25</f>
        <v>159</v>
      </c>
    </row>
    <row r="24" spans="1:3" x14ac:dyDescent="0.2">
      <c r="A24" t="str">
        <f>results!A26</f>
        <v>C.W. (Bud) Moore-R</v>
      </c>
      <c r="B24">
        <f>results!L26</f>
        <v>85</v>
      </c>
    </row>
    <row r="25" spans="1:3" ht="15.75" x14ac:dyDescent="0.25">
      <c r="A25" s="49" t="str">
        <f>results!A27</f>
        <v>County Clerk</v>
      </c>
      <c r="B25" s="53"/>
      <c r="C25" s="53"/>
    </row>
    <row r="26" spans="1:3" x14ac:dyDescent="0.2">
      <c r="A26" t="str">
        <f>results!A28</f>
        <v>Denice A. Julian-R</v>
      </c>
      <c r="B26">
        <f>results!L28</f>
        <v>648</v>
      </c>
    </row>
    <row r="27" spans="1:3" ht="15.75" x14ac:dyDescent="0.25">
      <c r="A27" s="49" t="str">
        <f>results!A29</f>
        <v>County Treasurer</v>
      </c>
      <c r="B27" s="53"/>
      <c r="C27" s="53"/>
    </row>
    <row r="28" spans="1:3" x14ac:dyDescent="0.2">
      <c r="A28" t="str">
        <f>results!A30</f>
        <v>Karen J.A. Hartwig-R</v>
      </c>
      <c r="B28">
        <f>results!L30</f>
        <v>216</v>
      </c>
    </row>
    <row r="29" spans="1:3" x14ac:dyDescent="0.2">
      <c r="A29" t="str">
        <f>results!A31</f>
        <v>Michelle L. Zimmerman-R</v>
      </c>
      <c r="B29">
        <f>results!L31</f>
        <v>522</v>
      </c>
    </row>
    <row r="30" spans="1:3" ht="15.75" x14ac:dyDescent="0.25">
      <c r="A30" s="49" t="str">
        <f>results!A32</f>
        <v>Register of Deeds</v>
      </c>
      <c r="B30" s="53"/>
      <c r="C30" s="53"/>
    </row>
    <row r="31" spans="1:3" x14ac:dyDescent="0.2">
      <c r="A31" t="str">
        <f>results!A33</f>
        <v>Jamie Lee Nitsch-R</v>
      </c>
      <c r="B31">
        <f>results!L33</f>
        <v>683</v>
      </c>
    </row>
    <row r="32" spans="1:3" ht="15.75" x14ac:dyDescent="0.25">
      <c r="A32" s="49" t="str">
        <f>results!A35</f>
        <v>County Attorney</v>
      </c>
      <c r="B32" s="53"/>
      <c r="C32" s="53"/>
    </row>
    <row r="33" spans="1:3" x14ac:dyDescent="0.2">
      <c r="A33" t="str">
        <f>results!A36</f>
        <v>Zelda Schlotterbeck-R</v>
      </c>
      <c r="B33">
        <f>results!L36</f>
        <v>510</v>
      </c>
    </row>
    <row r="34" spans="1:3" ht="15.75" x14ac:dyDescent="0.25">
      <c r="A34" s="49" t="str">
        <f>results!A37</f>
        <v>Sheriff</v>
      </c>
      <c r="B34" s="53"/>
      <c r="C34" s="53"/>
    </row>
    <row r="35" spans="1:3" x14ac:dyDescent="0.2">
      <c r="A35" t="str">
        <f>results!A38</f>
        <v>Wayne Allen Faulkner-R</v>
      </c>
      <c r="B35">
        <f>results!L38</f>
        <v>607</v>
      </c>
    </row>
    <row r="36" spans="1:3" ht="15.75" x14ac:dyDescent="0.25">
      <c r="A36" s="49" t="str">
        <f>results!A39</f>
        <v>Precinct Committeeman</v>
      </c>
      <c r="B36" s="53"/>
      <c r="C36" s="53"/>
    </row>
    <row r="37" spans="1:3" x14ac:dyDescent="0.2">
      <c r="A37" t="str">
        <f>results!A40</f>
        <v>Scott A. Wendland-R (Center)</v>
      </c>
      <c r="B37">
        <f>results!L40</f>
        <v>154</v>
      </c>
    </row>
    <row r="38" spans="1:3" x14ac:dyDescent="0.2">
      <c r="A38" t="str">
        <f>results!A41</f>
        <v>Calvin Shepard-R (Liberty)</v>
      </c>
      <c r="B38">
        <f>results!L41</f>
        <v>33</v>
      </c>
    </row>
    <row r="39" spans="1:3" x14ac:dyDescent="0.2">
      <c r="A39" t="str">
        <f>results!A42</f>
        <v>Lyle D. Kee-R (Yates Center-1)</v>
      </c>
      <c r="B39">
        <f>results!L42</f>
        <v>121</v>
      </c>
    </row>
    <row r="40" spans="1:3" x14ac:dyDescent="0.2">
      <c r="A40" t="str">
        <f>results!A43</f>
        <v>Donald Lampe-R (Neosho Falls/Piqua)</v>
      </c>
      <c r="B40">
        <f>results!L43</f>
        <v>32</v>
      </c>
    </row>
    <row r="41" spans="1:3" x14ac:dyDescent="0.2">
      <c r="A41" t="str">
        <f>results!A44</f>
        <v>Henry Eggers-R (Perry)</v>
      </c>
      <c r="B41">
        <f>results!L44</f>
        <v>23</v>
      </c>
    </row>
    <row r="42" spans="1:3" ht="15.75" x14ac:dyDescent="0.25">
      <c r="A42" s="49" t="str">
        <f>results!A45</f>
        <v>Precinct Committeewoman</v>
      </c>
      <c r="B42" s="53"/>
      <c r="C42" s="53"/>
    </row>
    <row r="43" spans="1:3" x14ac:dyDescent="0.2">
      <c r="A43" t="str">
        <f>results!A46</f>
        <v>Sheila Lampe-R (Neosho Falls/Piqua)</v>
      </c>
      <c r="B43">
        <f>results!L46</f>
        <v>31</v>
      </c>
    </row>
    <row r="44" spans="1:3" x14ac:dyDescent="0.2">
      <c r="A44" t="str">
        <f>results!A47</f>
        <v>Nancy L. Fife-Eagle-R (Toronto)</v>
      </c>
      <c r="B44">
        <f>results!L47</f>
        <v>80</v>
      </c>
    </row>
    <row r="45" spans="1:3" x14ac:dyDescent="0.2">
      <c r="A45" t="str">
        <f>results!A48</f>
        <v>Sandra Eggers-R (Perry)</v>
      </c>
      <c r="B45">
        <f>results!L48</f>
        <v>21</v>
      </c>
    </row>
    <row r="46" spans="1:3" x14ac:dyDescent="0.2">
      <c r="A46" t="str">
        <f>results!A49</f>
        <v>Judith Laws-R (Center)</v>
      </c>
      <c r="B46">
        <f>results!L49</f>
        <v>146</v>
      </c>
    </row>
    <row r="48" spans="1:3" x14ac:dyDescent="0.2">
      <c r="A48" t="str">
        <f>results!A50</f>
        <v>*  Unofficial winners until declared after the official canvass on 8/8/2016</v>
      </c>
    </row>
    <row r="49" spans="1:2" x14ac:dyDescent="0.2">
      <c r="A49" t="str">
        <f>results!A51</f>
        <v>** Tie for position until winner declared after official canvass on 8/8/2016</v>
      </c>
    </row>
    <row r="50" spans="1:2" x14ac:dyDescent="0.2">
      <c r="B50" s="54" t="s">
        <v>23</v>
      </c>
    </row>
  </sheetData>
  <pageMargins left="0.7" right="0.7" top="0.75" bottom="0.75" header="0.3" footer="0.3"/>
  <pageSetup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results</vt:lpstr>
      <vt:lpstr>Sheet1</vt:lpstr>
      <vt:lpstr>results!Print_Area</vt:lpstr>
      <vt:lpstr>results!TABLE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Woodson County</dc:creator>
  <cp:lastModifiedBy>Denice Julian</cp:lastModifiedBy>
  <cp:lastPrinted>2016-08-15T21:42:20Z</cp:lastPrinted>
  <dcterms:created xsi:type="dcterms:W3CDTF">2003-02-07T17:54:55Z</dcterms:created>
  <dcterms:modified xsi:type="dcterms:W3CDTF">2017-05-25T13:21:28Z</dcterms:modified>
</cp:coreProperties>
</file>